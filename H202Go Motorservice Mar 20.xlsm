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workbookPr defaultThemeVersion="124226"/>
  <mc:AlternateContent xmlns:mc="http://schemas.openxmlformats.org/markup-compatibility/2006">
    <mc:Choice Requires="x15">
      <x15ac:absPath xmlns:x15ac="http://schemas.microsoft.com/office/spreadsheetml/2010/11/ac" url="C:\Users\mbarbour\Dropbox\P2\Data\DurabilityProcessing\"/>
    </mc:Choice>
  </mc:AlternateContent>
  <xr:revisionPtr revIDLastSave="0" documentId="13_ncr:1_{220E5EDC-8E4F-432E-9B87-F05C648AB179}" xr6:coauthVersionLast="45" xr6:coauthVersionMax="45" xr10:uidLastSave="{00000000-0000-0000-0000-000000000000}"/>
  <bookViews>
    <workbookView xWindow="-24885" yWindow="975" windowWidth="24375" windowHeight="9825" xr2:uid="{00000000-000D-0000-FFFF-FFFF00000000}"/>
  </bookViews>
  <sheets>
    <sheet name="Motorcycles" sheetId="1" r:id="rId1"/>
    <sheet name="Sheet2" sheetId="2" r:id="rId2"/>
    <sheet name="Dictionary" sheetId="3" r:id="rId3"/>
    <sheet name="Observation" sheetId="5" r:id="rId4"/>
    <sheet name="Recomendation" sheetId="7" r:id="rId5"/>
    <sheet name="Action" sheetId="6" r:id="rId6"/>
    <sheet name="Sheet1" sheetId="4" r:id="rId7"/>
  </sheets>
  <definedNames>
    <definedName name="_xlnm._FilterDatabase" localSheetId="1" hidden="1">Sheet2!$J$1:$J$670</definedName>
  </definedNames>
  <calcPr calcId="191029"/>
  <pivotCaches>
    <pivotCache cacheId="0" r:id="rId8"/>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5" l="1"/>
  <c r="B7" i="5"/>
  <c r="C7" i="5"/>
  <c r="D7" i="5"/>
  <c r="E7" i="5"/>
  <c r="F7" i="5"/>
  <c r="G7" i="5"/>
  <c r="H7" i="5"/>
  <c r="I7" i="5"/>
  <c r="J7" i="5"/>
  <c r="K7" i="5"/>
  <c r="L7" i="5"/>
  <c r="M7" i="5"/>
  <c r="N7" i="5"/>
  <c r="O7" i="5"/>
  <c r="P7" i="5"/>
  <c r="Q7" i="5"/>
  <c r="R7" i="5"/>
  <c r="S7" i="5"/>
  <c r="T7" i="5"/>
  <c r="U7" i="5"/>
  <c r="A8" i="5"/>
  <c r="B8" i="5"/>
  <c r="C8" i="5"/>
  <c r="D8" i="5"/>
  <c r="E8" i="5"/>
  <c r="F8" i="5"/>
  <c r="G8" i="5"/>
  <c r="H8" i="5"/>
  <c r="I8" i="5"/>
  <c r="J8" i="5"/>
  <c r="K8" i="5"/>
  <c r="L8" i="5"/>
  <c r="M8" i="5"/>
  <c r="N8" i="5"/>
  <c r="O8" i="5"/>
  <c r="P8" i="5"/>
  <c r="Q8" i="5"/>
  <c r="R8" i="5"/>
  <c r="S8" i="5"/>
  <c r="T8" i="5"/>
  <c r="U8" i="5"/>
  <c r="A9" i="5"/>
  <c r="B9" i="5"/>
  <c r="C9" i="5"/>
  <c r="D9" i="5"/>
  <c r="E9" i="5"/>
  <c r="F9" i="5"/>
  <c r="G9" i="5"/>
  <c r="H9" i="5"/>
  <c r="I9" i="5"/>
  <c r="J9" i="5"/>
  <c r="K9" i="5"/>
  <c r="L9" i="5"/>
  <c r="M9" i="5"/>
  <c r="N9" i="5"/>
  <c r="O9" i="5"/>
  <c r="P9" i="5"/>
  <c r="Q9" i="5"/>
  <c r="R9" i="5"/>
  <c r="S9" i="5"/>
  <c r="T9" i="5"/>
  <c r="U9" i="5"/>
  <c r="A10" i="5"/>
  <c r="C10" i="5"/>
  <c r="D10" i="5"/>
  <c r="E10" i="5"/>
  <c r="F10" i="5"/>
  <c r="G10" i="5"/>
  <c r="H10" i="5"/>
  <c r="I10" i="5"/>
  <c r="J10" i="5"/>
  <c r="K10" i="5"/>
  <c r="L10" i="5"/>
  <c r="M10" i="5"/>
  <c r="N10" i="5"/>
  <c r="O10" i="5"/>
  <c r="P10" i="5"/>
  <c r="Q10" i="5"/>
  <c r="R10" i="5"/>
  <c r="S10" i="5"/>
  <c r="T10" i="5"/>
  <c r="U10" i="5"/>
  <c r="A16" i="5"/>
  <c r="C16" i="5"/>
  <c r="D16" i="5"/>
  <c r="E16" i="5"/>
  <c r="F16" i="5"/>
  <c r="G16" i="5"/>
  <c r="H16" i="5"/>
  <c r="I16" i="5"/>
  <c r="J16" i="5"/>
  <c r="K16" i="5"/>
  <c r="L16" i="5"/>
  <c r="M16" i="5"/>
  <c r="N16" i="5"/>
  <c r="O16" i="5"/>
  <c r="P16" i="5"/>
  <c r="Q16" i="5"/>
  <c r="R16" i="5"/>
  <c r="S16" i="5"/>
  <c r="T16" i="5"/>
  <c r="U16" i="5"/>
  <c r="A17" i="5"/>
  <c r="C17" i="5"/>
  <c r="D17" i="5"/>
  <c r="E17" i="5"/>
  <c r="F17" i="5"/>
  <c r="G17" i="5"/>
  <c r="H17" i="5"/>
  <c r="I17" i="5"/>
  <c r="J17" i="5"/>
  <c r="K17" i="5"/>
  <c r="L17" i="5"/>
  <c r="M17" i="5"/>
  <c r="N17" i="5"/>
  <c r="O17" i="5"/>
  <c r="P17" i="5"/>
  <c r="Q17" i="5"/>
  <c r="R17" i="5"/>
  <c r="S17" i="5"/>
  <c r="T17" i="5"/>
  <c r="U17" i="5"/>
  <c r="A18" i="5"/>
  <c r="C18" i="5"/>
  <c r="D18" i="5"/>
  <c r="E18" i="5"/>
  <c r="F18" i="5"/>
  <c r="G18" i="5"/>
  <c r="H18" i="5"/>
  <c r="I18" i="5"/>
  <c r="J18" i="5"/>
  <c r="K18" i="5"/>
  <c r="L18" i="5"/>
  <c r="M18" i="5"/>
  <c r="N18" i="5"/>
  <c r="O18" i="5"/>
  <c r="P18" i="5"/>
  <c r="Q18" i="5"/>
  <c r="R18" i="5"/>
  <c r="S18" i="5"/>
  <c r="T18" i="5"/>
  <c r="U18" i="5"/>
  <c r="A11" i="5"/>
  <c r="B11" i="5"/>
  <c r="C11" i="5"/>
  <c r="D11" i="5"/>
  <c r="E11" i="5"/>
  <c r="F11" i="5"/>
  <c r="G11" i="5"/>
  <c r="H11" i="5"/>
  <c r="I11" i="5"/>
  <c r="J11" i="5"/>
  <c r="K11" i="5"/>
  <c r="L11" i="5"/>
  <c r="M11" i="5"/>
  <c r="N11" i="5"/>
  <c r="O11" i="5"/>
  <c r="P11" i="5"/>
  <c r="Q11" i="5"/>
  <c r="R11" i="5"/>
  <c r="S11" i="5"/>
  <c r="T11" i="5"/>
  <c r="U11" i="5"/>
  <c r="A12" i="5"/>
  <c r="B12" i="5"/>
  <c r="D12" i="5"/>
  <c r="E12" i="5"/>
  <c r="F12" i="5"/>
  <c r="G12" i="5"/>
  <c r="H12" i="5"/>
  <c r="I12" i="5"/>
  <c r="J12" i="5"/>
  <c r="K12" i="5"/>
  <c r="L12" i="5"/>
  <c r="M12" i="5"/>
  <c r="N12" i="5"/>
  <c r="O12" i="5"/>
  <c r="P12" i="5"/>
  <c r="Q12" i="5"/>
  <c r="R12" i="5"/>
  <c r="S12" i="5"/>
  <c r="T12" i="5"/>
  <c r="U12" i="5"/>
  <c r="A13" i="5"/>
  <c r="B13" i="5"/>
  <c r="D13" i="5"/>
  <c r="E13" i="5"/>
  <c r="F13" i="5"/>
  <c r="G13" i="5"/>
  <c r="H13" i="5"/>
  <c r="I13" i="5"/>
  <c r="J13" i="5"/>
  <c r="K13" i="5"/>
  <c r="L13" i="5"/>
  <c r="M13" i="5"/>
  <c r="N13" i="5"/>
  <c r="O13" i="5"/>
  <c r="P13" i="5"/>
  <c r="Q13" i="5"/>
  <c r="R13" i="5"/>
  <c r="S13" i="5"/>
  <c r="T13" i="5"/>
  <c r="U13" i="5"/>
  <c r="A14" i="5"/>
  <c r="B14" i="5"/>
  <c r="C14" i="5"/>
  <c r="D14" i="5"/>
  <c r="E14" i="5"/>
  <c r="F14" i="5"/>
  <c r="G14" i="5"/>
  <c r="H14" i="5"/>
  <c r="I14" i="5"/>
  <c r="J14" i="5"/>
  <c r="K14" i="5"/>
  <c r="L14" i="5"/>
  <c r="M14" i="5"/>
  <c r="N14" i="5"/>
  <c r="O14" i="5"/>
  <c r="P14" i="5"/>
  <c r="Q14" i="5"/>
  <c r="R14" i="5"/>
  <c r="S14" i="5"/>
  <c r="T14" i="5"/>
  <c r="U14" i="5"/>
  <c r="A15" i="5"/>
  <c r="B15" i="5"/>
  <c r="C15" i="5"/>
  <c r="D15" i="5"/>
  <c r="E15" i="5"/>
  <c r="F15" i="5"/>
  <c r="G15" i="5"/>
  <c r="H15" i="5"/>
  <c r="I15" i="5"/>
  <c r="J15" i="5"/>
  <c r="K15" i="5"/>
  <c r="L15" i="5"/>
  <c r="M15" i="5"/>
  <c r="N15" i="5"/>
  <c r="O15" i="5"/>
  <c r="P15" i="5"/>
  <c r="Q15" i="5"/>
  <c r="R15" i="5"/>
  <c r="S15" i="5"/>
  <c r="T15" i="5"/>
  <c r="U15" i="5"/>
  <c r="A19" i="5"/>
  <c r="C19" i="5"/>
  <c r="D19" i="5"/>
  <c r="E19" i="5"/>
  <c r="F19" i="5"/>
  <c r="G19" i="5"/>
  <c r="H19" i="5"/>
  <c r="I19" i="5"/>
  <c r="J19" i="5"/>
  <c r="K19" i="5"/>
  <c r="L19" i="5"/>
  <c r="M19" i="5"/>
  <c r="N19" i="5"/>
  <c r="O19" i="5"/>
  <c r="P19" i="5"/>
  <c r="Q19" i="5"/>
  <c r="R19" i="5"/>
  <c r="S19" i="5"/>
  <c r="T19" i="5"/>
  <c r="U19" i="5"/>
  <c r="A23" i="5"/>
  <c r="C23" i="5"/>
  <c r="D23" i="5"/>
  <c r="E23" i="5"/>
  <c r="F23" i="5"/>
  <c r="G23" i="5"/>
  <c r="H23" i="5"/>
  <c r="I23" i="5"/>
  <c r="J23" i="5"/>
  <c r="K23" i="5"/>
  <c r="L23" i="5"/>
  <c r="M23" i="5"/>
  <c r="N23" i="5"/>
  <c r="O23" i="5"/>
  <c r="P23" i="5"/>
  <c r="Q23" i="5"/>
  <c r="R23" i="5"/>
  <c r="S23" i="5"/>
  <c r="T23" i="5"/>
  <c r="U23" i="5"/>
  <c r="A24" i="5"/>
  <c r="C24" i="5"/>
  <c r="D24" i="5"/>
  <c r="E24" i="5"/>
  <c r="F24" i="5"/>
  <c r="G24" i="5"/>
  <c r="H24" i="5"/>
  <c r="I24" i="5"/>
  <c r="J24" i="5"/>
  <c r="K24" i="5"/>
  <c r="L24" i="5"/>
  <c r="M24" i="5"/>
  <c r="N24" i="5"/>
  <c r="O24" i="5"/>
  <c r="P24" i="5"/>
  <c r="Q24" i="5"/>
  <c r="R24" i="5"/>
  <c r="S24" i="5"/>
  <c r="T24" i="5"/>
  <c r="U24" i="5"/>
  <c r="A25" i="5"/>
  <c r="C25" i="5"/>
  <c r="D25" i="5"/>
  <c r="E25" i="5"/>
  <c r="F25" i="5"/>
  <c r="G25" i="5"/>
  <c r="H25" i="5"/>
  <c r="I25" i="5"/>
  <c r="J25" i="5"/>
  <c r="K25" i="5"/>
  <c r="L25" i="5"/>
  <c r="M25" i="5"/>
  <c r="N25" i="5"/>
  <c r="O25" i="5"/>
  <c r="P25" i="5"/>
  <c r="Q25" i="5"/>
  <c r="R25" i="5"/>
  <c r="S25" i="5"/>
  <c r="T25" i="5"/>
  <c r="U25" i="5"/>
  <c r="A20" i="5"/>
  <c r="B20" i="5"/>
  <c r="C20" i="5"/>
  <c r="D20" i="5"/>
  <c r="E20" i="5"/>
  <c r="F20" i="5"/>
  <c r="G20" i="5"/>
  <c r="H20" i="5"/>
  <c r="I20" i="5"/>
  <c r="J20" i="5"/>
  <c r="K20" i="5"/>
  <c r="L20" i="5"/>
  <c r="M20" i="5"/>
  <c r="N20" i="5"/>
  <c r="O20" i="5"/>
  <c r="P20" i="5"/>
  <c r="Q20" i="5"/>
  <c r="R20" i="5"/>
  <c r="S20" i="5"/>
  <c r="T20" i="5"/>
  <c r="U20" i="5"/>
  <c r="A21" i="5"/>
  <c r="B21" i="5"/>
  <c r="C21" i="5"/>
  <c r="D21" i="5"/>
  <c r="E21" i="5"/>
  <c r="F21" i="5"/>
  <c r="G21" i="5"/>
  <c r="H21" i="5"/>
  <c r="I21" i="5"/>
  <c r="J21" i="5"/>
  <c r="K21" i="5"/>
  <c r="L21" i="5"/>
  <c r="M21" i="5"/>
  <c r="N21" i="5"/>
  <c r="O21" i="5"/>
  <c r="P21" i="5"/>
  <c r="Q21" i="5"/>
  <c r="R21" i="5"/>
  <c r="S21" i="5"/>
  <c r="T21" i="5"/>
  <c r="U21" i="5"/>
  <c r="A22" i="5"/>
  <c r="B22" i="5"/>
  <c r="C22" i="5"/>
  <c r="D22" i="5"/>
  <c r="E22" i="5"/>
  <c r="F22" i="5"/>
  <c r="G22" i="5"/>
  <c r="H22" i="5"/>
  <c r="I22" i="5"/>
  <c r="J22" i="5"/>
  <c r="K22" i="5"/>
  <c r="L22" i="5"/>
  <c r="M22" i="5"/>
  <c r="N22" i="5"/>
  <c r="O22" i="5"/>
  <c r="P22" i="5"/>
  <c r="Q22" i="5"/>
  <c r="R22" i="5"/>
  <c r="S22" i="5"/>
  <c r="T22" i="5"/>
  <c r="U22" i="5"/>
  <c r="A26" i="5"/>
  <c r="C26" i="5"/>
  <c r="D26" i="5"/>
  <c r="E26" i="5"/>
  <c r="F26" i="5"/>
  <c r="G26" i="5"/>
  <c r="H26" i="5"/>
  <c r="I26" i="5"/>
  <c r="J26" i="5"/>
  <c r="K26" i="5"/>
  <c r="L26" i="5"/>
  <c r="M26" i="5"/>
  <c r="N26" i="5"/>
  <c r="O26" i="5"/>
  <c r="P26" i="5"/>
  <c r="Q26" i="5"/>
  <c r="R26" i="5"/>
  <c r="S26" i="5"/>
  <c r="T26" i="5"/>
  <c r="U26" i="5"/>
  <c r="A32" i="5"/>
  <c r="C32" i="5"/>
  <c r="D32" i="5"/>
  <c r="E32" i="5"/>
  <c r="F32" i="5"/>
  <c r="G32" i="5"/>
  <c r="H32" i="5"/>
  <c r="I32" i="5"/>
  <c r="J32" i="5"/>
  <c r="K32" i="5"/>
  <c r="L32" i="5"/>
  <c r="M32" i="5"/>
  <c r="N32" i="5"/>
  <c r="O32" i="5"/>
  <c r="P32" i="5"/>
  <c r="Q32" i="5"/>
  <c r="R32" i="5"/>
  <c r="S32" i="5"/>
  <c r="T32" i="5"/>
  <c r="U32" i="5"/>
  <c r="A33" i="5"/>
  <c r="C33" i="5"/>
  <c r="D33" i="5"/>
  <c r="E33" i="5"/>
  <c r="F33" i="5"/>
  <c r="G33" i="5"/>
  <c r="H33" i="5"/>
  <c r="I33" i="5"/>
  <c r="J33" i="5"/>
  <c r="K33" i="5"/>
  <c r="L33" i="5"/>
  <c r="M33" i="5"/>
  <c r="N33" i="5"/>
  <c r="O33" i="5"/>
  <c r="P33" i="5"/>
  <c r="Q33" i="5"/>
  <c r="R33" i="5"/>
  <c r="S33" i="5"/>
  <c r="T33" i="5"/>
  <c r="U33" i="5"/>
  <c r="A34" i="5"/>
  <c r="C34" i="5"/>
  <c r="D34" i="5"/>
  <c r="E34" i="5"/>
  <c r="F34" i="5"/>
  <c r="G34" i="5"/>
  <c r="H34" i="5"/>
  <c r="I34" i="5"/>
  <c r="J34" i="5"/>
  <c r="K34" i="5"/>
  <c r="L34" i="5"/>
  <c r="M34" i="5"/>
  <c r="N34" i="5"/>
  <c r="O34" i="5"/>
  <c r="P34" i="5"/>
  <c r="Q34" i="5"/>
  <c r="R34" i="5"/>
  <c r="S34" i="5"/>
  <c r="T34" i="5"/>
  <c r="U34" i="5"/>
  <c r="A27" i="5"/>
  <c r="B27" i="5"/>
  <c r="C27" i="5"/>
  <c r="D27" i="5"/>
  <c r="E27" i="5"/>
  <c r="F27" i="5"/>
  <c r="G27" i="5"/>
  <c r="H27" i="5"/>
  <c r="I27" i="5"/>
  <c r="J27" i="5"/>
  <c r="K27" i="5"/>
  <c r="L27" i="5"/>
  <c r="M27" i="5"/>
  <c r="N27" i="5"/>
  <c r="O27" i="5"/>
  <c r="P27" i="5"/>
  <c r="Q27" i="5"/>
  <c r="R27" i="5"/>
  <c r="S27" i="5"/>
  <c r="T27" i="5"/>
  <c r="U27" i="5"/>
  <c r="A28" i="5"/>
  <c r="B28" i="5"/>
  <c r="D28" i="5"/>
  <c r="E28" i="5"/>
  <c r="F28" i="5"/>
  <c r="G28" i="5"/>
  <c r="H28" i="5"/>
  <c r="I28" i="5"/>
  <c r="J28" i="5"/>
  <c r="K28" i="5"/>
  <c r="L28" i="5"/>
  <c r="M28" i="5"/>
  <c r="N28" i="5"/>
  <c r="O28" i="5"/>
  <c r="P28" i="5"/>
  <c r="Q28" i="5"/>
  <c r="R28" i="5"/>
  <c r="S28" i="5"/>
  <c r="T28" i="5"/>
  <c r="U28" i="5"/>
  <c r="A29" i="5"/>
  <c r="B29" i="5"/>
  <c r="C29" i="5"/>
  <c r="D29" i="5"/>
  <c r="E29" i="5"/>
  <c r="F29" i="5"/>
  <c r="G29" i="5"/>
  <c r="H29" i="5"/>
  <c r="I29" i="5"/>
  <c r="J29" i="5"/>
  <c r="K29" i="5"/>
  <c r="L29" i="5"/>
  <c r="M29" i="5"/>
  <c r="N29" i="5"/>
  <c r="O29" i="5"/>
  <c r="P29" i="5"/>
  <c r="Q29" i="5"/>
  <c r="R29" i="5"/>
  <c r="S29" i="5"/>
  <c r="T29" i="5"/>
  <c r="U29" i="5"/>
  <c r="A30" i="5"/>
  <c r="B30" i="5"/>
  <c r="C30" i="5"/>
  <c r="D30" i="5"/>
  <c r="E30" i="5"/>
  <c r="F30" i="5"/>
  <c r="G30" i="5"/>
  <c r="H30" i="5"/>
  <c r="I30" i="5"/>
  <c r="J30" i="5"/>
  <c r="K30" i="5"/>
  <c r="L30" i="5"/>
  <c r="M30" i="5"/>
  <c r="N30" i="5"/>
  <c r="O30" i="5"/>
  <c r="P30" i="5"/>
  <c r="Q30" i="5"/>
  <c r="R30" i="5"/>
  <c r="S30" i="5"/>
  <c r="T30" i="5"/>
  <c r="U30" i="5"/>
  <c r="A31" i="5"/>
  <c r="B31" i="5"/>
  <c r="C31" i="5"/>
  <c r="D31" i="5"/>
  <c r="E31" i="5"/>
  <c r="F31" i="5"/>
  <c r="G31" i="5"/>
  <c r="H31" i="5"/>
  <c r="I31" i="5"/>
  <c r="J31" i="5"/>
  <c r="K31" i="5"/>
  <c r="L31" i="5"/>
  <c r="M31" i="5"/>
  <c r="N31" i="5"/>
  <c r="O31" i="5"/>
  <c r="P31" i="5"/>
  <c r="Q31" i="5"/>
  <c r="R31" i="5"/>
  <c r="S31" i="5"/>
  <c r="T31" i="5"/>
  <c r="U31" i="5"/>
  <c r="A35" i="5"/>
  <c r="C35" i="5"/>
  <c r="D35" i="5"/>
  <c r="E35" i="5"/>
  <c r="F35" i="5"/>
  <c r="G35" i="5"/>
  <c r="H35" i="5"/>
  <c r="I35" i="5"/>
  <c r="J35" i="5"/>
  <c r="K35" i="5"/>
  <c r="L35" i="5"/>
  <c r="M35" i="5"/>
  <c r="N35" i="5"/>
  <c r="O35" i="5"/>
  <c r="P35" i="5"/>
  <c r="Q35" i="5"/>
  <c r="R35" i="5"/>
  <c r="S35" i="5"/>
  <c r="T35" i="5"/>
  <c r="U35" i="5"/>
  <c r="A36" i="5"/>
  <c r="B36" i="5"/>
  <c r="D36" i="5"/>
  <c r="E36" i="5"/>
  <c r="F36" i="5"/>
  <c r="G36" i="5"/>
  <c r="H36" i="5"/>
  <c r="I36" i="5"/>
  <c r="J36" i="5"/>
  <c r="K36" i="5"/>
  <c r="L36" i="5"/>
  <c r="M36" i="5"/>
  <c r="N36" i="5"/>
  <c r="O36" i="5"/>
  <c r="P36" i="5"/>
  <c r="Q36" i="5"/>
  <c r="R36" i="5"/>
  <c r="S36" i="5"/>
  <c r="T36" i="5"/>
  <c r="U36" i="5"/>
  <c r="A37" i="5"/>
  <c r="B37" i="5"/>
  <c r="D37" i="5"/>
  <c r="E37" i="5"/>
  <c r="F37" i="5"/>
  <c r="G37" i="5"/>
  <c r="H37" i="5"/>
  <c r="I37" i="5"/>
  <c r="J37" i="5"/>
  <c r="K37" i="5"/>
  <c r="L37" i="5"/>
  <c r="M37" i="5"/>
  <c r="N37" i="5"/>
  <c r="O37" i="5"/>
  <c r="P37" i="5"/>
  <c r="Q37" i="5"/>
  <c r="R37" i="5"/>
  <c r="S37" i="5"/>
  <c r="T37" i="5"/>
  <c r="U37" i="5"/>
  <c r="A38" i="5"/>
  <c r="B38" i="5"/>
  <c r="C38" i="5"/>
  <c r="D38" i="5"/>
  <c r="E38" i="5"/>
  <c r="F38" i="5"/>
  <c r="G38" i="5"/>
  <c r="H38" i="5"/>
  <c r="I38" i="5"/>
  <c r="J38" i="5"/>
  <c r="K38" i="5"/>
  <c r="L38" i="5"/>
  <c r="M38" i="5"/>
  <c r="N38" i="5"/>
  <c r="O38" i="5"/>
  <c r="P38" i="5"/>
  <c r="Q38" i="5"/>
  <c r="R38" i="5"/>
  <c r="S38" i="5"/>
  <c r="T38" i="5"/>
  <c r="U38" i="5"/>
  <c r="A39" i="5"/>
  <c r="B39" i="5"/>
  <c r="C39" i="5"/>
  <c r="D39" i="5"/>
  <c r="E39" i="5"/>
  <c r="F39" i="5"/>
  <c r="G39" i="5"/>
  <c r="H39" i="5"/>
  <c r="I39" i="5"/>
  <c r="J39" i="5"/>
  <c r="K39" i="5"/>
  <c r="L39" i="5"/>
  <c r="M39" i="5"/>
  <c r="N39" i="5"/>
  <c r="O39" i="5"/>
  <c r="P39" i="5"/>
  <c r="Q39" i="5"/>
  <c r="R39" i="5"/>
  <c r="S39" i="5"/>
  <c r="T39" i="5"/>
  <c r="U39" i="5"/>
  <c r="A40" i="5"/>
  <c r="C40" i="5"/>
  <c r="D40" i="5"/>
  <c r="E40" i="5"/>
  <c r="F40" i="5"/>
  <c r="G40" i="5"/>
  <c r="H40" i="5"/>
  <c r="I40" i="5"/>
  <c r="J40" i="5"/>
  <c r="K40" i="5"/>
  <c r="L40" i="5"/>
  <c r="M40" i="5"/>
  <c r="N40" i="5"/>
  <c r="O40" i="5"/>
  <c r="P40" i="5"/>
  <c r="Q40" i="5"/>
  <c r="R40" i="5"/>
  <c r="S40" i="5"/>
  <c r="T40" i="5"/>
  <c r="U40" i="5"/>
  <c r="A46" i="5"/>
  <c r="C46" i="5"/>
  <c r="D46" i="5"/>
  <c r="E46" i="5"/>
  <c r="F46" i="5"/>
  <c r="G46" i="5"/>
  <c r="H46" i="5"/>
  <c r="I46" i="5"/>
  <c r="J46" i="5"/>
  <c r="K46" i="5"/>
  <c r="L46" i="5"/>
  <c r="M46" i="5"/>
  <c r="N46" i="5"/>
  <c r="O46" i="5"/>
  <c r="P46" i="5"/>
  <c r="Q46" i="5"/>
  <c r="R46" i="5"/>
  <c r="S46" i="5"/>
  <c r="T46" i="5"/>
  <c r="U46" i="5"/>
  <c r="A41" i="5"/>
  <c r="B41" i="5"/>
  <c r="C41" i="5"/>
  <c r="D41" i="5"/>
  <c r="E41" i="5"/>
  <c r="F41" i="5"/>
  <c r="G41" i="5"/>
  <c r="H41" i="5"/>
  <c r="I41" i="5"/>
  <c r="J41" i="5"/>
  <c r="K41" i="5"/>
  <c r="L41" i="5"/>
  <c r="M41" i="5"/>
  <c r="N41" i="5"/>
  <c r="O41" i="5"/>
  <c r="P41" i="5"/>
  <c r="Q41" i="5"/>
  <c r="R41" i="5"/>
  <c r="S41" i="5"/>
  <c r="T41" i="5"/>
  <c r="U41" i="5"/>
  <c r="A42" i="5"/>
  <c r="B42" i="5"/>
  <c r="D42" i="5"/>
  <c r="E42" i="5"/>
  <c r="F42" i="5"/>
  <c r="G42" i="5"/>
  <c r="H42" i="5"/>
  <c r="I42" i="5"/>
  <c r="J42" i="5"/>
  <c r="K42" i="5"/>
  <c r="L42" i="5"/>
  <c r="M42" i="5"/>
  <c r="N42" i="5"/>
  <c r="O42" i="5"/>
  <c r="P42" i="5"/>
  <c r="Q42" i="5"/>
  <c r="R42" i="5"/>
  <c r="S42" i="5"/>
  <c r="T42" i="5"/>
  <c r="U42" i="5"/>
  <c r="A43" i="5"/>
  <c r="B43" i="5"/>
  <c r="C43" i="5"/>
  <c r="D43" i="5"/>
  <c r="E43" i="5"/>
  <c r="F43" i="5"/>
  <c r="G43" i="5"/>
  <c r="H43" i="5"/>
  <c r="I43" i="5"/>
  <c r="J43" i="5"/>
  <c r="K43" i="5"/>
  <c r="L43" i="5"/>
  <c r="M43" i="5"/>
  <c r="N43" i="5"/>
  <c r="O43" i="5"/>
  <c r="P43" i="5"/>
  <c r="Q43" i="5"/>
  <c r="R43" i="5"/>
  <c r="S43" i="5"/>
  <c r="T43" i="5"/>
  <c r="U43" i="5"/>
  <c r="A44" i="5"/>
  <c r="B44" i="5"/>
  <c r="C44" i="5"/>
  <c r="D44" i="5"/>
  <c r="E44" i="5"/>
  <c r="F44" i="5"/>
  <c r="G44" i="5"/>
  <c r="H44" i="5"/>
  <c r="I44" i="5"/>
  <c r="J44" i="5"/>
  <c r="K44" i="5"/>
  <c r="L44" i="5"/>
  <c r="M44" i="5"/>
  <c r="N44" i="5"/>
  <c r="O44" i="5"/>
  <c r="P44" i="5"/>
  <c r="Q44" i="5"/>
  <c r="R44" i="5"/>
  <c r="S44" i="5"/>
  <c r="T44" i="5"/>
  <c r="U44" i="5"/>
  <c r="A45" i="5"/>
  <c r="B45" i="5"/>
  <c r="C45" i="5"/>
  <c r="D45" i="5"/>
  <c r="E45" i="5"/>
  <c r="F45" i="5"/>
  <c r="G45" i="5"/>
  <c r="H45" i="5"/>
  <c r="I45" i="5"/>
  <c r="J45" i="5"/>
  <c r="K45" i="5"/>
  <c r="L45" i="5"/>
  <c r="M45" i="5"/>
  <c r="N45" i="5"/>
  <c r="O45" i="5"/>
  <c r="P45" i="5"/>
  <c r="Q45" i="5"/>
  <c r="R45" i="5"/>
  <c r="S45" i="5"/>
  <c r="T45" i="5"/>
  <c r="U45" i="5"/>
  <c r="A47" i="5"/>
  <c r="C47" i="5"/>
  <c r="D47" i="5"/>
  <c r="E47" i="5"/>
  <c r="F47" i="5"/>
  <c r="G47" i="5"/>
  <c r="H47" i="5"/>
  <c r="I47" i="5"/>
  <c r="J47" i="5"/>
  <c r="K47" i="5"/>
  <c r="L47" i="5"/>
  <c r="M47" i="5"/>
  <c r="N47" i="5"/>
  <c r="O47" i="5"/>
  <c r="P47" i="5"/>
  <c r="Q47" i="5"/>
  <c r="R47" i="5"/>
  <c r="S47" i="5"/>
  <c r="T47" i="5"/>
  <c r="U47" i="5"/>
  <c r="A48" i="5"/>
  <c r="C48" i="5"/>
  <c r="D48" i="5"/>
  <c r="E48" i="5"/>
  <c r="F48" i="5"/>
  <c r="G48" i="5"/>
  <c r="H48" i="5"/>
  <c r="I48" i="5"/>
  <c r="J48" i="5"/>
  <c r="K48" i="5"/>
  <c r="L48" i="5"/>
  <c r="M48" i="5"/>
  <c r="N48" i="5"/>
  <c r="O48" i="5"/>
  <c r="P48" i="5"/>
  <c r="Q48" i="5"/>
  <c r="R48" i="5"/>
  <c r="S48" i="5"/>
  <c r="T48" i="5"/>
  <c r="U48" i="5"/>
  <c r="A54" i="5"/>
  <c r="C54" i="5"/>
  <c r="D54" i="5"/>
  <c r="E54" i="5"/>
  <c r="F54" i="5"/>
  <c r="G54" i="5"/>
  <c r="H54" i="5"/>
  <c r="I54" i="5"/>
  <c r="J54" i="5"/>
  <c r="K54" i="5"/>
  <c r="L54" i="5"/>
  <c r="M54" i="5"/>
  <c r="N54" i="5"/>
  <c r="O54" i="5"/>
  <c r="P54" i="5"/>
  <c r="Q54" i="5"/>
  <c r="R54" i="5"/>
  <c r="S54" i="5"/>
  <c r="T54" i="5"/>
  <c r="U54" i="5"/>
  <c r="A49" i="5"/>
  <c r="B49" i="5"/>
  <c r="C49" i="5"/>
  <c r="D49" i="5"/>
  <c r="E49" i="5"/>
  <c r="F49" i="5"/>
  <c r="G49" i="5"/>
  <c r="H49" i="5"/>
  <c r="I49" i="5"/>
  <c r="J49" i="5"/>
  <c r="K49" i="5"/>
  <c r="L49" i="5"/>
  <c r="M49" i="5"/>
  <c r="N49" i="5"/>
  <c r="O49" i="5"/>
  <c r="P49" i="5"/>
  <c r="Q49" i="5"/>
  <c r="R49" i="5"/>
  <c r="S49" i="5"/>
  <c r="T49" i="5"/>
  <c r="U49" i="5"/>
  <c r="A50" i="5"/>
  <c r="B50" i="5"/>
  <c r="D50" i="5"/>
  <c r="E50" i="5"/>
  <c r="F50" i="5"/>
  <c r="G50" i="5"/>
  <c r="H50" i="5"/>
  <c r="I50" i="5"/>
  <c r="J50" i="5"/>
  <c r="K50" i="5"/>
  <c r="L50" i="5"/>
  <c r="M50" i="5"/>
  <c r="N50" i="5"/>
  <c r="O50" i="5"/>
  <c r="P50" i="5"/>
  <c r="Q50" i="5"/>
  <c r="R50" i="5"/>
  <c r="S50" i="5"/>
  <c r="T50" i="5"/>
  <c r="U50" i="5"/>
  <c r="A51" i="5"/>
  <c r="B51" i="5"/>
  <c r="C51" i="5"/>
  <c r="D51" i="5"/>
  <c r="E51" i="5"/>
  <c r="F51" i="5"/>
  <c r="G51" i="5"/>
  <c r="H51" i="5"/>
  <c r="I51" i="5"/>
  <c r="J51" i="5"/>
  <c r="K51" i="5"/>
  <c r="L51" i="5"/>
  <c r="M51" i="5"/>
  <c r="N51" i="5"/>
  <c r="O51" i="5"/>
  <c r="P51" i="5"/>
  <c r="Q51" i="5"/>
  <c r="R51" i="5"/>
  <c r="S51" i="5"/>
  <c r="T51" i="5"/>
  <c r="U51" i="5"/>
  <c r="A52" i="5"/>
  <c r="B52" i="5"/>
  <c r="C52" i="5"/>
  <c r="D52" i="5"/>
  <c r="E52" i="5"/>
  <c r="F52" i="5"/>
  <c r="G52" i="5"/>
  <c r="H52" i="5"/>
  <c r="I52" i="5"/>
  <c r="J52" i="5"/>
  <c r="K52" i="5"/>
  <c r="L52" i="5"/>
  <c r="M52" i="5"/>
  <c r="N52" i="5"/>
  <c r="O52" i="5"/>
  <c r="P52" i="5"/>
  <c r="Q52" i="5"/>
  <c r="R52" i="5"/>
  <c r="S52" i="5"/>
  <c r="T52" i="5"/>
  <c r="U52" i="5"/>
  <c r="A53" i="5"/>
  <c r="B53" i="5"/>
  <c r="C53" i="5"/>
  <c r="D53" i="5"/>
  <c r="E53" i="5"/>
  <c r="F53" i="5"/>
  <c r="G53" i="5"/>
  <c r="H53" i="5"/>
  <c r="I53" i="5"/>
  <c r="J53" i="5"/>
  <c r="K53" i="5"/>
  <c r="L53" i="5"/>
  <c r="M53" i="5"/>
  <c r="N53" i="5"/>
  <c r="O53" i="5"/>
  <c r="P53" i="5"/>
  <c r="Q53" i="5"/>
  <c r="R53" i="5"/>
  <c r="S53" i="5"/>
  <c r="T53" i="5"/>
  <c r="U53" i="5"/>
  <c r="A55" i="5"/>
  <c r="C55" i="5"/>
  <c r="D55" i="5"/>
  <c r="E55" i="5"/>
  <c r="F55" i="5"/>
  <c r="G55" i="5"/>
  <c r="H55" i="5"/>
  <c r="I55" i="5"/>
  <c r="J55" i="5"/>
  <c r="K55" i="5"/>
  <c r="L55" i="5"/>
  <c r="M55" i="5"/>
  <c r="N55" i="5"/>
  <c r="O55" i="5"/>
  <c r="P55" i="5"/>
  <c r="Q55" i="5"/>
  <c r="R55" i="5"/>
  <c r="S55" i="5"/>
  <c r="T55" i="5"/>
  <c r="U55" i="5"/>
  <c r="A57" i="5"/>
  <c r="C57" i="5"/>
  <c r="D57" i="5"/>
  <c r="E57" i="5"/>
  <c r="F57" i="5"/>
  <c r="G57" i="5"/>
  <c r="H57" i="5"/>
  <c r="I57" i="5"/>
  <c r="J57" i="5"/>
  <c r="K57" i="5"/>
  <c r="L57" i="5"/>
  <c r="M57" i="5"/>
  <c r="N57" i="5"/>
  <c r="O57" i="5"/>
  <c r="P57" i="5"/>
  <c r="Q57" i="5"/>
  <c r="R57" i="5"/>
  <c r="S57" i="5"/>
  <c r="T57" i="5"/>
  <c r="U57" i="5"/>
  <c r="A58" i="5"/>
  <c r="C58" i="5"/>
  <c r="D58" i="5"/>
  <c r="E58" i="5"/>
  <c r="F58" i="5"/>
  <c r="G58" i="5"/>
  <c r="H58" i="5"/>
  <c r="I58" i="5"/>
  <c r="J58" i="5"/>
  <c r="K58" i="5"/>
  <c r="L58" i="5"/>
  <c r="M58" i="5"/>
  <c r="N58" i="5"/>
  <c r="O58" i="5"/>
  <c r="P58" i="5"/>
  <c r="Q58" i="5"/>
  <c r="R58" i="5"/>
  <c r="S58" i="5"/>
  <c r="T58" i="5"/>
  <c r="U58" i="5"/>
  <c r="A59" i="5"/>
  <c r="C59" i="5"/>
  <c r="D59" i="5"/>
  <c r="E59" i="5"/>
  <c r="F59" i="5"/>
  <c r="G59" i="5"/>
  <c r="H59" i="5"/>
  <c r="I59" i="5"/>
  <c r="J59" i="5"/>
  <c r="K59" i="5"/>
  <c r="L59" i="5"/>
  <c r="M59" i="5"/>
  <c r="N59" i="5"/>
  <c r="O59" i="5"/>
  <c r="P59" i="5"/>
  <c r="Q59" i="5"/>
  <c r="R59" i="5"/>
  <c r="S59" i="5"/>
  <c r="T59" i="5"/>
  <c r="U59" i="5"/>
  <c r="A56" i="5"/>
  <c r="B56" i="5"/>
  <c r="C56" i="5"/>
  <c r="D56" i="5"/>
  <c r="E56" i="5"/>
  <c r="F56" i="5"/>
  <c r="G56" i="5"/>
  <c r="H56" i="5"/>
  <c r="I56" i="5"/>
  <c r="J56" i="5"/>
  <c r="K56" i="5"/>
  <c r="L56" i="5"/>
  <c r="M56" i="5"/>
  <c r="N56" i="5"/>
  <c r="O56" i="5"/>
  <c r="P56" i="5"/>
  <c r="Q56" i="5"/>
  <c r="R56" i="5"/>
  <c r="S56" i="5"/>
  <c r="T56" i="5"/>
  <c r="U56" i="5"/>
  <c r="A60" i="5"/>
  <c r="C60" i="5"/>
  <c r="D60" i="5"/>
  <c r="E60" i="5"/>
  <c r="F60" i="5"/>
  <c r="G60" i="5"/>
  <c r="H60" i="5"/>
  <c r="I60" i="5"/>
  <c r="J60" i="5"/>
  <c r="K60" i="5"/>
  <c r="L60" i="5"/>
  <c r="M60" i="5"/>
  <c r="N60" i="5"/>
  <c r="O60" i="5"/>
  <c r="P60" i="5"/>
  <c r="Q60" i="5"/>
  <c r="R60" i="5"/>
  <c r="S60" i="5"/>
  <c r="T60" i="5"/>
  <c r="U60" i="5"/>
  <c r="A62" i="5"/>
  <c r="C62" i="5"/>
  <c r="D62" i="5"/>
  <c r="E62" i="5"/>
  <c r="F62" i="5"/>
  <c r="G62" i="5"/>
  <c r="H62" i="5"/>
  <c r="I62" i="5"/>
  <c r="J62" i="5"/>
  <c r="K62" i="5"/>
  <c r="L62" i="5"/>
  <c r="M62" i="5"/>
  <c r="N62" i="5"/>
  <c r="O62" i="5"/>
  <c r="P62" i="5"/>
  <c r="Q62" i="5"/>
  <c r="R62" i="5"/>
  <c r="S62" i="5"/>
  <c r="T62" i="5"/>
  <c r="U62" i="5"/>
  <c r="A63" i="5"/>
  <c r="C63" i="5"/>
  <c r="D63" i="5"/>
  <c r="E63" i="5"/>
  <c r="F63" i="5"/>
  <c r="G63" i="5"/>
  <c r="H63" i="5"/>
  <c r="I63" i="5"/>
  <c r="J63" i="5"/>
  <c r="K63" i="5"/>
  <c r="L63" i="5"/>
  <c r="M63" i="5"/>
  <c r="N63" i="5"/>
  <c r="O63" i="5"/>
  <c r="P63" i="5"/>
  <c r="Q63" i="5"/>
  <c r="R63" i="5"/>
  <c r="S63" i="5"/>
  <c r="T63" i="5"/>
  <c r="U63" i="5"/>
  <c r="A61" i="5"/>
  <c r="B61" i="5"/>
  <c r="C61" i="5"/>
  <c r="D61" i="5"/>
  <c r="E61" i="5"/>
  <c r="F61" i="5"/>
  <c r="G61" i="5"/>
  <c r="H61" i="5"/>
  <c r="I61" i="5"/>
  <c r="J61" i="5"/>
  <c r="K61" i="5"/>
  <c r="L61" i="5"/>
  <c r="M61" i="5"/>
  <c r="N61" i="5"/>
  <c r="O61" i="5"/>
  <c r="P61" i="5"/>
  <c r="Q61" i="5"/>
  <c r="R61" i="5"/>
  <c r="S61" i="5"/>
  <c r="T61" i="5"/>
  <c r="U61" i="5"/>
  <c r="A64" i="5"/>
  <c r="C64" i="5"/>
  <c r="D64" i="5"/>
  <c r="E64" i="5"/>
  <c r="F64" i="5"/>
  <c r="G64" i="5"/>
  <c r="H64" i="5"/>
  <c r="I64" i="5"/>
  <c r="J64" i="5"/>
  <c r="K64" i="5"/>
  <c r="L64" i="5"/>
  <c r="M64" i="5"/>
  <c r="N64" i="5"/>
  <c r="O64" i="5"/>
  <c r="P64" i="5"/>
  <c r="Q64" i="5"/>
  <c r="R64" i="5"/>
  <c r="S64" i="5"/>
  <c r="T64" i="5"/>
  <c r="U64" i="5"/>
  <c r="A69" i="5"/>
  <c r="C69" i="5"/>
  <c r="D69" i="5"/>
  <c r="E69" i="5"/>
  <c r="F69" i="5"/>
  <c r="G69" i="5"/>
  <c r="H69" i="5"/>
  <c r="I69" i="5"/>
  <c r="J69" i="5"/>
  <c r="K69" i="5"/>
  <c r="L69" i="5"/>
  <c r="M69" i="5"/>
  <c r="N69" i="5"/>
  <c r="O69" i="5"/>
  <c r="P69" i="5"/>
  <c r="Q69" i="5"/>
  <c r="R69" i="5"/>
  <c r="S69" i="5"/>
  <c r="T69" i="5"/>
  <c r="U69" i="5"/>
  <c r="A70" i="5"/>
  <c r="C70" i="5"/>
  <c r="D70" i="5"/>
  <c r="E70" i="5"/>
  <c r="F70" i="5"/>
  <c r="G70" i="5"/>
  <c r="H70" i="5"/>
  <c r="I70" i="5"/>
  <c r="J70" i="5"/>
  <c r="K70" i="5"/>
  <c r="L70" i="5"/>
  <c r="M70" i="5"/>
  <c r="N70" i="5"/>
  <c r="O70" i="5"/>
  <c r="P70" i="5"/>
  <c r="Q70" i="5"/>
  <c r="R70" i="5"/>
  <c r="S70" i="5"/>
  <c r="T70" i="5"/>
  <c r="U70" i="5"/>
  <c r="A71" i="5"/>
  <c r="C71" i="5"/>
  <c r="D71" i="5"/>
  <c r="E71" i="5"/>
  <c r="F71" i="5"/>
  <c r="G71" i="5"/>
  <c r="H71" i="5"/>
  <c r="I71" i="5"/>
  <c r="J71" i="5"/>
  <c r="K71" i="5"/>
  <c r="L71" i="5"/>
  <c r="M71" i="5"/>
  <c r="N71" i="5"/>
  <c r="O71" i="5"/>
  <c r="P71" i="5"/>
  <c r="Q71" i="5"/>
  <c r="R71" i="5"/>
  <c r="S71" i="5"/>
  <c r="T71" i="5"/>
  <c r="U71" i="5"/>
  <c r="A65" i="5"/>
  <c r="B65" i="5"/>
  <c r="D65" i="5"/>
  <c r="E65" i="5"/>
  <c r="F65" i="5"/>
  <c r="G65" i="5"/>
  <c r="H65" i="5"/>
  <c r="I65" i="5"/>
  <c r="J65" i="5"/>
  <c r="K65" i="5"/>
  <c r="L65" i="5"/>
  <c r="M65" i="5"/>
  <c r="N65" i="5"/>
  <c r="O65" i="5"/>
  <c r="P65" i="5"/>
  <c r="Q65" i="5"/>
  <c r="R65" i="5"/>
  <c r="S65" i="5"/>
  <c r="T65" i="5"/>
  <c r="U65" i="5"/>
  <c r="A66" i="5"/>
  <c r="B66" i="5"/>
  <c r="C66" i="5"/>
  <c r="D66" i="5"/>
  <c r="E66" i="5"/>
  <c r="F66" i="5"/>
  <c r="G66" i="5"/>
  <c r="H66" i="5"/>
  <c r="I66" i="5"/>
  <c r="J66" i="5"/>
  <c r="K66" i="5"/>
  <c r="L66" i="5"/>
  <c r="M66" i="5"/>
  <c r="N66" i="5"/>
  <c r="O66" i="5"/>
  <c r="P66" i="5"/>
  <c r="Q66" i="5"/>
  <c r="R66" i="5"/>
  <c r="S66" i="5"/>
  <c r="T66" i="5"/>
  <c r="U66" i="5"/>
  <c r="A67" i="5"/>
  <c r="B67" i="5"/>
  <c r="C67" i="5"/>
  <c r="D67" i="5"/>
  <c r="E67" i="5"/>
  <c r="F67" i="5"/>
  <c r="G67" i="5"/>
  <c r="H67" i="5"/>
  <c r="I67" i="5"/>
  <c r="J67" i="5"/>
  <c r="K67" i="5"/>
  <c r="L67" i="5"/>
  <c r="M67" i="5"/>
  <c r="N67" i="5"/>
  <c r="O67" i="5"/>
  <c r="P67" i="5"/>
  <c r="Q67" i="5"/>
  <c r="R67" i="5"/>
  <c r="S67" i="5"/>
  <c r="T67" i="5"/>
  <c r="U67" i="5"/>
  <c r="A68" i="5"/>
  <c r="B68" i="5"/>
  <c r="C68" i="5"/>
  <c r="D68" i="5"/>
  <c r="E68" i="5"/>
  <c r="F68" i="5"/>
  <c r="G68" i="5"/>
  <c r="H68" i="5"/>
  <c r="I68" i="5"/>
  <c r="J68" i="5"/>
  <c r="K68" i="5"/>
  <c r="L68" i="5"/>
  <c r="M68" i="5"/>
  <c r="N68" i="5"/>
  <c r="O68" i="5"/>
  <c r="P68" i="5"/>
  <c r="Q68" i="5"/>
  <c r="R68" i="5"/>
  <c r="S68" i="5"/>
  <c r="T68" i="5"/>
  <c r="U68" i="5"/>
  <c r="A72" i="5"/>
  <c r="C72" i="5"/>
  <c r="D72" i="5"/>
  <c r="E72" i="5"/>
  <c r="F72" i="5"/>
  <c r="G72" i="5"/>
  <c r="H72" i="5"/>
  <c r="I72" i="5"/>
  <c r="J72" i="5"/>
  <c r="K72" i="5"/>
  <c r="L72" i="5"/>
  <c r="M72" i="5"/>
  <c r="N72" i="5"/>
  <c r="O72" i="5"/>
  <c r="P72" i="5"/>
  <c r="Q72" i="5"/>
  <c r="R72" i="5"/>
  <c r="S72" i="5"/>
  <c r="T72" i="5"/>
  <c r="U72" i="5"/>
  <c r="A73" i="5"/>
  <c r="C73" i="5"/>
  <c r="D73" i="5"/>
  <c r="E73" i="5"/>
  <c r="F73" i="5"/>
  <c r="G73" i="5"/>
  <c r="H73" i="5"/>
  <c r="I73" i="5"/>
  <c r="J73" i="5"/>
  <c r="K73" i="5"/>
  <c r="L73" i="5"/>
  <c r="M73" i="5"/>
  <c r="N73" i="5"/>
  <c r="O73" i="5"/>
  <c r="P73" i="5"/>
  <c r="Q73" i="5"/>
  <c r="R73" i="5"/>
  <c r="S73" i="5"/>
  <c r="T73" i="5"/>
  <c r="U73" i="5"/>
  <c r="A74" i="5"/>
  <c r="C74" i="5"/>
  <c r="D74" i="5"/>
  <c r="E74" i="5"/>
  <c r="F74" i="5"/>
  <c r="G74" i="5"/>
  <c r="H74" i="5"/>
  <c r="I74" i="5"/>
  <c r="J74" i="5"/>
  <c r="K74" i="5"/>
  <c r="L74" i="5"/>
  <c r="M74" i="5"/>
  <c r="N74" i="5"/>
  <c r="O74" i="5"/>
  <c r="P74" i="5"/>
  <c r="Q74" i="5"/>
  <c r="R74" i="5"/>
  <c r="S74" i="5"/>
  <c r="T74" i="5"/>
  <c r="U74" i="5"/>
  <c r="A77" i="5"/>
  <c r="C77" i="5"/>
  <c r="D77" i="5"/>
  <c r="E77" i="5"/>
  <c r="F77" i="5"/>
  <c r="G77" i="5"/>
  <c r="H77" i="5"/>
  <c r="I77" i="5"/>
  <c r="J77" i="5"/>
  <c r="K77" i="5"/>
  <c r="L77" i="5"/>
  <c r="M77" i="5"/>
  <c r="N77" i="5"/>
  <c r="O77" i="5"/>
  <c r="P77" i="5"/>
  <c r="Q77" i="5"/>
  <c r="R77" i="5"/>
  <c r="S77" i="5"/>
  <c r="T77" i="5"/>
  <c r="U77" i="5"/>
  <c r="A78" i="5"/>
  <c r="C78" i="5"/>
  <c r="D78" i="5"/>
  <c r="E78" i="5"/>
  <c r="F78" i="5"/>
  <c r="G78" i="5"/>
  <c r="H78" i="5"/>
  <c r="I78" i="5"/>
  <c r="J78" i="5"/>
  <c r="K78" i="5"/>
  <c r="L78" i="5"/>
  <c r="M78" i="5"/>
  <c r="N78" i="5"/>
  <c r="O78" i="5"/>
  <c r="P78" i="5"/>
  <c r="Q78" i="5"/>
  <c r="R78" i="5"/>
  <c r="S78" i="5"/>
  <c r="T78" i="5"/>
  <c r="U78" i="5"/>
  <c r="A75" i="5"/>
  <c r="B75" i="5"/>
  <c r="C75" i="5"/>
  <c r="D75" i="5"/>
  <c r="E75" i="5"/>
  <c r="F75" i="5"/>
  <c r="G75" i="5"/>
  <c r="H75" i="5"/>
  <c r="I75" i="5"/>
  <c r="J75" i="5"/>
  <c r="K75" i="5"/>
  <c r="L75" i="5"/>
  <c r="M75" i="5"/>
  <c r="N75" i="5"/>
  <c r="O75" i="5"/>
  <c r="P75" i="5"/>
  <c r="Q75" i="5"/>
  <c r="R75" i="5"/>
  <c r="S75" i="5"/>
  <c r="T75" i="5"/>
  <c r="U75" i="5"/>
  <c r="A76" i="5"/>
  <c r="B76" i="5"/>
  <c r="D76" i="5"/>
  <c r="E76" i="5"/>
  <c r="F76" i="5"/>
  <c r="G76" i="5"/>
  <c r="H76" i="5"/>
  <c r="I76" i="5"/>
  <c r="J76" i="5"/>
  <c r="K76" i="5"/>
  <c r="L76" i="5"/>
  <c r="M76" i="5"/>
  <c r="N76" i="5"/>
  <c r="O76" i="5"/>
  <c r="P76" i="5"/>
  <c r="Q76" i="5"/>
  <c r="R76" i="5"/>
  <c r="S76" i="5"/>
  <c r="T76" i="5"/>
  <c r="U76" i="5"/>
  <c r="A79" i="5"/>
  <c r="C79" i="5"/>
  <c r="D79" i="5"/>
  <c r="E79" i="5"/>
  <c r="F79" i="5"/>
  <c r="G79" i="5"/>
  <c r="H79" i="5"/>
  <c r="I79" i="5"/>
  <c r="J79" i="5"/>
  <c r="K79" i="5"/>
  <c r="L79" i="5"/>
  <c r="M79" i="5"/>
  <c r="N79" i="5"/>
  <c r="O79" i="5"/>
  <c r="P79" i="5"/>
  <c r="Q79" i="5"/>
  <c r="R79" i="5"/>
  <c r="S79" i="5"/>
  <c r="T79" i="5"/>
  <c r="U79" i="5"/>
  <c r="A81" i="5"/>
  <c r="C81" i="5"/>
  <c r="D81" i="5"/>
  <c r="E81" i="5"/>
  <c r="F81" i="5"/>
  <c r="G81" i="5"/>
  <c r="H81" i="5"/>
  <c r="I81" i="5"/>
  <c r="J81" i="5"/>
  <c r="K81" i="5"/>
  <c r="L81" i="5"/>
  <c r="M81" i="5"/>
  <c r="N81" i="5"/>
  <c r="O81" i="5"/>
  <c r="P81" i="5"/>
  <c r="Q81" i="5"/>
  <c r="R81" i="5"/>
  <c r="S81" i="5"/>
  <c r="T81" i="5"/>
  <c r="U81" i="5"/>
  <c r="A82" i="5"/>
  <c r="C82" i="5"/>
  <c r="D82" i="5"/>
  <c r="E82" i="5"/>
  <c r="F82" i="5"/>
  <c r="G82" i="5"/>
  <c r="H82" i="5"/>
  <c r="I82" i="5"/>
  <c r="J82" i="5"/>
  <c r="K82" i="5"/>
  <c r="L82" i="5"/>
  <c r="M82" i="5"/>
  <c r="N82" i="5"/>
  <c r="O82" i="5"/>
  <c r="P82" i="5"/>
  <c r="Q82" i="5"/>
  <c r="R82" i="5"/>
  <c r="S82" i="5"/>
  <c r="T82" i="5"/>
  <c r="U82" i="5"/>
  <c r="A80" i="5"/>
  <c r="C80" i="5"/>
  <c r="D80" i="5"/>
  <c r="E80" i="5"/>
  <c r="F80" i="5"/>
  <c r="G80" i="5"/>
  <c r="H80" i="5"/>
  <c r="I80" i="5"/>
  <c r="J80" i="5"/>
  <c r="K80" i="5"/>
  <c r="L80" i="5"/>
  <c r="M80" i="5"/>
  <c r="N80" i="5"/>
  <c r="O80" i="5"/>
  <c r="P80" i="5"/>
  <c r="Q80" i="5"/>
  <c r="R80" i="5"/>
  <c r="S80" i="5"/>
  <c r="T80" i="5"/>
  <c r="U80" i="5"/>
  <c r="A83" i="5"/>
  <c r="B83" i="5"/>
  <c r="C83" i="5"/>
  <c r="D83" i="5"/>
  <c r="E83" i="5"/>
  <c r="F83" i="5"/>
  <c r="G83" i="5"/>
  <c r="H83" i="5"/>
  <c r="I83" i="5"/>
  <c r="J83" i="5"/>
  <c r="K83" i="5"/>
  <c r="L83" i="5"/>
  <c r="M83" i="5"/>
  <c r="N83" i="5"/>
  <c r="O83" i="5"/>
  <c r="P83" i="5"/>
  <c r="Q83" i="5"/>
  <c r="R83" i="5"/>
  <c r="S83" i="5"/>
  <c r="T83" i="5"/>
  <c r="U83" i="5"/>
  <c r="A84" i="5"/>
  <c r="B84" i="5"/>
  <c r="C84" i="5"/>
  <c r="D84" i="5"/>
  <c r="E84" i="5"/>
  <c r="F84" i="5"/>
  <c r="G84" i="5"/>
  <c r="H84" i="5"/>
  <c r="I84" i="5"/>
  <c r="J84" i="5"/>
  <c r="K84" i="5"/>
  <c r="L84" i="5"/>
  <c r="M84" i="5"/>
  <c r="N84" i="5"/>
  <c r="O84" i="5"/>
  <c r="P84" i="5"/>
  <c r="Q84" i="5"/>
  <c r="R84" i="5"/>
  <c r="S84" i="5"/>
  <c r="T84" i="5"/>
  <c r="U84" i="5"/>
  <c r="A85" i="5"/>
  <c r="B85" i="5"/>
  <c r="C85" i="5"/>
  <c r="D85" i="5"/>
  <c r="E85" i="5"/>
  <c r="F85" i="5"/>
  <c r="G85" i="5"/>
  <c r="H85" i="5"/>
  <c r="I85" i="5"/>
  <c r="J85" i="5"/>
  <c r="K85" i="5"/>
  <c r="L85" i="5"/>
  <c r="M85" i="5"/>
  <c r="N85" i="5"/>
  <c r="O85" i="5"/>
  <c r="P85" i="5"/>
  <c r="Q85" i="5"/>
  <c r="R85" i="5"/>
  <c r="S85" i="5"/>
  <c r="T85" i="5"/>
  <c r="U85" i="5"/>
  <c r="A86" i="5"/>
  <c r="B86" i="5"/>
  <c r="C86" i="5"/>
  <c r="D86" i="5"/>
  <c r="E86" i="5"/>
  <c r="F86" i="5"/>
  <c r="G86" i="5"/>
  <c r="H86" i="5"/>
  <c r="I86" i="5"/>
  <c r="J86" i="5"/>
  <c r="K86" i="5"/>
  <c r="L86" i="5"/>
  <c r="M86" i="5"/>
  <c r="N86" i="5"/>
  <c r="O86" i="5"/>
  <c r="P86" i="5"/>
  <c r="Q86" i="5"/>
  <c r="R86" i="5"/>
  <c r="S86" i="5"/>
  <c r="T86" i="5"/>
  <c r="U86" i="5"/>
  <c r="A87" i="5"/>
  <c r="B87" i="5"/>
  <c r="C87" i="5"/>
  <c r="D87" i="5"/>
  <c r="E87" i="5"/>
  <c r="F87" i="5"/>
  <c r="G87" i="5"/>
  <c r="H87" i="5"/>
  <c r="I87" i="5"/>
  <c r="J87" i="5"/>
  <c r="K87" i="5"/>
  <c r="L87" i="5"/>
  <c r="M87" i="5"/>
  <c r="N87" i="5"/>
  <c r="O87" i="5"/>
  <c r="P87" i="5"/>
  <c r="Q87" i="5"/>
  <c r="R87" i="5"/>
  <c r="S87" i="5"/>
  <c r="T87" i="5"/>
  <c r="U87" i="5"/>
  <c r="A88" i="5"/>
  <c r="C88" i="5"/>
  <c r="D88" i="5"/>
  <c r="E88" i="5"/>
  <c r="F88" i="5"/>
  <c r="G88" i="5"/>
  <c r="H88" i="5"/>
  <c r="I88" i="5"/>
  <c r="J88" i="5"/>
  <c r="K88" i="5"/>
  <c r="L88" i="5"/>
  <c r="M88" i="5"/>
  <c r="N88" i="5"/>
  <c r="O88" i="5"/>
  <c r="P88" i="5"/>
  <c r="Q88" i="5"/>
  <c r="R88" i="5"/>
  <c r="S88" i="5"/>
  <c r="T88" i="5"/>
  <c r="U88" i="5"/>
  <c r="A89" i="5"/>
  <c r="C89" i="5"/>
  <c r="D89" i="5"/>
  <c r="E89" i="5"/>
  <c r="F89" i="5"/>
  <c r="G89" i="5"/>
  <c r="H89" i="5"/>
  <c r="I89" i="5"/>
  <c r="J89" i="5"/>
  <c r="K89" i="5"/>
  <c r="L89" i="5"/>
  <c r="M89" i="5"/>
  <c r="N89" i="5"/>
  <c r="O89" i="5"/>
  <c r="P89" i="5"/>
  <c r="Q89" i="5"/>
  <c r="R89" i="5"/>
  <c r="S89" i="5"/>
  <c r="T89" i="5"/>
  <c r="U89" i="5"/>
  <c r="A90" i="5"/>
  <c r="C90" i="5"/>
  <c r="D90" i="5"/>
  <c r="E90" i="5"/>
  <c r="F90" i="5"/>
  <c r="G90" i="5"/>
  <c r="H90" i="5"/>
  <c r="I90" i="5"/>
  <c r="J90" i="5"/>
  <c r="K90" i="5"/>
  <c r="L90" i="5"/>
  <c r="M90" i="5"/>
  <c r="N90" i="5"/>
  <c r="O90" i="5"/>
  <c r="P90" i="5"/>
  <c r="Q90" i="5"/>
  <c r="R90" i="5"/>
  <c r="S90" i="5"/>
  <c r="T90" i="5"/>
  <c r="U90" i="5"/>
  <c r="A91" i="5"/>
  <c r="C91" i="5"/>
  <c r="D91" i="5"/>
  <c r="E91" i="5"/>
  <c r="F91" i="5"/>
  <c r="G91" i="5"/>
  <c r="H91" i="5"/>
  <c r="I91" i="5"/>
  <c r="J91" i="5"/>
  <c r="K91" i="5"/>
  <c r="L91" i="5"/>
  <c r="M91" i="5"/>
  <c r="N91" i="5"/>
  <c r="O91" i="5"/>
  <c r="P91" i="5"/>
  <c r="Q91" i="5"/>
  <c r="R91" i="5"/>
  <c r="S91" i="5"/>
  <c r="T91" i="5"/>
  <c r="U91" i="5"/>
  <c r="A92" i="5"/>
  <c r="B92" i="5"/>
  <c r="C92" i="5"/>
  <c r="D92" i="5"/>
  <c r="E92" i="5"/>
  <c r="F92" i="5"/>
  <c r="G92" i="5"/>
  <c r="H92" i="5"/>
  <c r="I92" i="5"/>
  <c r="J92" i="5"/>
  <c r="K92" i="5"/>
  <c r="L92" i="5"/>
  <c r="M92" i="5"/>
  <c r="N92" i="5"/>
  <c r="O92" i="5"/>
  <c r="P92" i="5"/>
  <c r="Q92" i="5"/>
  <c r="R92" i="5"/>
  <c r="S92" i="5"/>
  <c r="T92" i="5"/>
  <c r="U92" i="5"/>
  <c r="A94" i="5"/>
  <c r="B94" i="5"/>
  <c r="C94" i="5"/>
  <c r="D94" i="5"/>
  <c r="E94" i="5"/>
  <c r="F94" i="5"/>
  <c r="G94" i="5"/>
  <c r="H94" i="5"/>
  <c r="I94" i="5"/>
  <c r="J94" i="5"/>
  <c r="K94" i="5"/>
  <c r="L94" i="5"/>
  <c r="M94" i="5"/>
  <c r="N94" i="5"/>
  <c r="O94" i="5"/>
  <c r="P94" i="5"/>
  <c r="Q94" i="5"/>
  <c r="R94" i="5"/>
  <c r="S94" i="5"/>
  <c r="T94" i="5"/>
  <c r="U94" i="5"/>
  <c r="A93" i="5"/>
  <c r="B93" i="5"/>
  <c r="C93" i="5"/>
  <c r="D93" i="5"/>
  <c r="E93" i="5"/>
  <c r="F93" i="5"/>
  <c r="G93" i="5"/>
  <c r="H93" i="5"/>
  <c r="I93" i="5"/>
  <c r="J93" i="5"/>
  <c r="K93" i="5"/>
  <c r="L93" i="5"/>
  <c r="M93" i="5"/>
  <c r="N93" i="5"/>
  <c r="O93" i="5"/>
  <c r="P93" i="5"/>
  <c r="Q93" i="5"/>
  <c r="R93" i="5"/>
  <c r="S93" i="5"/>
  <c r="T93" i="5"/>
  <c r="U93" i="5"/>
  <c r="A95" i="5"/>
  <c r="B95" i="5"/>
  <c r="C95" i="5"/>
  <c r="D95" i="5"/>
  <c r="E95" i="5"/>
  <c r="F95" i="5"/>
  <c r="G95" i="5"/>
  <c r="H95" i="5"/>
  <c r="I95" i="5"/>
  <c r="J95" i="5"/>
  <c r="K95" i="5"/>
  <c r="L95" i="5"/>
  <c r="M95" i="5"/>
  <c r="N95" i="5"/>
  <c r="O95" i="5"/>
  <c r="P95" i="5"/>
  <c r="Q95" i="5"/>
  <c r="R95" i="5"/>
  <c r="S95" i="5"/>
  <c r="T95" i="5"/>
  <c r="U95" i="5"/>
  <c r="A96" i="5"/>
  <c r="C96" i="5"/>
  <c r="D96" i="5"/>
  <c r="E96" i="5"/>
  <c r="F96" i="5"/>
  <c r="G96" i="5"/>
  <c r="H96" i="5"/>
  <c r="I96" i="5"/>
  <c r="J96" i="5"/>
  <c r="K96" i="5"/>
  <c r="L96" i="5"/>
  <c r="M96" i="5"/>
  <c r="N96" i="5"/>
  <c r="O96" i="5"/>
  <c r="P96" i="5"/>
  <c r="Q96" i="5"/>
  <c r="R96" i="5"/>
  <c r="S96" i="5"/>
  <c r="T96" i="5"/>
  <c r="U96" i="5"/>
  <c r="A97" i="5"/>
  <c r="C97" i="5"/>
  <c r="D97" i="5"/>
  <c r="E97" i="5"/>
  <c r="F97" i="5"/>
  <c r="G97" i="5"/>
  <c r="H97" i="5"/>
  <c r="I97" i="5"/>
  <c r="J97" i="5"/>
  <c r="K97" i="5"/>
  <c r="L97" i="5"/>
  <c r="M97" i="5"/>
  <c r="N97" i="5"/>
  <c r="O97" i="5"/>
  <c r="P97" i="5"/>
  <c r="Q97" i="5"/>
  <c r="R97" i="5"/>
  <c r="S97" i="5"/>
  <c r="T97" i="5"/>
  <c r="U97" i="5"/>
  <c r="A98" i="5"/>
  <c r="C98" i="5"/>
  <c r="D98" i="5"/>
  <c r="E98" i="5"/>
  <c r="F98" i="5"/>
  <c r="G98" i="5"/>
  <c r="H98" i="5"/>
  <c r="I98" i="5"/>
  <c r="J98" i="5"/>
  <c r="K98" i="5"/>
  <c r="L98" i="5"/>
  <c r="M98" i="5"/>
  <c r="N98" i="5"/>
  <c r="O98" i="5"/>
  <c r="P98" i="5"/>
  <c r="Q98" i="5"/>
  <c r="R98" i="5"/>
  <c r="S98" i="5"/>
  <c r="T98" i="5"/>
  <c r="U98" i="5"/>
  <c r="A99" i="5"/>
  <c r="B99" i="5"/>
  <c r="C99" i="5"/>
  <c r="D99" i="5"/>
  <c r="E99" i="5"/>
  <c r="F99" i="5"/>
  <c r="G99" i="5"/>
  <c r="H99" i="5"/>
  <c r="I99" i="5"/>
  <c r="J99" i="5"/>
  <c r="K99" i="5"/>
  <c r="L99" i="5"/>
  <c r="M99" i="5"/>
  <c r="N99" i="5"/>
  <c r="O99" i="5"/>
  <c r="P99" i="5"/>
  <c r="Q99" i="5"/>
  <c r="R99" i="5"/>
  <c r="S99" i="5"/>
  <c r="T99" i="5"/>
  <c r="U99" i="5"/>
  <c r="A101" i="5"/>
  <c r="B101" i="5"/>
  <c r="C101" i="5"/>
  <c r="D101" i="5"/>
  <c r="E101" i="5"/>
  <c r="F101" i="5"/>
  <c r="G101" i="5"/>
  <c r="H101" i="5"/>
  <c r="I101" i="5"/>
  <c r="J101" i="5"/>
  <c r="K101" i="5"/>
  <c r="L101" i="5"/>
  <c r="M101" i="5"/>
  <c r="N101" i="5"/>
  <c r="O101" i="5"/>
  <c r="P101" i="5"/>
  <c r="Q101" i="5"/>
  <c r="R101" i="5"/>
  <c r="S101" i="5"/>
  <c r="T101" i="5"/>
  <c r="U101" i="5"/>
  <c r="A100" i="5"/>
  <c r="B100" i="5"/>
  <c r="C100" i="5"/>
  <c r="D100" i="5"/>
  <c r="E100" i="5"/>
  <c r="F100" i="5"/>
  <c r="G100" i="5"/>
  <c r="H100" i="5"/>
  <c r="I100" i="5"/>
  <c r="J100" i="5"/>
  <c r="K100" i="5"/>
  <c r="L100" i="5"/>
  <c r="M100" i="5"/>
  <c r="N100" i="5"/>
  <c r="O100" i="5"/>
  <c r="P100" i="5"/>
  <c r="Q100" i="5"/>
  <c r="R100" i="5"/>
  <c r="S100" i="5"/>
  <c r="T100" i="5"/>
  <c r="U100" i="5"/>
  <c r="A102" i="5"/>
  <c r="B102" i="5"/>
  <c r="C102" i="5"/>
  <c r="D102" i="5"/>
  <c r="E102" i="5"/>
  <c r="F102" i="5"/>
  <c r="G102" i="5"/>
  <c r="H102" i="5"/>
  <c r="I102" i="5"/>
  <c r="J102" i="5"/>
  <c r="K102" i="5"/>
  <c r="L102" i="5"/>
  <c r="M102" i="5"/>
  <c r="N102" i="5"/>
  <c r="O102" i="5"/>
  <c r="P102" i="5"/>
  <c r="Q102" i="5"/>
  <c r="R102" i="5"/>
  <c r="S102" i="5"/>
  <c r="T102" i="5"/>
  <c r="U102" i="5"/>
  <c r="A103" i="5"/>
  <c r="B103" i="5"/>
  <c r="C103" i="5"/>
  <c r="D103" i="5"/>
  <c r="E103" i="5"/>
  <c r="F103" i="5"/>
  <c r="G103" i="5"/>
  <c r="H103" i="5"/>
  <c r="I103" i="5"/>
  <c r="J103" i="5"/>
  <c r="K103" i="5"/>
  <c r="L103" i="5"/>
  <c r="M103" i="5"/>
  <c r="N103" i="5"/>
  <c r="O103" i="5"/>
  <c r="P103" i="5"/>
  <c r="Q103" i="5"/>
  <c r="R103" i="5"/>
  <c r="S103" i="5"/>
  <c r="T103" i="5"/>
  <c r="U103" i="5"/>
  <c r="A104" i="5"/>
  <c r="C104" i="5"/>
  <c r="D104" i="5"/>
  <c r="E104" i="5"/>
  <c r="F104" i="5"/>
  <c r="G104" i="5"/>
  <c r="H104" i="5"/>
  <c r="I104" i="5"/>
  <c r="J104" i="5"/>
  <c r="K104" i="5"/>
  <c r="L104" i="5"/>
  <c r="M104" i="5"/>
  <c r="N104" i="5"/>
  <c r="O104" i="5"/>
  <c r="P104" i="5"/>
  <c r="Q104" i="5"/>
  <c r="R104" i="5"/>
  <c r="S104" i="5"/>
  <c r="T104" i="5"/>
  <c r="U104" i="5"/>
  <c r="A105" i="5"/>
  <c r="C105" i="5"/>
  <c r="D105" i="5"/>
  <c r="E105" i="5"/>
  <c r="F105" i="5"/>
  <c r="G105" i="5"/>
  <c r="H105" i="5"/>
  <c r="I105" i="5"/>
  <c r="J105" i="5"/>
  <c r="K105" i="5"/>
  <c r="L105" i="5"/>
  <c r="M105" i="5"/>
  <c r="N105" i="5"/>
  <c r="O105" i="5"/>
  <c r="P105" i="5"/>
  <c r="Q105" i="5"/>
  <c r="R105" i="5"/>
  <c r="S105" i="5"/>
  <c r="T105" i="5"/>
  <c r="U105" i="5"/>
  <c r="A106" i="5"/>
  <c r="C106" i="5"/>
  <c r="D106" i="5"/>
  <c r="E106" i="5"/>
  <c r="F106" i="5"/>
  <c r="G106" i="5"/>
  <c r="H106" i="5"/>
  <c r="I106" i="5"/>
  <c r="J106" i="5"/>
  <c r="K106" i="5"/>
  <c r="L106" i="5"/>
  <c r="M106" i="5"/>
  <c r="N106" i="5"/>
  <c r="O106" i="5"/>
  <c r="P106" i="5"/>
  <c r="Q106" i="5"/>
  <c r="R106" i="5"/>
  <c r="S106" i="5"/>
  <c r="T106" i="5"/>
  <c r="U106" i="5"/>
  <c r="A107" i="5"/>
  <c r="C107" i="5"/>
  <c r="D107" i="5"/>
  <c r="E107" i="5"/>
  <c r="F107" i="5"/>
  <c r="G107" i="5"/>
  <c r="H107" i="5"/>
  <c r="I107" i="5"/>
  <c r="J107" i="5"/>
  <c r="K107" i="5"/>
  <c r="L107" i="5"/>
  <c r="M107" i="5"/>
  <c r="N107" i="5"/>
  <c r="O107" i="5"/>
  <c r="P107" i="5"/>
  <c r="Q107" i="5"/>
  <c r="R107" i="5"/>
  <c r="S107" i="5"/>
  <c r="T107" i="5"/>
  <c r="U107" i="5"/>
  <c r="A108" i="5"/>
  <c r="B108" i="5"/>
  <c r="C108" i="5"/>
  <c r="D108" i="5"/>
  <c r="E108" i="5"/>
  <c r="F108" i="5"/>
  <c r="G108" i="5"/>
  <c r="H108" i="5"/>
  <c r="I108" i="5"/>
  <c r="J108" i="5"/>
  <c r="K108" i="5"/>
  <c r="L108" i="5"/>
  <c r="M108" i="5"/>
  <c r="N108" i="5"/>
  <c r="O108" i="5"/>
  <c r="P108" i="5"/>
  <c r="Q108" i="5"/>
  <c r="R108" i="5"/>
  <c r="S108" i="5"/>
  <c r="T108" i="5"/>
  <c r="U108" i="5"/>
  <c r="A109" i="5"/>
  <c r="B109" i="5"/>
  <c r="C109" i="5"/>
  <c r="D109" i="5"/>
  <c r="E109" i="5"/>
  <c r="F109" i="5"/>
  <c r="G109" i="5"/>
  <c r="H109" i="5"/>
  <c r="I109" i="5"/>
  <c r="J109" i="5"/>
  <c r="K109" i="5"/>
  <c r="L109" i="5"/>
  <c r="M109" i="5"/>
  <c r="N109" i="5"/>
  <c r="O109" i="5"/>
  <c r="P109" i="5"/>
  <c r="Q109" i="5"/>
  <c r="R109" i="5"/>
  <c r="S109" i="5"/>
  <c r="T109" i="5"/>
  <c r="U109" i="5"/>
  <c r="A110" i="5"/>
  <c r="B110" i="5"/>
  <c r="C110" i="5"/>
  <c r="D110" i="5"/>
  <c r="E110" i="5"/>
  <c r="F110" i="5"/>
  <c r="G110" i="5"/>
  <c r="H110" i="5"/>
  <c r="I110" i="5"/>
  <c r="J110" i="5"/>
  <c r="K110" i="5"/>
  <c r="L110" i="5"/>
  <c r="M110" i="5"/>
  <c r="N110" i="5"/>
  <c r="O110" i="5"/>
  <c r="P110" i="5"/>
  <c r="Q110" i="5"/>
  <c r="R110" i="5"/>
  <c r="S110" i="5"/>
  <c r="T110" i="5"/>
  <c r="U110" i="5"/>
  <c r="A111" i="5"/>
  <c r="B111" i="5"/>
  <c r="C111" i="5"/>
  <c r="D111" i="5"/>
  <c r="E111" i="5"/>
  <c r="F111" i="5"/>
  <c r="G111" i="5"/>
  <c r="H111" i="5"/>
  <c r="I111" i="5"/>
  <c r="J111" i="5"/>
  <c r="K111" i="5"/>
  <c r="L111" i="5"/>
  <c r="M111" i="5"/>
  <c r="N111" i="5"/>
  <c r="O111" i="5"/>
  <c r="P111" i="5"/>
  <c r="Q111" i="5"/>
  <c r="R111" i="5"/>
  <c r="S111" i="5"/>
  <c r="T111" i="5"/>
  <c r="U111" i="5"/>
  <c r="A112" i="5"/>
  <c r="B112" i="5"/>
  <c r="C112" i="5"/>
  <c r="D112" i="5"/>
  <c r="E112" i="5"/>
  <c r="F112" i="5"/>
  <c r="G112" i="5"/>
  <c r="H112" i="5"/>
  <c r="I112" i="5"/>
  <c r="J112" i="5"/>
  <c r="K112" i="5"/>
  <c r="L112" i="5"/>
  <c r="M112" i="5"/>
  <c r="N112" i="5"/>
  <c r="O112" i="5"/>
  <c r="P112" i="5"/>
  <c r="Q112" i="5"/>
  <c r="R112" i="5"/>
  <c r="S112" i="5"/>
  <c r="T112" i="5"/>
  <c r="U112" i="5"/>
  <c r="A113" i="5"/>
  <c r="C113" i="5"/>
  <c r="D113" i="5"/>
  <c r="E113" i="5"/>
  <c r="F113" i="5"/>
  <c r="G113" i="5"/>
  <c r="H113" i="5"/>
  <c r="I113" i="5"/>
  <c r="J113" i="5"/>
  <c r="K113" i="5"/>
  <c r="L113" i="5"/>
  <c r="M113" i="5"/>
  <c r="N113" i="5"/>
  <c r="O113" i="5"/>
  <c r="P113" i="5"/>
  <c r="Q113" i="5"/>
  <c r="R113" i="5"/>
  <c r="S113" i="5"/>
  <c r="T113" i="5"/>
  <c r="U113" i="5"/>
  <c r="A114" i="5"/>
  <c r="C114" i="5"/>
  <c r="D114" i="5"/>
  <c r="E114" i="5"/>
  <c r="F114" i="5"/>
  <c r="G114" i="5"/>
  <c r="H114" i="5"/>
  <c r="I114" i="5"/>
  <c r="J114" i="5"/>
  <c r="K114" i="5"/>
  <c r="L114" i="5"/>
  <c r="M114" i="5"/>
  <c r="N114" i="5"/>
  <c r="O114" i="5"/>
  <c r="P114" i="5"/>
  <c r="Q114" i="5"/>
  <c r="R114" i="5"/>
  <c r="S114" i="5"/>
  <c r="T114" i="5"/>
  <c r="U114" i="5"/>
  <c r="A115" i="5"/>
  <c r="C115" i="5"/>
  <c r="D115" i="5"/>
  <c r="E115" i="5"/>
  <c r="F115" i="5"/>
  <c r="G115" i="5"/>
  <c r="H115" i="5"/>
  <c r="I115" i="5"/>
  <c r="J115" i="5"/>
  <c r="K115" i="5"/>
  <c r="L115" i="5"/>
  <c r="M115" i="5"/>
  <c r="N115" i="5"/>
  <c r="O115" i="5"/>
  <c r="P115" i="5"/>
  <c r="Q115" i="5"/>
  <c r="R115" i="5"/>
  <c r="S115" i="5"/>
  <c r="T115" i="5"/>
  <c r="U115" i="5"/>
  <c r="A116" i="5"/>
  <c r="C116" i="5"/>
  <c r="D116" i="5"/>
  <c r="E116" i="5"/>
  <c r="F116" i="5"/>
  <c r="G116" i="5"/>
  <c r="H116" i="5"/>
  <c r="I116" i="5"/>
  <c r="J116" i="5"/>
  <c r="K116" i="5"/>
  <c r="L116" i="5"/>
  <c r="M116" i="5"/>
  <c r="N116" i="5"/>
  <c r="O116" i="5"/>
  <c r="P116" i="5"/>
  <c r="Q116" i="5"/>
  <c r="R116" i="5"/>
  <c r="S116" i="5"/>
  <c r="T116" i="5"/>
  <c r="U116" i="5"/>
  <c r="A117" i="5"/>
  <c r="B117" i="5"/>
  <c r="C117" i="5"/>
  <c r="D117" i="5"/>
  <c r="E117" i="5"/>
  <c r="F117" i="5"/>
  <c r="G117" i="5"/>
  <c r="H117" i="5"/>
  <c r="I117" i="5"/>
  <c r="J117" i="5"/>
  <c r="K117" i="5"/>
  <c r="L117" i="5"/>
  <c r="M117" i="5"/>
  <c r="N117" i="5"/>
  <c r="O117" i="5"/>
  <c r="P117" i="5"/>
  <c r="Q117" i="5"/>
  <c r="R117" i="5"/>
  <c r="S117" i="5"/>
  <c r="T117" i="5"/>
  <c r="U117" i="5"/>
  <c r="A118" i="5"/>
  <c r="B118" i="5"/>
  <c r="C118" i="5"/>
  <c r="D118" i="5"/>
  <c r="E118" i="5"/>
  <c r="F118" i="5"/>
  <c r="G118" i="5"/>
  <c r="H118" i="5"/>
  <c r="I118" i="5"/>
  <c r="J118" i="5"/>
  <c r="K118" i="5"/>
  <c r="L118" i="5"/>
  <c r="M118" i="5"/>
  <c r="N118" i="5"/>
  <c r="O118" i="5"/>
  <c r="P118" i="5"/>
  <c r="Q118" i="5"/>
  <c r="R118" i="5"/>
  <c r="S118" i="5"/>
  <c r="T118" i="5"/>
  <c r="U118" i="5"/>
  <c r="A119" i="5"/>
  <c r="B119" i="5"/>
  <c r="C119" i="5"/>
  <c r="D119" i="5"/>
  <c r="E119" i="5"/>
  <c r="F119" i="5"/>
  <c r="G119" i="5"/>
  <c r="H119" i="5"/>
  <c r="I119" i="5"/>
  <c r="J119" i="5"/>
  <c r="K119" i="5"/>
  <c r="L119" i="5"/>
  <c r="M119" i="5"/>
  <c r="N119" i="5"/>
  <c r="O119" i="5"/>
  <c r="P119" i="5"/>
  <c r="Q119" i="5"/>
  <c r="R119" i="5"/>
  <c r="S119" i="5"/>
  <c r="T119" i="5"/>
  <c r="U119" i="5"/>
  <c r="A120" i="5"/>
  <c r="B120" i="5"/>
  <c r="C120" i="5"/>
  <c r="D120" i="5"/>
  <c r="E120" i="5"/>
  <c r="F120" i="5"/>
  <c r="G120" i="5"/>
  <c r="H120" i="5"/>
  <c r="I120" i="5"/>
  <c r="J120" i="5"/>
  <c r="K120" i="5"/>
  <c r="L120" i="5"/>
  <c r="M120" i="5"/>
  <c r="N120" i="5"/>
  <c r="O120" i="5"/>
  <c r="P120" i="5"/>
  <c r="Q120" i="5"/>
  <c r="R120" i="5"/>
  <c r="S120" i="5"/>
  <c r="T120" i="5"/>
  <c r="U120" i="5"/>
  <c r="A121" i="5"/>
  <c r="B121" i="5"/>
  <c r="C121" i="5"/>
  <c r="D121" i="5"/>
  <c r="E121" i="5"/>
  <c r="F121" i="5"/>
  <c r="G121" i="5"/>
  <c r="H121" i="5"/>
  <c r="I121" i="5"/>
  <c r="J121" i="5"/>
  <c r="K121" i="5"/>
  <c r="L121" i="5"/>
  <c r="M121" i="5"/>
  <c r="N121" i="5"/>
  <c r="O121" i="5"/>
  <c r="P121" i="5"/>
  <c r="Q121" i="5"/>
  <c r="R121" i="5"/>
  <c r="S121" i="5"/>
  <c r="T121" i="5"/>
  <c r="U121" i="5"/>
  <c r="A122" i="5"/>
  <c r="C122" i="5"/>
  <c r="D122" i="5"/>
  <c r="E122" i="5"/>
  <c r="F122" i="5"/>
  <c r="G122" i="5"/>
  <c r="H122" i="5"/>
  <c r="I122" i="5"/>
  <c r="J122" i="5"/>
  <c r="K122" i="5"/>
  <c r="L122" i="5"/>
  <c r="M122" i="5"/>
  <c r="N122" i="5"/>
  <c r="O122" i="5"/>
  <c r="P122" i="5"/>
  <c r="Q122" i="5"/>
  <c r="R122" i="5"/>
  <c r="S122" i="5"/>
  <c r="T122" i="5"/>
  <c r="U122" i="5"/>
  <c r="A123" i="5"/>
  <c r="C123" i="5"/>
  <c r="D123" i="5"/>
  <c r="E123" i="5"/>
  <c r="F123" i="5"/>
  <c r="G123" i="5"/>
  <c r="H123" i="5"/>
  <c r="I123" i="5"/>
  <c r="J123" i="5"/>
  <c r="K123" i="5"/>
  <c r="L123" i="5"/>
  <c r="M123" i="5"/>
  <c r="N123" i="5"/>
  <c r="O123" i="5"/>
  <c r="P123" i="5"/>
  <c r="Q123" i="5"/>
  <c r="R123" i="5"/>
  <c r="S123" i="5"/>
  <c r="T123" i="5"/>
  <c r="U123" i="5"/>
  <c r="A124" i="5"/>
  <c r="C124" i="5"/>
  <c r="D124" i="5"/>
  <c r="E124" i="5"/>
  <c r="F124" i="5"/>
  <c r="G124" i="5"/>
  <c r="H124" i="5"/>
  <c r="I124" i="5"/>
  <c r="J124" i="5"/>
  <c r="K124" i="5"/>
  <c r="L124" i="5"/>
  <c r="M124" i="5"/>
  <c r="N124" i="5"/>
  <c r="O124" i="5"/>
  <c r="P124" i="5"/>
  <c r="Q124" i="5"/>
  <c r="R124" i="5"/>
  <c r="S124" i="5"/>
  <c r="T124" i="5"/>
  <c r="U124" i="5"/>
  <c r="A125" i="5"/>
  <c r="C125" i="5"/>
  <c r="D125" i="5"/>
  <c r="E125" i="5"/>
  <c r="F125" i="5"/>
  <c r="G125" i="5"/>
  <c r="H125" i="5"/>
  <c r="I125" i="5"/>
  <c r="J125" i="5"/>
  <c r="K125" i="5"/>
  <c r="L125" i="5"/>
  <c r="M125" i="5"/>
  <c r="N125" i="5"/>
  <c r="O125" i="5"/>
  <c r="P125" i="5"/>
  <c r="Q125" i="5"/>
  <c r="R125" i="5"/>
  <c r="S125" i="5"/>
  <c r="T125" i="5"/>
  <c r="U125" i="5"/>
  <c r="A126" i="5"/>
  <c r="B126" i="5"/>
  <c r="C126" i="5"/>
  <c r="D126" i="5"/>
  <c r="E126" i="5"/>
  <c r="F126" i="5"/>
  <c r="G126" i="5"/>
  <c r="H126" i="5"/>
  <c r="I126" i="5"/>
  <c r="J126" i="5"/>
  <c r="K126" i="5"/>
  <c r="L126" i="5"/>
  <c r="M126" i="5"/>
  <c r="N126" i="5"/>
  <c r="O126" i="5"/>
  <c r="P126" i="5"/>
  <c r="Q126" i="5"/>
  <c r="R126" i="5"/>
  <c r="S126" i="5"/>
  <c r="T126" i="5"/>
  <c r="U126" i="5"/>
  <c r="A127" i="5"/>
  <c r="B127" i="5"/>
  <c r="C127" i="5"/>
  <c r="D127" i="5"/>
  <c r="E127" i="5"/>
  <c r="F127" i="5"/>
  <c r="G127" i="5"/>
  <c r="H127" i="5"/>
  <c r="I127" i="5"/>
  <c r="J127" i="5"/>
  <c r="K127" i="5"/>
  <c r="L127" i="5"/>
  <c r="M127" i="5"/>
  <c r="N127" i="5"/>
  <c r="O127" i="5"/>
  <c r="P127" i="5"/>
  <c r="Q127" i="5"/>
  <c r="R127" i="5"/>
  <c r="S127" i="5"/>
  <c r="T127" i="5"/>
  <c r="U127" i="5"/>
  <c r="A128" i="5"/>
  <c r="B128" i="5"/>
  <c r="C128" i="5"/>
  <c r="D128" i="5"/>
  <c r="E128" i="5"/>
  <c r="F128" i="5"/>
  <c r="G128" i="5"/>
  <c r="H128" i="5"/>
  <c r="I128" i="5"/>
  <c r="J128" i="5"/>
  <c r="K128" i="5"/>
  <c r="L128" i="5"/>
  <c r="M128" i="5"/>
  <c r="N128" i="5"/>
  <c r="O128" i="5"/>
  <c r="P128" i="5"/>
  <c r="Q128" i="5"/>
  <c r="R128" i="5"/>
  <c r="S128" i="5"/>
  <c r="T128" i="5"/>
  <c r="U128" i="5"/>
  <c r="A129" i="5"/>
  <c r="B129" i="5"/>
  <c r="C129" i="5"/>
  <c r="D129" i="5"/>
  <c r="E129" i="5"/>
  <c r="F129" i="5"/>
  <c r="G129" i="5"/>
  <c r="H129" i="5"/>
  <c r="I129" i="5"/>
  <c r="J129" i="5"/>
  <c r="K129" i="5"/>
  <c r="L129" i="5"/>
  <c r="M129" i="5"/>
  <c r="N129" i="5"/>
  <c r="O129" i="5"/>
  <c r="P129" i="5"/>
  <c r="Q129" i="5"/>
  <c r="R129" i="5"/>
  <c r="S129" i="5"/>
  <c r="T129" i="5"/>
  <c r="U129" i="5"/>
  <c r="A130" i="5"/>
  <c r="B130" i="5"/>
  <c r="C130" i="5"/>
  <c r="D130" i="5"/>
  <c r="E130" i="5"/>
  <c r="F130" i="5"/>
  <c r="G130" i="5"/>
  <c r="H130" i="5"/>
  <c r="I130" i="5"/>
  <c r="J130" i="5"/>
  <c r="K130" i="5"/>
  <c r="L130" i="5"/>
  <c r="M130" i="5"/>
  <c r="N130" i="5"/>
  <c r="O130" i="5"/>
  <c r="P130" i="5"/>
  <c r="Q130" i="5"/>
  <c r="R130" i="5"/>
  <c r="S130" i="5"/>
  <c r="T130" i="5"/>
  <c r="U130" i="5"/>
  <c r="A131" i="5"/>
  <c r="C131" i="5"/>
  <c r="D131" i="5"/>
  <c r="E131" i="5"/>
  <c r="F131" i="5"/>
  <c r="G131" i="5"/>
  <c r="H131" i="5"/>
  <c r="I131" i="5"/>
  <c r="J131" i="5"/>
  <c r="K131" i="5"/>
  <c r="L131" i="5"/>
  <c r="M131" i="5"/>
  <c r="N131" i="5"/>
  <c r="O131" i="5"/>
  <c r="P131" i="5"/>
  <c r="Q131" i="5"/>
  <c r="R131" i="5"/>
  <c r="S131" i="5"/>
  <c r="T131" i="5"/>
  <c r="U131" i="5"/>
  <c r="A132" i="5"/>
  <c r="C132" i="5"/>
  <c r="D132" i="5"/>
  <c r="E132" i="5"/>
  <c r="F132" i="5"/>
  <c r="G132" i="5"/>
  <c r="H132" i="5"/>
  <c r="I132" i="5"/>
  <c r="J132" i="5"/>
  <c r="K132" i="5"/>
  <c r="L132" i="5"/>
  <c r="M132" i="5"/>
  <c r="N132" i="5"/>
  <c r="O132" i="5"/>
  <c r="P132" i="5"/>
  <c r="Q132" i="5"/>
  <c r="R132" i="5"/>
  <c r="S132" i="5"/>
  <c r="T132" i="5"/>
  <c r="U132" i="5"/>
  <c r="A133" i="5"/>
  <c r="C133" i="5"/>
  <c r="D133" i="5"/>
  <c r="E133" i="5"/>
  <c r="F133" i="5"/>
  <c r="G133" i="5"/>
  <c r="H133" i="5"/>
  <c r="I133" i="5"/>
  <c r="J133" i="5"/>
  <c r="K133" i="5"/>
  <c r="L133" i="5"/>
  <c r="M133" i="5"/>
  <c r="N133" i="5"/>
  <c r="O133" i="5"/>
  <c r="P133" i="5"/>
  <c r="Q133" i="5"/>
  <c r="R133" i="5"/>
  <c r="S133" i="5"/>
  <c r="T133" i="5"/>
  <c r="U133" i="5"/>
  <c r="A134" i="5"/>
  <c r="C134" i="5"/>
  <c r="D134" i="5"/>
  <c r="E134" i="5"/>
  <c r="F134" i="5"/>
  <c r="G134" i="5"/>
  <c r="H134" i="5"/>
  <c r="I134" i="5"/>
  <c r="J134" i="5"/>
  <c r="K134" i="5"/>
  <c r="L134" i="5"/>
  <c r="M134" i="5"/>
  <c r="N134" i="5"/>
  <c r="O134" i="5"/>
  <c r="P134" i="5"/>
  <c r="Q134" i="5"/>
  <c r="R134" i="5"/>
  <c r="S134" i="5"/>
  <c r="T134" i="5"/>
  <c r="U134" i="5"/>
  <c r="A135" i="5"/>
  <c r="B135" i="5"/>
  <c r="C135" i="5"/>
  <c r="D135" i="5"/>
  <c r="E135" i="5"/>
  <c r="F135" i="5"/>
  <c r="G135" i="5"/>
  <c r="H135" i="5"/>
  <c r="I135" i="5"/>
  <c r="J135" i="5"/>
  <c r="K135" i="5"/>
  <c r="L135" i="5"/>
  <c r="M135" i="5"/>
  <c r="N135" i="5"/>
  <c r="O135" i="5"/>
  <c r="P135" i="5"/>
  <c r="Q135" i="5"/>
  <c r="R135" i="5"/>
  <c r="S135" i="5"/>
  <c r="T135" i="5"/>
  <c r="U135" i="5"/>
  <c r="A136" i="5"/>
  <c r="B136" i="5"/>
  <c r="C136" i="5"/>
  <c r="D136" i="5"/>
  <c r="E136" i="5"/>
  <c r="F136" i="5"/>
  <c r="G136" i="5"/>
  <c r="H136" i="5"/>
  <c r="I136" i="5"/>
  <c r="J136" i="5"/>
  <c r="K136" i="5"/>
  <c r="L136" i="5"/>
  <c r="M136" i="5"/>
  <c r="N136" i="5"/>
  <c r="O136" i="5"/>
  <c r="P136" i="5"/>
  <c r="Q136" i="5"/>
  <c r="R136" i="5"/>
  <c r="S136" i="5"/>
  <c r="T136" i="5"/>
  <c r="U136" i="5"/>
  <c r="A137" i="5"/>
  <c r="B137" i="5"/>
  <c r="C137" i="5"/>
  <c r="D137" i="5"/>
  <c r="E137" i="5"/>
  <c r="F137" i="5"/>
  <c r="G137" i="5"/>
  <c r="H137" i="5"/>
  <c r="I137" i="5"/>
  <c r="J137" i="5"/>
  <c r="K137" i="5"/>
  <c r="L137" i="5"/>
  <c r="M137" i="5"/>
  <c r="N137" i="5"/>
  <c r="O137" i="5"/>
  <c r="P137" i="5"/>
  <c r="Q137" i="5"/>
  <c r="R137" i="5"/>
  <c r="S137" i="5"/>
  <c r="T137" i="5"/>
  <c r="U137" i="5"/>
  <c r="A138" i="5"/>
  <c r="B138" i="5"/>
  <c r="C138" i="5"/>
  <c r="D138" i="5"/>
  <c r="E138" i="5"/>
  <c r="F138" i="5"/>
  <c r="G138" i="5"/>
  <c r="H138" i="5"/>
  <c r="I138" i="5"/>
  <c r="J138" i="5"/>
  <c r="K138" i="5"/>
  <c r="L138" i="5"/>
  <c r="M138" i="5"/>
  <c r="N138" i="5"/>
  <c r="O138" i="5"/>
  <c r="P138" i="5"/>
  <c r="Q138" i="5"/>
  <c r="R138" i="5"/>
  <c r="S138" i="5"/>
  <c r="T138" i="5"/>
  <c r="U138" i="5"/>
  <c r="A139" i="5"/>
  <c r="B139" i="5"/>
  <c r="C139" i="5"/>
  <c r="D139" i="5"/>
  <c r="E139" i="5"/>
  <c r="F139" i="5"/>
  <c r="G139" i="5"/>
  <c r="H139" i="5"/>
  <c r="I139" i="5"/>
  <c r="J139" i="5"/>
  <c r="K139" i="5"/>
  <c r="L139" i="5"/>
  <c r="M139" i="5"/>
  <c r="N139" i="5"/>
  <c r="O139" i="5"/>
  <c r="P139" i="5"/>
  <c r="Q139" i="5"/>
  <c r="R139" i="5"/>
  <c r="S139" i="5"/>
  <c r="T139" i="5"/>
  <c r="U139" i="5"/>
  <c r="A140" i="5"/>
  <c r="C140" i="5"/>
  <c r="D140" i="5"/>
  <c r="E140" i="5"/>
  <c r="F140" i="5"/>
  <c r="G140" i="5"/>
  <c r="H140" i="5"/>
  <c r="I140" i="5"/>
  <c r="J140" i="5"/>
  <c r="K140" i="5"/>
  <c r="L140" i="5"/>
  <c r="M140" i="5"/>
  <c r="N140" i="5"/>
  <c r="O140" i="5"/>
  <c r="P140" i="5"/>
  <c r="Q140" i="5"/>
  <c r="R140" i="5"/>
  <c r="S140" i="5"/>
  <c r="T140" i="5"/>
  <c r="U140" i="5"/>
  <c r="A141" i="5"/>
  <c r="C141" i="5"/>
  <c r="D141" i="5"/>
  <c r="E141" i="5"/>
  <c r="F141" i="5"/>
  <c r="G141" i="5"/>
  <c r="H141" i="5"/>
  <c r="I141" i="5"/>
  <c r="J141" i="5"/>
  <c r="K141" i="5"/>
  <c r="L141" i="5"/>
  <c r="M141" i="5"/>
  <c r="N141" i="5"/>
  <c r="O141" i="5"/>
  <c r="P141" i="5"/>
  <c r="Q141" i="5"/>
  <c r="R141" i="5"/>
  <c r="S141" i="5"/>
  <c r="T141" i="5"/>
  <c r="U141" i="5"/>
  <c r="A143" i="5"/>
  <c r="C143" i="5"/>
  <c r="D143" i="5"/>
  <c r="E143" i="5"/>
  <c r="F143" i="5"/>
  <c r="G143" i="5"/>
  <c r="H143" i="5"/>
  <c r="I143" i="5"/>
  <c r="J143" i="5"/>
  <c r="K143" i="5"/>
  <c r="L143" i="5"/>
  <c r="M143" i="5"/>
  <c r="N143" i="5"/>
  <c r="O143" i="5"/>
  <c r="P143" i="5"/>
  <c r="Q143" i="5"/>
  <c r="R143" i="5"/>
  <c r="S143" i="5"/>
  <c r="T143" i="5"/>
  <c r="U143" i="5"/>
  <c r="A144" i="5"/>
  <c r="B144" i="5"/>
  <c r="C144" i="5"/>
  <c r="D144" i="5"/>
  <c r="E144" i="5"/>
  <c r="F144" i="5"/>
  <c r="G144" i="5"/>
  <c r="H144" i="5"/>
  <c r="I144" i="5"/>
  <c r="J144" i="5"/>
  <c r="K144" i="5"/>
  <c r="L144" i="5"/>
  <c r="M144" i="5"/>
  <c r="N144" i="5"/>
  <c r="O144" i="5"/>
  <c r="P144" i="5"/>
  <c r="Q144" i="5"/>
  <c r="R144" i="5"/>
  <c r="S144" i="5"/>
  <c r="T144" i="5"/>
  <c r="U144" i="5"/>
  <c r="A145" i="5"/>
  <c r="B145" i="5"/>
  <c r="C145" i="5"/>
  <c r="D145" i="5"/>
  <c r="E145" i="5"/>
  <c r="F145" i="5"/>
  <c r="G145" i="5"/>
  <c r="H145" i="5"/>
  <c r="I145" i="5"/>
  <c r="J145" i="5"/>
  <c r="K145" i="5"/>
  <c r="L145" i="5"/>
  <c r="M145" i="5"/>
  <c r="N145" i="5"/>
  <c r="O145" i="5"/>
  <c r="P145" i="5"/>
  <c r="Q145" i="5"/>
  <c r="R145" i="5"/>
  <c r="S145" i="5"/>
  <c r="T145" i="5"/>
  <c r="U145" i="5"/>
  <c r="A146" i="5"/>
  <c r="B146" i="5"/>
  <c r="C146" i="5"/>
  <c r="D146" i="5"/>
  <c r="E146" i="5"/>
  <c r="F146" i="5"/>
  <c r="G146" i="5"/>
  <c r="H146" i="5"/>
  <c r="I146" i="5"/>
  <c r="J146" i="5"/>
  <c r="K146" i="5"/>
  <c r="L146" i="5"/>
  <c r="M146" i="5"/>
  <c r="N146" i="5"/>
  <c r="O146" i="5"/>
  <c r="P146" i="5"/>
  <c r="Q146" i="5"/>
  <c r="R146" i="5"/>
  <c r="S146" i="5"/>
  <c r="T146" i="5"/>
  <c r="U146" i="5"/>
  <c r="A142" i="5"/>
  <c r="B142" i="5"/>
  <c r="C142" i="5"/>
  <c r="D142" i="5"/>
  <c r="E142" i="5"/>
  <c r="F142" i="5"/>
  <c r="G142" i="5"/>
  <c r="H142" i="5"/>
  <c r="I142" i="5"/>
  <c r="J142" i="5"/>
  <c r="K142" i="5"/>
  <c r="L142" i="5"/>
  <c r="M142" i="5"/>
  <c r="N142" i="5"/>
  <c r="O142" i="5"/>
  <c r="P142" i="5"/>
  <c r="Q142" i="5"/>
  <c r="R142" i="5"/>
  <c r="S142" i="5"/>
  <c r="T142" i="5"/>
  <c r="U142" i="5"/>
  <c r="A147" i="5"/>
  <c r="B147" i="5"/>
  <c r="C147" i="5"/>
  <c r="D147" i="5"/>
  <c r="E147" i="5"/>
  <c r="F147" i="5"/>
  <c r="G147" i="5"/>
  <c r="H147" i="5"/>
  <c r="I147" i="5"/>
  <c r="J147" i="5"/>
  <c r="K147" i="5"/>
  <c r="L147" i="5"/>
  <c r="M147" i="5"/>
  <c r="N147" i="5"/>
  <c r="O147" i="5"/>
  <c r="P147" i="5"/>
  <c r="Q147" i="5"/>
  <c r="R147" i="5"/>
  <c r="S147" i="5"/>
  <c r="T147" i="5"/>
  <c r="U147" i="5"/>
  <c r="A148" i="5"/>
  <c r="B148" i="5"/>
  <c r="C148" i="5"/>
  <c r="D148" i="5"/>
  <c r="E148" i="5"/>
  <c r="F148" i="5"/>
  <c r="G148" i="5"/>
  <c r="H148" i="5"/>
  <c r="I148" i="5"/>
  <c r="J148" i="5"/>
  <c r="K148" i="5"/>
  <c r="L148" i="5"/>
  <c r="M148" i="5"/>
  <c r="N148" i="5"/>
  <c r="O148" i="5"/>
  <c r="P148" i="5"/>
  <c r="Q148" i="5"/>
  <c r="R148" i="5"/>
  <c r="S148" i="5"/>
  <c r="T148" i="5"/>
  <c r="U148" i="5"/>
  <c r="A152" i="5"/>
  <c r="C152" i="5"/>
  <c r="D152" i="5"/>
  <c r="E152" i="5"/>
  <c r="F152" i="5"/>
  <c r="G152" i="5"/>
  <c r="H152" i="5"/>
  <c r="I152" i="5"/>
  <c r="J152" i="5"/>
  <c r="K152" i="5"/>
  <c r="L152" i="5"/>
  <c r="M152" i="5"/>
  <c r="N152" i="5"/>
  <c r="O152" i="5"/>
  <c r="P152" i="5"/>
  <c r="Q152" i="5"/>
  <c r="R152" i="5"/>
  <c r="S152" i="5"/>
  <c r="T152" i="5"/>
  <c r="U152" i="5"/>
  <c r="A153" i="5"/>
  <c r="C153" i="5"/>
  <c r="D153" i="5"/>
  <c r="E153" i="5"/>
  <c r="F153" i="5"/>
  <c r="G153" i="5"/>
  <c r="H153" i="5"/>
  <c r="I153" i="5"/>
  <c r="J153" i="5"/>
  <c r="K153" i="5"/>
  <c r="L153" i="5"/>
  <c r="M153" i="5"/>
  <c r="N153" i="5"/>
  <c r="O153" i="5"/>
  <c r="P153" i="5"/>
  <c r="Q153" i="5"/>
  <c r="R153" i="5"/>
  <c r="S153" i="5"/>
  <c r="T153" i="5"/>
  <c r="U153" i="5"/>
  <c r="A149" i="5"/>
  <c r="B149" i="5"/>
  <c r="C149" i="5"/>
  <c r="D149" i="5"/>
  <c r="E149" i="5"/>
  <c r="F149" i="5"/>
  <c r="G149" i="5"/>
  <c r="H149" i="5"/>
  <c r="I149" i="5"/>
  <c r="J149" i="5"/>
  <c r="K149" i="5"/>
  <c r="L149" i="5"/>
  <c r="M149" i="5"/>
  <c r="N149" i="5"/>
  <c r="O149" i="5"/>
  <c r="P149" i="5"/>
  <c r="Q149" i="5"/>
  <c r="R149" i="5"/>
  <c r="S149" i="5"/>
  <c r="T149" i="5"/>
  <c r="U149" i="5"/>
  <c r="A150" i="5"/>
  <c r="B150" i="5"/>
  <c r="D150" i="5"/>
  <c r="E150" i="5"/>
  <c r="F150" i="5"/>
  <c r="G150" i="5"/>
  <c r="H150" i="5"/>
  <c r="I150" i="5"/>
  <c r="J150" i="5"/>
  <c r="K150" i="5"/>
  <c r="L150" i="5"/>
  <c r="M150" i="5"/>
  <c r="N150" i="5"/>
  <c r="O150" i="5"/>
  <c r="P150" i="5"/>
  <c r="Q150" i="5"/>
  <c r="R150" i="5"/>
  <c r="S150" i="5"/>
  <c r="T150" i="5"/>
  <c r="U150" i="5"/>
  <c r="A151" i="5"/>
  <c r="B151" i="5"/>
  <c r="C151" i="5"/>
  <c r="D151" i="5"/>
  <c r="E151" i="5"/>
  <c r="F151" i="5"/>
  <c r="G151" i="5"/>
  <c r="H151" i="5"/>
  <c r="I151" i="5"/>
  <c r="J151" i="5"/>
  <c r="K151" i="5"/>
  <c r="L151" i="5"/>
  <c r="M151" i="5"/>
  <c r="N151" i="5"/>
  <c r="O151" i="5"/>
  <c r="P151" i="5"/>
  <c r="Q151" i="5"/>
  <c r="R151" i="5"/>
  <c r="S151" i="5"/>
  <c r="T151" i="5"/>
  <c r="U151" i="5"/>
  <c r="A158" i="5"/>
  <c r="C158" i="5"/>
  <c r="D158" i="5"/>
  <c r="E158" i="5"/>
  <c r="F158" i="5"/>
  <c r="G158" i="5"/>
  <c r="H158" i="5"/>
  <c r="I158" i="5"/>
  <c r="J158" i="5"/>
  <c r="K158" i="5"/>
  <c r="L158" i="5"/>
  <c r="M158" i="5"/>
  <c r="N158" i="5"/>
  <c r="O158" i="5"/>
  <c r="P158" i="5"/>
  <c r="Q158" i="5"/>
  <c r="R158" i="5"/>
  <c r="S158" i="5"/>
  <c r="T158" i="5"/>
  <c r="U158" i="5"/>
  <c r="A159" i="5"/>
  <c r="C159" i="5"/>
  <c r="D159" i="5"/>
  <c r="E159" i="5"/>
  <c r="F159" i="5"/>
  <c r="G159" i="5"/>
  <c r="H159" i="5"/>
  <c r="I159" i="5"/>
  <c r="J159" i="5"/>
  <c r="K159" i="5"/>
  <c r="L159" i="5"/>
  <c r="M159" i="5"/>
  <c r="N159" i="5"/>
  <c r="O159" i="5"/>
  <c r="P159" i="5"/>
  <c r="Q159" i="5"/>
  <c r="R159" i="5"/>
  <c r="S159" i="5"/>
  <c r="T159" i="5"/>
  <c r="U159" i="5"/>
  <c r="A154" i="5"/>
  <c r="B154" i="5"/>
  <c r="C154" i="5"/>
  <c r="D154" i="5"/>
  <c r="E154" i="5"/>
  <c r="F154" i="5"/>
  <c r="G154" i="5"/>
  <c r="H154" i="5"/>
  <c r="I154" i="5"/>
  <c r="J154" i="5"/>
  <c r="K154" i="5"/>
  <c r="L154" i="5"/>
  <c r="M154" i="5"/>
  <c r="N154" i="5"/>
  <c r="O154" i="5"/>
  <c r="P154" i="5"/>
  <c r="Q154" i="5"/>
  <c r="R154" i="5"/>
  <c r="S154" i="5"/>
  <c r="T154" i="5"/>
  <c r="U154" i="5"/>
  <c r="A155" i="5"/>
  <c r="B155" i="5"/>
  <c r="D155" i="5"/>
  <c r="E155" i="5"/>
  <c r="F155" i="5"/>
  <c r="G155" i="5"/>
  <c r="H155" i="5"/>
  <c r="I155" i="5"/>
  <c r="J155" i="5"/>
  <c r="K155" i="5"/>
  <c r="L155" i="5"/>
  <c r="M155" i="5"/>
  <c r="N155" i="5"/>
  <c r="O155" i="5"/>
  <c r="P155" i="5"/>
  <c r="Q155" i="5"/>
  <c r="R155" i="5"/>
  <c r="S155" i="5"/>
  <c r="T155" i="5"/>
  <c r="U155" i="5"/>
  <c r="A156" i="5"/>
  <c r="B156" i="5"/>
  <c r="C156" i="5"/>
  <c r="D156" i="5"/>
  <c r="E156" i="5"/>
  <c r="F156" i="5"/>
  <c r="G156" i="5"/>
  <c r="H156" i="5"/>
  <c r="I156" i="5"/>
  <c r="J156" i="5"/>
  <c r="K156" i="5"/>
  <c r="L156" i="5"/>
  <c r="M156" i="5"/>
  <c r="N156" i="5"/>
  <c r="O156" i="5"/>
  <c r="P156" i="5"/>
  <c r="Q156" i="5"/>
  <c r="R156" i="5"/>
  <c r="S156" i="5"/>
  <c r="T156" i="5"/>
  <c r="U156" i="5"/>
  <c r="A157" i="5"/>
  <c r="B157" i="5"/>
  <c r="C157" i="5"/>
  <c r="D157" i="5"/>
  <c r="E157" i="5"/>
  <c r="F157" i="5"/>
  <c r="G157" i="5"/>
  <c r="H157" i="5"/>
  <c r="I157" i="5"/>
  <c r="J157" i="5"/>
  <c r="K157" i="5"/>
  <c r="L157" i="5"/>
  <c r="M157" i="5"/>
  <c r="N157" i="5"/>
  <c r="O157" i="5"/>
  <c r="P157" i="5"/>
  <c r="Q157" i="5"/>
  <c r="R157" i="5"/>
  <c r="S157" i="5"/>
  <c r="T157" i="5"/>
  <c r="U157" i="5"/>
  <c r="A165" i="5"/>
  <c r="C165" i="5"/>
  <c r="D165" i="5"/>
  <c r="E165" i="5"/>
  <c r="F165" i="5"/>
  <c r="G165" i="5"/>
  <c r="H165" i="5"/>
  <c r="I165" i="5"/>
  <c r="J165" i="5"/>
  <c r="K165" i="5"/>
  <c r="L165" i="5"/>
  <c r="M165" i="5"/>
  <c r="N165" i="5"/>
  <c r="O165" i="5"/>
  <c r="P165" i="5"/>
  <c r="Q165" i="5"/>
  <c r="R165" i="5"/>
  <c r="S165" i="5"/>
  <c r="T165" i="5"/>
  <c r="U165" i="5"/>
  <c r="A166" i="5"/>
  <c r="C166" i="5"/>
  <c r="D166" i="5"/>
  <c r="E166" i="5"/>
  <c r="F166" i="5"/>
  <c r="G166" i="5"/>
  <c r="H166" i="5"/>
  <c r="I166" i="5"/>
  <c r="J166" i="5"/>
  <c r="K166" i="5"/>
  <c r="L166" i="5"/>
  <c r="M166" i="5"/>
  <c r="N166" i="5"/>
  <c r="O166" i="5"/>
  <c r="P166" i="5"/>
  <c r="Q166" i="5"/>
  <c r="R166" i="5"/>
  <c r="S166" i="5"/>
  <c r="T166" i="5"/>
  <c r="U166" i="5"/>
  <c r="A167" i="5"/>
  <c r="C167" i="5"/>
  <c r="D167" i="5"/>
  <c r="E167" i="5"/>
  <c r="F167" i="5"/>
  <c r="G167" i="5"/>
  <c r="H167" i="5"/>
  <c r="I167" i="5"/>
  <c r="J167" i="5"/>
  <c r="K167" i="5"/>
  <c r="L167" i="5"/>
  <c r="M167" i="5"/>
  <c r="N167" i="5"/>
  <c r="O167" i="5"/>
  <c r="P167" i="5"/>
  <c r="Q167" i="5"/>
  <c r="R167" i="5"/>
  <c r="S167" i="5"/>
  <c r="T167" i="5"/>
  <c r="U167" i="5"/>
  <c r="A160" i="5"/>
  <c r="B160" i="5"/>
  <c r="C160" i="5"/>
  <c r="D160" i="5"/>
  <c r="E160" i="5"/>
  <c r="F160" i="5"/>
  <c r="G160" i="5"/>
  <c r="H160" i="5"/>
  <c r="I160" i="5"/>
  <c r="J160" i="5"/>
  <c r="K160" i="5"/>
  <c r="L160" i="5"/>
  <c r="M160" i="5"/>
  <c r="N160" i="5"/>
  <c r="O160" i="5"/>
  <c r="P160" i="5"/>
  <c r="Q160" i="5"/>
  <c r="R160" i="5"/>
  <c r="S160" i="5"/>
  <c r="T160" i="5"/>
  <c r="U160" i="5"/>
  <c r="A161" i="5"/>
  <c r="B161" i="5"/>
  <c r="D161" i="5"/>
  <c r="E161" i="5"/>
  <c r="F161" i="5"/>
  <c r="G161" i="5"/>
  <c r="H161" i="5"/>
  <c r="I161" i="5"/>
  <c r="J161" i="5"/>
  <c r="K161" i="5"/>
  <c r="L161" i="5"/>
  <c r="M161" i="5"/>
  <c r="N161" i="5"/>
  <c r="O161" i="5"/>
  <c r="P161" i="5"/>
  <c r="Q161" i="5"/>
  <c r="R161" i="5"/>
  <c r="S161" i="5"/>
  <c r="T161" i="5"/>
  <c r="U161" i="5"/>
  <c r="A162" i="5"/>
  <c r="B162" i="5"/>
  <c r="C162" i="5"/>
  <c r="D162" i="5"/>
  <c r="E162" i="5"/>
  <c r="F162" i="5"/>
  <c r="G162" i="5"/>
  <c r="H162" i="5"/>
  <c r="I162" i="5"/>
  <c r="J162" i="5"/>
  <c r="K162" i="5"/>
  <c r="L162" i="5"/>
  <c r="M162" i="5"/>
  <c r="N162" i="5"/>
  <c r="O162" i="5"/>
  <c r="P162" i="5"/>
  <c r="Q162" i="5"/>
  <c r="R162" i="5"/>
  <c r="S162" i="5"/>
  <c r="T162" i="5"/>
  <c r="U162" i="5"/>
  <c r="A163" i="5"/>
  <c r="B163" i="5"/>
  <c r="C163" i="5"/>
  <c r="D163" i="5"/>
  <c r="E163" i="5"/>
  <c r="F163" i="5"/>
  <c r="G163" i="5"/>
  <c r="H163" i="5"/>
  <c r="I163" i="5"/>
  <c r="J163" i="5"/>
  <c r="K163" i="5"/>
  <c r="L163" i="5"/>
  <c r="M163" i="5"/>
  <c r="N163" i="5"/>
  <c r="O163" i="5"/>
  <c r="P163" i="5"/>
  <c r="Q163" i="5"/>
  <c r="R163" i="5"/>
  <c r="S163" i="5"/>
  <c r="T163" i="5"/>
  <c r="U163" i="5"/>
  <c r="A164" i="5"/>
  <c r="B164" i="5"/>
  <c r="C164" i="5"/>
  <c r="D164" i="5"/>
  <c r="E164" i="5"/>
  <c r="F164" i="5"/>
  <c r="G164" i="5"/>
  <c r="H164" i="5"/>
  <c r="I164" i="5"/>
  <c r="J164" i="5"/>
  <c r="K164" i="5"/>
  <c r="L164" i="5"/>
  <c r="M164" i="5"/>
  <c r="N164" i="5"/>
  <c r="O164" i="5"/>
  <c r="P164" i="5"/>
  <c r="Q164" i="5"/>
  <c r="R164" i="5"/>
  <c r="S164" i="5"/>
  <c r="T164" i="5"/>
  <c r="U164" i="5"/>
  <c r="A168" i="5"/>
  <c r="C168" i="5"/>
  <c r="D168" i="5"/>
  <c r="E168" i="5"/>
  <c r="F168" i="5"/>
  <c r="G168" i="5"/>
  <c r="H168" i="5"/>
  <c r="I168" i="5"/>
  <c r="J168" i="5"/>
  <c r="K168" i="5"/>
  <c r="L168" i="5"/>
  <c r="M168" i="5"/>
  <c r="N168" i="5"/>
  <c r="O168" i="5"/>
  <c r="P168" i="5"/>
  <c r="Q168" i="5"/>
  <c r="R168" i="5"/>
  <c r="S168" i="5"/>
  <c r="T168" i="5"/>
  <c r="U168" i="5"/>
  <c r="A169" i="5"/>
  <c r="B169" i="5"/>
  <c r="C169" i="5"/>
  <c r="D169" i="5"/>
  <c r="E169" i="5"/>
  <c r="F169" i="5"/>
  <c r="G169" i="5"/>
  <c r="H169" i="5"/>
  <c r="I169" i="5"/>
  <c r="J169" i="5"/>
  <c r="K169" i="5"/>
  <c r="L169" i="5"/>
  <c r="M169" i="5"/>
  <c r="N169" i="5"/>
  <c r="O169" i="5"/>
  <c r="P169" i="5"/>
  <c r="Q169" i="5"/>
  <c r="R169" i="5"/>
  <c r="S169" i="5"/>
  <c r="T169" i="5"/>
  <c r="U169" i="5"/>
  <c r="A170" i="5"/>
  <c r="C170" i="5"/>
  <c r="D170" i="5"/>
  <c r="E170" i="5"/>
  <c r="F170" i="5"/>
  <c r="G170" i="5"/>
  <c r="H170" i="5"/>
  <c r="I170" i="5"/>
  <c r="J170" i="5"/>
  <c r="K170" i="5"/>
  <c r="L170" i="5"/>
  <c r="M170" i="5"/>
  <c r="N170" i="5"/>
  <c r="O170" i="5"/>
  <c r="P170" i="5"/>
  <c r="Q170" i="5"/>
  <c r="R170" i="5"/>
  <c r="S170" i="5"/>
  <c r="T170" i="5"/>
  <c r="U170" i="5"/>
  <c r="A171" i="5"/>
  <c r="B171" i="5"/>
  <c r="C171" i="5"/>
  <c r="D171" i="5"/>
  <c r="E171" i="5"/>
  <c r="F171" i="5"/>
  <c r="G171" i="5"/>
  <c r="H171" i="5"/>
  <c r="I171" i="5"/>
  <c r="J171" i="5"/>
  <c r="K171" i="5"/>
  <c r="L171" i="5"/>
  <c r="M171" i="5"/>
  <c r="N171" i="5"/>
  <c r="O171" i="5"/>
  <c r="P171" i="5"/>
  <c r="Q171" i="5"/>
  <c r="R171" i="5"/>
  <c r="S171" i="5"/>
  <c r="T171" i="5"/>
  <c r="U171" i="5"/>
  <c r="A172" i="5"/>
  <c r="B172" i="5"/>
  <c r="C172" i="5"/>
  <c r="D172" i="5"/>
  <c r="E172" i="5"/>
  <c r="F172" i="5"/>
  <c r="G172" i="5"/>
  <c r="H172" i="5"/>
  <c r="I172" i="5"/>
  <c r="J172" i="5"/>
  <c r="K172" i="5"/>
  <c r="L172" i="5"/>
  <c r="M172" i="5"/>
  <c r="N172" i="5"/>
  <c r="O172" i="5"/>
  <c r="P172" i="5"/>
  <c r="Q172" i="5"/>
  <c r="R172" i="5"/>
  <c r="S172" i="5"/>
  <c r="T172" i="5"/>
  <c r="U172" i="5"/>
  <c r="A173" i="5"/>
  <c r="B173" i="5"/>
  <c r="C173" i="5"/>
  <c r="D173" i="5"/>
  <c r="E173" i="5"/>
  <c r="F173" i="5"/>
  <c r="G173" i="5"/>
  <c r="H173" i="5"/>
  <c r="I173" i="5"/>
  <c r="J173" i="5"/>
  <c r="K173" i="5"/>
  <c r="L173" i="5"/>
  <c r="M173" i="5"/>
  <c r="N173" i="5"/>
  <c r="O173" i="5"/>
  <c r="P173" i="5"/>
  <c r="Q173" i="5"/>
  <c r="R173" i="5"/>
  <c r="S173" i="5"/>
  <c r="T173" i="5"/>
  <c r="U173" i="5"/>
  <c r="A174" i="5"/>
  <c r="B174" i="5"/>
  <c r="C174" i="5"/>
  <c r="D174" i="5"/>
  <c r="E174" i="5"/>
  <c r="F174" i="5"/>
  <c r="G174" i="5"/>
  <c r="H174" i="5"/>
  <c r="I174" i="5"/>
  <c r="J174" i="5"/>
  <c r="K174" i="5"/>
  <c r="L174" i="5"/>
  <c r="M174" i="5"/>
  <c r="N174" i="5"/>
  <c r="O174" i="5"/>
  <c r="P174" i="5"/>
  <c r="Q174" i="5"/>
  <c r="R174" i="5"/>
  <c r="S174" i="5"/>
  <c r="T174" i="5"/>
  <c r="U174" i="5"/>
  <c r="A175" i="5"/>
  <c r="B175" i="5"/>
  <c r="C175" i="5"/>
  <c r="D175" i="5"/>
  <c r="E175" i="5"/>
  <c r="F175" i="5"/>
  <c r="G175" i="5"/>
  <c r="H175" i="5"/>
  <c r="I175" i="5"/>
  <c r="J175" i="5"/>
  <c r="K175" i="5"/>
  <c r="L175" i="5"/>
  <c r="M175" i="5"/>
  <c r="N175" i="5"/>
  <c r="O175" i="5"/>
  <c r="P175" i="5"/>
  <c r="Q175" i="5"/>
  <c r="R175" i="5"/>
  <c r="S175" i="5"/>
  <c r="T175" i="5"/>
  <c r="U175" i="5"/>
  <c r="A176" i="5"/>
  <c r="B176" i="5"/>
  <c r="C176" i="5"/>
  <c r="D176" i="5"/>
  <c r="E176" i="5"/>
  <c r="F176" i="5"/>
  <c r="G176" i="5"/>
  <c r="H176" i="5"/>
  <c r="I176" i="5"/>
  <c r="J176" i="5"/>
  <c r="K176" i="5"/>
  <c r="L176" i="5"/>
  <c r="M176" i="5"/>
  <c r="N176" i="5"/>
  <c r="O176" i="5"/>
  <c r="P176" i="5"/>
  <c r="Q176" i="5"/>
  <c r="R176" i="5"/>
  <c r="S176" i="5"/>
  <c r="T176" i="5"/>
  <c r="U176" i="5"/>
  <c r="A177" i="5"/>
  <c r="C177" i="5"/>
  <c r="D177" i="5"/>
  <c r="E177" i="5"/>
  <c r="F177" i="5"/>
  <c r="G177" i="5"/>
  <c r="H177" i="5"/>
  <c r="I177" i="5"/>
  <c r="J177" i="5"/>
  <c r="K177" i="5"/>
  <c r="L177" i="5"/>
  <c r="M177" i="5"/>
  <c r="N177" i="5"/>
  <c r="O177" i="5"/>
  <c r="P177" i="5"/>
  <c r="Q177" i="5"/>
  <c r="R177" i="5"/>
  <c r="S177" i="5"/>
  <c r="T177" i="5"/>
  <c r="U177" i="5"/>
  <c r="A178" i="5"/>
  <c r="C178" i="5"/>
  <c r="D178" i="5"/>
  <c r="E178" i="5"/>
  <c r="F178" i="5"/>
  <c r="G178" i="5"/>
  <c r="H178" i="5"/>
  <c r="I178" i="5"/>
  <c r="J178" i="5"/>
  <c r="K178" i="5"/>
  <c r="L178" i="5"/>
  <c r="M178" i="5"/>
  <c r="N178" i="5"/>
  <c r="O178" i="5"/>
  <c r="P178" i="5"/>
  <c r="Q178" i="5"/>
  <c r="R178" i="5"/>
  <c r="S178" i="5"/>
  <c r="T178" i="5"/>
  <c r="U178" i="5"/>
  <c r="A179" i="5"/>
  <c r="C179" i="5"/>
  <c r="D179" i="5"/>
  <c r="E179" i="5"/>
  <c r="F179" i="5"/>
  <c r="G179" i="5"/>
  <c r="H179" i="5"/>
  <c r="I179" i="5"/>
  <c r="J179" i="5"/>
  <c r="K179" i="5"/>
  <c r="L179" i="5"/>
  <c r="M179" i="5"/>
  <c r="N179" i="5"/>
  <c r="O179" i="5"/>
  <c r="P179" i="5"/>
  <c r="Q179" i="5"/>
  <c r="R179" i="5"/>
  <c r="S179" i="5"/>
  <c r="T179" i="5"/>
  <c r="U179" i="5"/>
  <c r="A181" i="5"/>
  <c r="B181" i="5"/>
  <c r="C181" i="5"/>
  <c r="D181" i="5"/>
  <c r="E181" i="5"/>
  <c r="F181" i="5"/>
  <c r="G181" i="5"/>
  <c r="H181" i="5"/>
  <c r="I181" i="5"/>
  <c r="J181" i="5"/>
  <c r="K181" i="5"/>
  <c r="L181" i="5"/>
  <c r="M181" i="5"/>
  <c r="N181" i="5"/>
  <c r="O181" i="5"/>
  <c r="P181" i="5"/>
  <c r="Q181" i="5"/>
  <c r="R181" i="5"/>
  <c r="S181" i="5"/>
  <c r="T181" i="5"/>
  <c r="U181" i="5"/>
  <c r="A182" i="5"/>
  <c r="B182" i="5"/>
  <c r="C182" i="5"/>
  <c r="D182" i="5"/>
  <c r="E182" i="5"/>
  <c r="F182" i="5"/>
  <c r="G182" i="5"/>
  <c r="H182" i="5"/>
  <c r="I182" i="5"/>
  <c r="J182" i="5"/>
  <c r="K182" i="5"/>
  <c r="L182" i="5"/>
  <c r="M182" i="5"/>
  <c r="N182" i="5"/>
  <c r="O182" i="5"/>
  <c r="P182" i="5"/>
  <c r="Q182" i="5"/>
  <c r="R182" i="5"/>
  <c r="S182" i="5"/>
  <c r="T182" i="5"/>
  <c r="U182" i="5"/>
  <c r="A180" i="5"/>
  <c r="B180" i="5"/>
  <c r="C180" i="5"/>
  <c r="D180" i="5"/>
  <c r="E180" i="5"/>
  <c r="F180" i="5"/>
  <c r="G180" i="5"/>
  <c r="H180" i="5"/>
  <c r="I180" i="5"/>
  <c r="J180" i="5"/>
  <c r="K180" i="5"/>
  <c r="L180" i="5"/>
  <c r="M180" i="5"/>
  <c r="N180" i="5"/>
  <c r="O180" i="5"/>
  <c r="P180" i="5"/>
  <c r="Q180" i="5"/>
  <c r="R180" i="5"/>
  <c r="S180" i="5"/>
  <c r="T180" i="5"/>
  <c r="U180" i="5"/>
  <c r="A183" i="5"/>
  <c r="B183" i="5"/>
  <c r="C183" i="5"/>
  <c r="D183" i="5"/>
  <c r="E183" i="5"/>
  <c r="F183" i="5"/>
  <c r="G183" i="5"/>
  <c r="H183" i="5"/>
  <c r="I183" i="5"/>
  <c r="J183" i="5"/>
  <c r="K183" i="5"/>
  <c r="L183" i="5"/>
  <c r="M183" i="5"/>
  <c r="N183" i="5"/>
  <c r="O183" i="5"/>
  <c r="P183" i="5"/>
  <c r="Q183" i="5"/>
  <c r="R183" i="5"/>
  <c r="S183" i="5"/>
  <c r="T183" i="5"/>
  <c r="U183" i="5"/>
  <c r="A184" i="5"/>
  <c r="B184" i="5"/>
  <c r="C184" i="5"/>
  <c r="D184" i="5"/>
  <c r="E184" i="5"/>
  <c r="F184" i="5"/>
  <c r="G184" i="5"/>
  <c r="H184" i="5"/>
  <c r="I184" i="5"/>
  <c r="J184" i="5"/>
  <c r="K184" i="5"/>
  <c r="L184" i="5"/>
  <c r="M184" i="5"/>
  <c r="N184" i="5"/>
  <c r="O184" i="5"/>
  <c r="P184" i="5"/>
  <c r="Q184" i="5"/>
  <c r="R184" i="5"/>
  <c r="S184" i="5"/>
  <c r="T184" i="5"/>
  <c r="U184" i="5"/>
  <c r="A185" i="5"/>
  <c r="C185" i="5"/>
  <c r="D185" i="5"/>
  <c r="E185" i="5"/>
  <c r="F185" i="5"/>
  <c r="G185" i="5"/>
  <c r="H185" i="5"/>
  <c r="I185" i="5"/>
  <c r="J185" i="5"/>
  <c r="K185" i="5"/>
  <c r="L185" i="5"/>
  <c r="M185" i="5"/>
  <c r="N185" i="5"/>
  <c r="O185" i="5"/>
  <c r="P185" i="5"/>
  <c r="Q185" i="5"/>
  <c r="R185" i="5"/>
  <c r="S185" i="5"/>
  <c r="T185" i="5"/>
  <c r="U185" i="5"/>
  <c r="A186" i="5"/>
  <c r="B186" i="5"/>
  <c r="C186" i="5"/>
  <c r="D186" i="5"/>
  <c r="E186" i="5"/>
  <c r="F186" i="5"/>
  <c r="G186" i="5"/>
  <c r="H186" i="5"/>
  <c r="I186" i="5"/>
  <c r="J186" i="5"/>
  <c r="K186" i="5"/>
  <c r="L186" i="5"/>
  <c r="M186" i="5"/>
  <c r="N186" i="5"/>
  <c r="O186" i="5"/>
  <c r="P186" i="5"/>
  <c r="Q186" i="5"/>
  <c r="R186" i="5"/>
  <c r="S186" i="5"/>
  <c r="T186" i="5"/>
  <c r="U186" i="5"/>
  <c r="A187" i="5"/>
  <c r="B187" i="5"/>
  <c r="C187" i="5"/>
  <c r="D187" i="5"/>
  <c r="E187" i="5"/>
  <c r="F187" i="5"/>
  <c r="G187" i="5"/>
  <c r="H187" i="5"/>
  <c r="I187" i="5"/>
  <c r="J187" i="5"/>
  <c r="K187" i="5"/>
  <c r="L187" i="5"/>
  <c r="M187" i="5"/>
  <c r="N187" i="5"/>
  <c r="O187" i="5"/>
  <c r="P187" i="5"/>
  <c r="Q187" i="5"/>
  <c r="R187" i="5"/>
  <c r="S187" i="5"/>
  <c r="T187" i="5"/>
  <c r="U187" i="5"/>
  <c r="A188" i="5"/>
  <c r="B188" i="5"/>
  <c r="C188" i="5"/>
  <c r="D188" i="5"/>
  <c r="E188" i="5"/>
  <c r="F188" i="5"/>
  <c r="G188" i="5"/>
  <c r="H188" i="5"/>
  <c r="I188" i="5"/>
  <c r="J188" i="5"/>
  <c r="K188" i="5"/>
  <c r="L188" i="5"/>
  <c r="M188" i="5"/>
  <c r="N188" i="5"/>
  <c r="O188" i="5"/>
  <c r="P188" i="5"/>
  <c r="Q188" i="5"/>
  <c r="R188" i="5"/>
  <c r="S188" i="5"/>
  <c r="T188" i="5"/>
  <c r="U188" i="5"/>
  <c r="A189" i="5"/>
  <c r="B189" i="5"/>
  <c r="C189" i="5"/>
  <c r="D189" i="5"/>
  <c r="E189" i="5"/>
  <c r="F189" i="5"/>
  <c r="G189" i="5"/>
  <c r="H189" i="5"/>
  <c r="I189" i="5"/>
  <c r="J189" i="5"/>
  <c r="K189" i="5"/>
  <c r="L189" i="5"/>
  <c r="M189" i="5"/>
  <c r="N189" i="5"/>
  <c r="O189" i="5"/>
  <c r="P189" i="5"/>
  <c r="Q189" i="5"/>
  <c r="R189" i="5"/>
  <c r="S189" i="5"/>
  <c r="T189" i="5"/>
  <c r="U189" i="5"/>
  <c r="A190" i="5"/>
  <c r="B190" i="5"/>
  <c r="C190" i="5"/>
  <c r="D190" i="5"/>
  <c r="E190" i="5"/>
  <c r="F190" i="5"/>
  <c r="G190" i="5"/>
  <c r="H190" i="5"/>
  <c r="I190" i="5"/>
  <c r="J190" i="5"/>
  <c r="K190" i="5"/>
  <c r="L190" i="5"/>
  <c r="M190" i="5"/>
  <c r="N190" i="5"/>
  <c r="O190" i="5"/>
  <c r="P190" i="5"/>
  <c r="Q190" i="5"/>
  <c r="R190" i="5"/>
  <c r="S190" i="5"/>
  <c r="T190" i="5"/>
  <c r="U190" i="5"/>
  <c r="A191" i="5"/>
  <c r="B191" i="5"/>
  <c r="C191" i="5"/>
  <c r="D191" i="5"/>
  <c r="E191" i="5"/>
  <c r="F191" i="5"/>
  <c r="G191" i="5"/>
  <c r="H191" i="5"/>
  <c r="I191" i="5"/>
  <c r="J191" i="5"/>
  <c r="K191" i="5"/>
  <c r="L191" i="5"/>
  <c r="M191" i="5"/>
  <c r="N191" i="5"/>
  <c r="O191" i="5"/>
  <c r="P191" i="5"/>
  <c r="Q191" i="5"/>
  <c r="R191" i="5"/>
  <c r="S191" i="5"/>
  <c r="T191" i="5"/>
  <c r="U191" i="5"/>
  <c r="A192" i="5"/>
  <c r="C192" i="5"/>
  <c r="D192" i="5"/>
  <c r="E192" i="5"/>
  <c r="F192" i="5"/>
  <c r="G192" i="5"/>
  <c r="H192" i="5"/>
  <c r="I192" i="5"/>
  <c r="J192" i="5"/>
  <c r="K192" i="5"/>
  <c r="L192" i="5"/>
  <c r="M192" i="5"/>
  <c r="N192" i="5"/>
  <c r="O192" i="5"/>
  <c r="P192" i="5"/>
  <c r="Q192" i="5"/>
  <c r="R192" i="5"/>
  <c r="S192" i="5"/>
  <c r="T192" i="5"/>
  <c r="U192" i="5"/>
  <c r="A193" i="5"/>
  <c r="C193" i="5"/>
  <c r="D193" i="5"/>
  <c r="E193" i="5"/>
  <c r="F193" i="5"/>
  <c r="G193" i="5"/>
  <c r="H193" i="5"/>
  <c r="I193" i="5"/>
  <c r="J193" i="5"/>
  <c r="K193" i="5"/>
  <c r="L193" i="5"/>
  <c r="M193" i="5"/>
  <c r="N193" i="5"/>
  <c r="O193" i="5"/>
  <c r="P193" i="5"/>
  <c r="Q193" i="5"/>
  <c r="R193" i="5"/>
  <c r="S193" i="5"/>
  <c r="T193" i="5"/>
  <c r="U193" i="5"/>
  <c r="A194" i="5"/>
  <c r="B194" i="5"/>
  <c r="C194" i="5"/>
  <c r="D194" i="5"/>
  <c r="E194" i="5"/>
  <c r="F194" i="5"/>
  <c r="G194" i="5"/>
  <c r="H194" i="5"/>
  <c r="I194" i="5"/>
  <c r="J194" i="5"/>
  <c r="K194" i="5"/>
  <c r="L194" i="5"/>
  <c r="M194" i="5"/>
  <c r="N194" i="5"/>
  <c r="O194" i="5"/>
  <c r="P194" i="5"/>
  <c r="Q194" i="5"/>
  <c r="R194" i="5"/>
  <c r="S194" i="5"/>
  <c r="T194" i="5"/>
  <c r="U194" i="5"/>
  <c r="A195" i="5"/>
  <c r="B195" i="5"/>
  <c r="C195" i="5"/>
  <c r="D195" i="5"/>
  <c r="E195" i="5"/>
  <c r="F195" i="5"/>
  <c r="G195" i="5"/>
  <c r="H195" i="5"/>
  <c r="I195" i="5"/>
  <c r="J195" i="5"/>
  <c r="K195" i="5"/>
  <c r="L195" i="5"/>
  <c r="M195" i="5"/>
  <c r="N195" i="5"/>
  <c r="O195" i="5"/>
  <c r="P195" i="5"/>
  <c r="Q195" i="5"/>
  <c r="R195" i="5"/>
  <c r="S195" i="5"/>
  <c r="T195" i="5"/>
  <c r="U195" i="5"/>
  <c r="A196" i="5"/>
  <c r="B196" i="5"/>
  <c r="C196" i="5"/>
  <c r="D196" i="5"/>
  <c r="E196" i="5"/>
  <c r="F196" i="5"/>
  <c r="G196" i="5"/>
  <c r="H196" i="5"/>
  <c r="I196" i="5"/>
  <c r="J196" i="5"/>
  <c r="K196" i="5"/>
  <c r="L196" i="5"/>
  <c r="M196" i="5"/>
  <c r="N196" i="5"/>
  <c r="O196" i="5"/>
  <c r="P196" i="5"/>
  <c r="Q196" i="5"/>
  <c r="R196" i="5"/>
  <c r="S196" i="5"/>
  <c r="T196" i="5"/>
  <c r="U196" i="5"/>
  <c r="A197" i="5"/>
  <c r="B197" i="5"/>
  <c r="C197" i="5"/>
  <c r="D197" i="5"/>
  <c r="E197" i="5"/>
  <c r="F197" i="5"/>
  <c r="G197" i="5"/>
  <c r="H197" i="5"/>
  <c r="I197" i="5"/>
  <c r="J197" i="5"/>
  <c r="K197" i="5"/>
  <c r="L197" i="5"/>
  <c r="M197" i="5"/>
  <c r="N197" i="5"/>
  <c r="O197" i="5"/>
  <c r="P197" i="5"/>
  <c r="Q197" i="5"/>
  <c r="R197" i="5"/>
  <c r="S197" i="5"/>
  <c r="T197" i="5"/>
  <c r="U197" i="5"/>
  <c r="A198" i="5"/>
  <c r="B198" i="5"/>
  <c r="C198" i="5"/>
  <c r="D198" i="5"/>
  <c r="E198" i="5"/>
  <c r="F198" i="5"/>
  <c r="G198" i="5"/>
  <c r="H198" i="5"/>
  <c r="I198" i="5"/>
  <c r="J198" i="5"/>
  <c r="K198" i="5"/>
  <c r="L198" i="5"/>
  <c r="M198" i="5"/>
  <c r="N198" i="5"/>
  <c r="O198" i="5"/>
  <c r="P198" i="5"/>
  <c r="Q198" i="5"/>
  <c r="R198" i="5"/>
  <c r="S198" i="5"/>
  <c r="T198" i="5"/>
  <c r="U198" i="5"/>
  <c r="A199" i="5"/>
  <c r="B199" i="5"/>
  <c r="C199" i="5"/>
  <c r="D199" i="5"/>
  <c r="E199" i="5"/>
  <c r="F199" i="5"/>
  <c r="G199" i="5"/>
  <c r="H199" i="5"/>
  <c r="I199" i="5"/>
  <c r="J199" i="5"/>
  <c r="K199" i="5"/>
  <c r="L199" i="5"/>
  <c r="M199" i="5"/>
  <c r="N199" i="5"/>
  <c r="O199" i="5"/>
  <c r="P199" i="5"/>
  <c r="Q199" i="5"/>
  <c r="R199" i="5"/>
  <c r="S199" i="5"/>
  <c r="T199" i="5"/>
  <c r="U199" i="5"/>
  <c r="A200" i="5"/>
  <c r="C200" i="5"/>
  <c r="D200" i="5"/>
  <c r="E200" i="5"/>
  <c r="F200" i="5"/>
  <c r="G200" i="5"/>
  <c r="H200" i="5"/>
  <c r="I200" i="5"/>
  <c r="J200" i="5"/>
  <c r="K200" i="5"/>
  <c r="L200" i="5"/>
  <c r="M200" i="5"/>
  <c r="N200" i="5"/>
  <c r="O200" i="5"/>
  <c r="P200" i="5"/>
  <c r="Q200" i="5"/>
  <c r="R200" i="5"/>
  <c r="S200" i="5"/>
  <c r="T200" i="5"/>
  <c r="U200" i="5"/>
  <c r="A201" i="5"/>
  <c r="C201" i="5"/>
  <c r="D201" i="5"/>
  <c r="E201" i="5"/>
  <c r="F201" i="5"/>
  <c r="G201" i="5"/>
  <c r="H201" i="5"/>
  <c r="I201" i="5"/>
  <c r="J201" i="5"/>
  <c r="K201" i="5"/>
  <c r="L201" i="5"/>
  <c r="M201" i="5"/>
  <c r="N201" i="5"/>
  <c r="O201" i="5"/>
  <c r="P201" i="5"/>
  <c r="Q201" i="5"/>
  <c r="R201" i="5"/>
  <c r="S201" i="5"/>
  <c r="T201" i="5"/>
  <c r="U201" i="5"/>
  <c r="A202" i="5"/>
  <c r="C202" i="5"/>
  <c r="D202" i="5"/>
  <c r="E202" i="5"/>
  <c r="F202" i="5"/>
  <c r="G202" i="5"/>
  <c r="H202" i="5"/>
  <c r="I202" i="5"/>
  <c r="J202" i="5"/>
  <c r="K202" i="5"/>
  <c r="L202" i="5"/>
  <c r="M202" i="5"/>
  <c r="N202" i="5"/>
  <c r="O202" i="5"/>
  <c r="P202" i="5"/>
  <c r="Q202" i="5"/>
  <c r="R202" i="5"/>
  <c r="S202" i="5"/>
  <c r="T202" i="5"/>
  <c r="U202" i="5"/>
  <c r="A203" i="5"/>
  <c r="B203" i="5"/>
  <c r="C203" i="5"/>
  <c r="D203" i="5"/>
  <c r="E203" i="5"/>
  <c r="F203" i="5"/>
  <c r="G203" i="5"/>
  <c r="H203" i="5"/>
  <c r="I203" i="5"/>
  <c r="J203" i="5"/>
  <c r="K203" i="5"/>
  <c r="L203" i="5"/>
  <c r="M203" i="5"/>
  <c r="N203" i="5"/>
  <c r="O203" i="5"/>
  <c r="P203" i="5"/>
  <c r="Q203" i="5"/>
  <c r="R203" i="5"/>
  <c r="S203" i="5"/>
  <c r="T203" i="5"/>
  <c r="U203" i="5"/>
  <c r="A205" i="5"/>
  <c r="B205" i="5"/>
  <c r="C205" i="5"/>
  <c r="D205" i="5"/>
  <c r="E205" i="5"/>
  <c r="F205" i="5"/>
  <c r="G205" i="5"/>
  <c r="H205" i="5"/>
  <c r="I205" i="5"/>
  <c r="J205" i="5"/>
  <c r="K205" i="5"/>
  <c r="L205" i="5"/>
  <c r="M205" i="5"/>
  <c r="N205" i="5"/>
  <c r="O205" i="5"/>
  <c r="P205" i="5"/>
  <c r="Q205" i="5"/>
  <c r="R205" i="5"/>
  <c r="S205" i="5"/>
  <c r="T205" i="5"/>
  <c r="U205" i="5"/>
  <c r="A204" i="5"/>
  <c r="B204" i="5"/>
  <c r="C204" i="5"/>
  <c r="D204" i="5"/>
  <c r="E204" i="5"/>
  <c r="F204" i="5"/>
  <c r="G204" i="5"/>
  <c r="H204" i="5"/>
  <c r="I204" i="5"/>
  <c r="J204" i="5"/>
  <c r="K204" i="5"/>
  <c r="L204" i="5"/>
  <c r="M204" i="5"/>
  <c r="N204" i="5"/>
  <c r="O204" i="5"/>
  <c r="P204" i="5"/>
  <c r="Q204" i="5"/>
  <c r="R204" i="5"/>
  <c r="S204" i="5"/>
  <c r="T204" i="5"/>
  <c r="U204" i="5"/>
  <c r="A206" i="5"/>
  <c r="B206" i="5"/>
  <c r="C206" i="5"/>
  <c r="D206" i="5"/>
  <c r="E206" i="5"/>
  <c r="F206" i="5"/>
  <c r="G206" i="5"/>
  <c r="H206" i="5"/>
  <c r="I206" i="5"/>
  <c r="J206" i="5"/>
  <c r="K206" i="5"/>
  <c r="L206" i="5"/>
  <c r="M206" i="5"/>
  <c r="N206" i="5"/>
  <c r="O206" i="5"/>
  <c r="P206" i="5"/>
  <c r="Q206" i="5"/>
  <c r="R206" i="5"/>
  <c r="S206" i="5"/>
  <c r="T206" i="5"/>
  <c r="U206" i="5"/>
  <c r="A207" i="5"/>
  <c r="B207" i="5"/>
  <c r="C207" i="5"/>
  <c r="D207" i="5"/>
  <c r="E207" i="5"/>
  <c r="F207" i="5"/>
  <c r="G207" i="5"/>
  <c r="H207" i="5"/>
  <c r="I207" i="5"/>
  <c r="J207" i="5"/>
  <c r="K207" i="5"/>
  <c r="L207" i="5"/>
  <c r="M207" i="5"/>
  <c r="N207" i="5"/>
  <c r="O207" i="5"/>
  <c r="P207" i="5"/>
  <c r="Q207" i="5"/>
  <c r="R207" i="5"/>
  <c r="S207" i="5"/>
  <c r="T207" i="5"/>
  <c r="U207" i="5"/>
  <c r="A208" i="5"/>
  <c r="C208" i="5"/>
  <c r="D208" i="5"/>
  <c r="E208" i="5"/>
  <c r="F208" i="5"/>
  <c r="G208" i="5"/>
  <c r="H208" i="5"/>
  <c r="I208" i="5"/>
  <c r="J208" i="5"/>
  <c r="K208" i="5"/>
  <c r="L208" i="5"/>
  <c r="M208" i="5"/>
  <c r="N208" i="5"/>
  <c r="O208" i="5"/>
  <c r="P208" i="5"/>
  <c r="Q208" i="5"/>
  <c r="R208" i="5"/>
  <c r="S208" i="5"/>
  <c r="T208" i="5"/>
  <c r="U208" i="5"/>
  <c r="A209" i="5"/>
  <c r="C209" i="5"/>
  <c r="D209" i="5"/>
  <c r="E209" i="5"/>
  <c r="F209" i="5"/>
  <c r="G209" i="5"/>
  <c r="H209" i="5"/>
  <c r="I209" i="5"/>
  <c r="J209" i="5"/>
  <c r="K209" i="5"/>
  <c r="L209" i="5"/>
  <c r="M209" i="5"/>
  <c r="N209" i="5"/>
  <c r="O209" i="5"/>
  <c r="P209" i="5"/>
  <c r="Q209" i="5"/>
  <c r="R209" i="5"/>
  <c r="S209" i="5"/>
  <c r="T209" i="5"/>
  <c r="U209" i="5"/>
  <c r="A210" i="5"/>
  <c r="C210" i="5"/>
  <c r="D210" i="5"/>
  <c r="E210" i="5"/>
  <c r="F210" i="5"/>
  <c r="G210" i="5"/>
  <c r="H210" i="5"/>
  <c r="I210" i="5"/>
  <c r="J210" i="5"/>
  <c r="K210" i="5"/>
  <c r="L210" i="5"/>
  <c r="M210" i="5"/>
  <c r="N210" i="5"/>
  <c r="O210" i="5"/>
  <c r="P210" i="5"/>
  <c r="Q210" i="5"/>
  <c r="R210" i="5"/>
  <c r="S210" i="5"/>
  <c r="T210" i="5"/>
  <c r="U210" i="5"/>
  <c r="A212" i="5"/>
  <c r="B212" i="5"/>
  <c r="C212" i="5"/>
  <c r="D212" i="5"/>
  <c r="E212" i="5"/>
  <c r="F212" i="5"/>
  <c r="G212" i="5"/>
  <c r="H212" i="5"/>
  <c r="I212" i="5"/>
  <c r="J212" i="5"/>
  <c r="K212" i="5"/>
  <c r="L212" i="5"/>
  <c r="M212" i="5"/>
  <c r="N212" i="5"/>
  <c r="O212" i="5"/>
  <c r="P212" i="5"/>
  <c r="Q212" i="5"/>
  <c r="R212" i="5"/>
  <c r="S212" i="5"/>
  <c r="T212" i="5"/>
  <c r="U212" i="5"/>
  <c r="A213" i="5"/>
  <c r="B213" i="5"/>
  <c r="C213" i="5"/>
  <c r="D213" i="5"/>
  <c r="E213" i="5"/>
  <c r="F213" i="5"/>
  <c r="G213" i="5"/>
  <c r="H213" i="5"/>
  <c r="I213" i="5"/>
  <c r="J213" i="5"/>
  <c r="K213" i="5"/>
  <c r="L213" i="5"/>
  <c r="M213" i="5"/>
  <c r="N213" i="5"/>
  <c r="O213" i="5"/>
  <c r="P213" i="5"/>
  <c r="Q213" i="5"/>
  <c r="R213" i="5"/>
  <c r="S213" i="5"/>
  <c r="T213" i="5"/>
  <c r="U213" i="5"/>
  <c r="A211" i="5"/>
  <c r="B211" i="5"/>
  <c r="C211" i="5"/>
  <c r="D211" i="5"/>
  <c r="E211" i="5"/>
  <c r="F211" i="5"/>
  <c r="G211" i="5"/>
  <c r="H211" i="5"/>
  <c r="I211" i="5"/>
  <c r="J211" i="5"/>
  <c r="K211" i="5"/>
  <c r="L211" i="5"/>
  <c r="M211" i="5"/>
  <c r="N211" i="5"/>
  <c r="O211" i="5"/>
  <c r="P211" i="5"/>
  <c r="Q211" i="5"/>
  <c r="R211" i="5"/>
  <c r="S211" i="5"/>
  <c r="T211" i="5"/>
  <c r="U211" i="5"/>
  <c r="A214" i="5"/>
  <c r="B214" i="5"/>
  <c r="C214" i="5"/>
  <c r="D214" i="5"/>
  <c r="E214" i="5"/>
  <c r="F214" i="5"/>
  <c r="G214" i="5"/>
  <c r="H214" i="5"/>
  <c r="I214" i="5"/>
  <c r="J214" i="5"/>
  <c r="K214" i="5"/>
  <c r="L214" i="5"/>
  <c r="M214" i="5"/>
  <c r="N214" i="5"/>
  <c r="O214" i="5"/>
  <c r="P214" i="5"/>
  <c r="Q214" i="5"/>
  <c r="R214" i="5"/>
  <c r="S214" i="5"/>
  <c r="T214" i="5"/>
  <c r="U214" i="5"/>
  <c r="A215" i="5"/>
  <c r="B215" i="5"/>
  <c r="C215" i="5"/>
  <c r="D215" i="5"/>
  <c r="E215" i="5"/>
  <c r="F215" i="5"/>
  <c r="G215" i="5"/>
  <c r="H215" i="5"/>
  <c r="I215" i="5"/>
  <c r="J215" i="5"/>
  <c r="K215" i="5"/>
  <c r="L215" i="5"/>
  <c r="M215" i="5"/>
  <c r="N215" i="5"/>
  <c r="O215" i="5"/>
  <c r="P215" i="5"/>
  <c r="Q215" i="5"/>
  <c r="R215" i="5"/>
  <c r="S215" i="5"/>
  <c r="T215" i="5"/>
  <c r="U215" i="5"/>
  <c r="A219" i="5"/>
  <c r="B219" i="5"/>
  <c r="D219" i="5"/>
  <c r="E219" i="5"/>
  <c r="F219" i="5"/>
  <c r="G219" i="5"/>
  <c r="H219" i="5"/>
  <c r="I219" i="5"/>
  <c r="J219" i="5"/>
  <c r="K219" i="5"/>
  <c r="L219" i="5"/>
  <c r="M219" i="5"/>
  <c r="N219" i="5"/>
  <c r="O219" i="5"/>
  <c r="P219" i="5"/>
  <c r="Q219" i="5"/>
  <c r="R219" i="5"/>
  <c r="S219" i="5"/>
  <c r="T219" i="5"/>
  <c r="U219" i="5"/>
  <c r="A216" i="5"/>
  <c r="B216" i="5"/>
  <c r="C216" i="5"/>
  <c r="D216" i="5"/>
  <c r="E216" i="5"/>
  <c r="F216" i="5"/>
  <c r="G216" i="5"/>
  <c r="H216" i="5"/>
  <c r="I216" i="5"/>
  <c r="J216" i="5"/>
  <c r="K216" i="5"/>
  <c r="L216" i="5"/>
  <c r="M216" i="5"/>
  <c r="N216" i="5"/>
  <c r="O216" i="5"/>
  <c r="P216" i="5"/>
  <c r="Q216" i="5"/>
  <c r="R216" i="5"/>
  <c r="S216" i="5"/>
  <c r="T216" i="5"/>
  <c r="U216" i="5"/>
  <c r="A217" i="5"/>
  <c r="B217" i="5"/>
  <c r="C217" i="5"/>
  <c r="D217" i="5"/>
  <c r="E217" i="5"/>
  <c r="F217" i="5"/>
  <c r="G217" i="5"/>
  <c r="H217" i="5"/>
  <c r="I217" i="5"/>
  <c r="J217" i="5"/>
  <c r="K217" i="5"/>
  <c r="L217" i="5"/>
  <c r="M217" i="5"/>
  <c r="N217" i="5"/>
  <c r="O217" i="5"/>
  <c r="P217" i="5"/>
  <c r="Q217" i="5"/>
  <c r="R217" i="5"/>
  <c r="S217" i="5"/>
  <c r="T217" i="5"/>
  <c r="U217" i="5"/>
  <c r="A218" i="5"/>
  <c r="B218" i="5"/>
  <c r="C218" i="5"/>
  <c r="D218" i="5"/>
  <c r="E218" i="5"/>
  <c r="F218" i="5"/>
  <c r="G218" i="5"/>
  <c r="H218" i="5"/>
  <c r="I218" i="5"/>
  <c r="J218" i="5"/>
  <c r="K218" i="5"/>
  <c r="L218" i="5"/>
  <c r="M218" i="5"/>
  <c r="N218" i="5"/>
  <c r="O218" i="5"/>
  <c r="P218" i="5"/>
  <c r="Q218" i="5"/>
  <c r="R218" i="5"/>
  <c r="S218" i="5"/>
  <c r="T218" i="5"/>
  <c r="U218" i="5"/>
  <c r="A220" i="5"/>
  <c r="B220" i="5"/>
  <c r="C220" i="5"/>
  <c r="D220" i="5"/>
  <c r="E220" i="5"/>
  <c r="F220" i="5"/>
  <c r="G220" i="5"/>
  <c r="H220" i="5"/>
  <c r="I220" i="5"/>
  <c r="J220" i="5"/>
  <c r="K220" i="5"/>
  <c r="L220" i="5"/>
  <c r="M220" i="5"/>
  <c r="N220" i="5"/>
  <c r="O220" i="5"/>
  <c r="P220" i="5"/>
  <c r="Q220" i="5"/>
  <c r="R220" i="5"/>
  <c r="S220" i="5"/>
  <c r="T220" i="5"/>
  <c r="U220" i="5"/>
  <c r="A221" i="5"/>
  <c r="B221" i="5"/>
  <c r="C221" i="5"/>
  <c r="D221" i="5"/>
  <c r="E221" i="5"/>
  <c r="F221" i="5"/>
  <c r="G221" i="5"/>
  <c r="H221" i="5"/>
  <c r="I221" i="5"/>
  <c r="J221" i="5"/>
  <c r="K221" i="5"/>
  <c r="L221" i="5"/>
  <c r="M221" i="5"/>
  <c r="N221" i="5"/>
  <c r="O221" i="5"/>
  <c r="P221" i="5"/>
  <c r="Q221" i="5"/>
  <c r="R221" i="5"/>
  <c r="S221" i="5"/>
  <c r="T221" i="5"/>
  <c r="U221" i="5"/>
  <c r="A2" i="5"/>
  <c r="B2" i="5"/>
  <c r="C2" i="5"/>
  <c r="D2" i="5"/>
  <c r="E2" i="5"/>
  <c r="F2" i="5"/>
  <c r="G2" i="5"/>
  <c r="H2" i="5"/>
  <c r="I2" i="5"/>
  <c r="J2" i="5"/>
  <c r="K2" i="5"/>
  <c r="L2" i="5"/>
  <c r="M2" i="5"/>
  <c r="N2" i="5"/>
  <c r="O2" i="5"/>
  <c r="P2" i="5"/>
  <c r="Q2" i="5"/>
  <c r="R2" i="5"/>
  <c r="S2" i="5"/>
  <c r="T2" i="5"/>
  <c r="U2" i="5"/>
  <c r="A3" i="5"/>
  <c r="B3" i="5"/>
  <c r="C3" i="5"/>
  <c r="D3" i="5"/>
  <c r="E3" i="5"/>
  <c r="F3" i="5"/>
  <c r="G3" i="5"/>
  <c r="H3" i="5"/>
  <c r="I3" i="5"/>
  <c r="J3" i="5"/>
  <c r="K3" i="5"/>
  <c r="L3" i="5"/>
  <c r="M3" i="5"/>
  <c r="N3" i="5"/>
  <c r="O3" i="5"/>
  <c r="P3" i="5"/>
  <c r="Q3" i="5"/>
  <c r="R3" i="5"/>
  <c r="S3" i="5"/>
  <c r="T3" i="5"/>
  <c r="U3" i="5"/>
  <c r="A4" i="5"/>
  <c r="B4" i="5"/>
  <c r="C4" i="5"/>
  <c r="D4" i="5"/>
  <c r="E4" i="5"/>
  <c r="F4" i="5"/>
  <c r="G4" i="5"/>
  <c r="H4" i="5"/>
  <c r="I4" i="5"/>
  <c r="J4" i="5"/>
  <c r="K4" i="5"/>
  <c r="L4" i="5"/>
  <c r="M4" i="5"/>
  <c r="N4" i="5"/>
  <c r="O4" i="5"/>
  <c r="P4" i="5"/>
  <c r="Q4" i="5"/>
  <c r="R4" i="5"/>
  <c r="S4" i="5"/>
  <c r="T4" i="5"/>
  <c r="U4" i="5"/>
  <c r="A5" i="5"/>
  <c r="B5" i="5"/>
  <c r="C5" i="5"/>
  <c r="D5" i="5"/>
  <c r="E5" i="5"/>
  <c r="F5" i="5"/>
  <c r="G5" i="5"/>
  <c r="H5" i="5"/>
  <c r="I5" i="5"/>
  <c r="J5" i="5"/>
  <c r="K5" i="5"/>
  <c r="L5" i="5"/>
  <c r="M5" i="5"/>
  <c r="N5" i="5"/>
  <c r="O5" i="5"/>
  <c r="P5" i="5"/>
  <c r="Q5" i="5"/>
  <c r="R5" i="5"/>
  <c r="S5" i="5"/>
  <c r="T5" i="5"/>
  <c r="U5" i="5"/>
  <c r="A9" i="7"/>
  <c r="B9" i="7"/>
  <c r="C9" i="7"/>
  <c r="D9" i="7"/>
  <c r="E9" i="7"/>
  <c r="F9" i="7"/>
  <c r="G9" i="7"/>
  <c r="H9" i="7"/>
  <c r="I9" i="7"/>
  <c r="J9" i="7"/>
  <c r="K9" i="7"/>
  <c r="L9" i="7"/>
  <c r="M9" i="7"/>
  <c r="N9" i="7"/>
  <c r="O9" i="7"/>
  <c r="P9" i="7"/>
  <c r="Q9" i="7"/>
  <c r="R9" i="7"/>
  <c r="S9" i="7"/>
  <c r="T9" i="7"/>
  <c r="A10" i="7"/>
  <c r="B10" i="7"/>
  <c r="C10" i="7"/>
  <c r="D10" i="7"/>
  <c r="E10" i="7"/>
  <c r="F10" i="7"/>
  <c r="G10" i="7"/>
  <c r="H10" i="7"/>
  <c r="I10" i="7"/>
  <c r="J10" i="7"/>
  <c r="K10" i="7"/>
  <c r="L10" i="7"/>
  <c r="M10" i="7"/>
  <c r="N10" i="7"/>
  <c r="O10" i="7"/>
  <c r="P10" i="7"/>
  <c r="Q10" i="7"/>
  <c r="R10" i="7"/>
  <c r="S10" i="7"/>
  <c r="T10" i="7"/>
  <c r="A11" i="7"/>
  <c r="B11" i="7"/>
  <c r="C11" i="7"/>
  <c r="D11" i="7"/>
  <c r="E11" i="7"/>
  <c r="F11" i="7"/>
  <c r="G11" i="7"/>
  <c r="H11" i="7"/>
  <c r="I11" i="7"/>
  <c r="J11" i="7"/>
  <c r="K11" i="7"/>
  <c r="L11" i="7"/>
  <c r="M11" i="7"/>
  <c r="N11" i="7"/>
  <c r="O11" i="7"/>
  <c r="P11" i="7"/>
  <c r="Q11" i="7"/>
  <c r="R11" i="7"/>
  <c r="S11" i="7"/>
  <c r="T11" i="7"/>
  <c r="B17" i="7"/>
  <c r="C17" i="7"/>
  <c r="D17" i="7"/>
  <c r="E17" i="7"/>
  <c r="F17" i="7"/>
  <c r="G17" i="7"/>
  <c r="H17" i="7"/>
  <c r="I17" i="7"/>
  <c r="J17" i="7"/>
  <c r="K17" i="7"/>
  <c r="L17" i="7"/>
  <c r="M17" i="7"/>
  <c r="N17" i="7"/>
  <c r="O17" i="7"/>
  <c r="P17" i="7"/>
  <c r="Q17" i="7"/>
  <c r="R17" i="7"/>
  <c r="S17" i="7"/>
  <c r="T17" i="7"/>
  <c r="A18" i="7"/>
  <c r="B18" i="7"/>
  <c r="C18" i="7"/>
  <c r="D18" i="7"/>
  <c r="E18" i="7"/>
  <c r="F18" i="7"/>
  <c r="G18" i="7"/>
  <c r="H18" i="7"/>
  <c r="I18" i="7"/>
  <c r="J18" i="7"/>
  <c r="K18" i="7"/>
  <c r="L18" i="7"/>
  <c r="M18" i="7"/>
  <c r="N18" i="7"/>
  <c r="O18" i="7"/>
  <c r="P18" i="7"/>
  <c r="Q18" i="7"/>
  <c r="R18" i="7"/>
  <c r="S18" i="7"/>
  <c r="T18" i="7"/>
  <c r="B19" i="7"/>
  <c r="C19" i="7"/>
  <c r="D19" i="7"/>
  <c r="E19" i="7"/>
  <c r="F19" i="7"/>
  <c r="G19" i="7"/>
  <c r="H19" i="7"/>
  <c r="I19" i="7"/>
  <c r="J19" i="7"/>
  <c r="K19" i="7"/>
  <c r="L19" i="7"/>
  <c r="M19" i="7"/>
  <c r="N19" i="7"/>
  <c r="O19" i="7"/>
  <c r="P19" i="7"/>
  <c r="Q19" i="7"/>
  <c r="R19" i="7"/>
  <c r="S19" i="7"/>
  <c r="T19" i="7"/>
  <c r="A12" i="7"/>
  <c r="B12" i="7"/>
  <c r="C12" i="7"/>
  <c r="E12" i="7"/>
  <c r="F12" i="7"/>
  <c r="G12" i="7"/>
  <c r="H12" i="7"/>
  <c r="I12" i="7"/>
  <c r="J12" i="7"/>
  <c r="K12" i="7"/>
  <c r="L12" i="7"/>
  <c r="M12" i="7"/>
  <c r="N12" i="7"/>
  <c r="O12" i="7"/>
  <c r="P12" i="7"/>
  <c r="Q12" i="7"/>
  <c r="R12" i="7"/>
  <c r="S12" i="7"/>
  <c r="T12" i="7"/>
  <c r="A13" i="7"/>
  <c r="C13" i="7"/>
  <c r="E13" i="7"/>
  <c r="F13" i="7"/>
  <c r="G13" i="7"/>
  <c r="H13" i="7"/>
  <c r="I13" i="7"/>
  <c r="J13" i="7"/>
  <c r="K13" i="7"/>
  <c r="L13" i="7"/>
  <c r="M13" i="7"/>
  <c r="N13" i="7"/>
  <c r="O13" i="7"/>
  <c r="P13" i="7"/>
  <c r="Q13" i="7"/>
  <c r="R13" i="7"/>
  <c r="S13" i="7"/>
  <c r="T13" i="7"/>
  <c r="A14" i="7"/>
  <c r="C14" i="7"/>
  <c r="E14" i="7"/>
  <c r="F14" i="7"/>
  <c r="G14" i="7"/>
  <c r="H14" i="7"/>
  <c r="I14" i="7"/>
  <c r="J14" i="7"/>
  <c r="K14" i="7"/>
  <c r="L14" i="7"/>
  <c r="M14" i="7"/>
  <c r="N14" i="7"/>
  <c r="O14" i="7"/>
  <c r="P14" i="7"/>
  <c r="Q14" i="7"/>
  <c r="R14" i="7"/>
  <c r="S14" i="7"/>
  <c r="T14" i="7"/>
  <c r="A15" i="7"/>
  <c r="B15" i="7"/>
  <c r="C15" i="7"/>
  <c r="D15" i="7"/>
  <c r="E15" i="7"/>
  <c r="F15" i="7"/>
  <c r="G15" i="7"/>
  <c r="H15" i="7"/>
  <c r="I15" i="7"/>
  <c r="J15" i="7"/>
  <c r="K15" i="7"/>
  <c r="L15" i="7"/>
  <c r="M15" i="7"/>
  <c r="N15" i="7"/>
  <c r="O15" i="7"/>
  <c r="P15" i="7"/>
  <c r="Q15" i="7"/>
  <c r="R15" i="7"/>
  <c r="S15" i="7"/>
  <c r="T15" i="7"/>
  <c r="A16" i="7"/>
  <c r="B16" i="7"/>
  <c r="C16" i="7"/>
  <c r="D16" i="7"/>
  <c r="E16" i="7"/>
  <c r="F16" i="7"/>
  <c r="G16" i="7"/>
  <c r="H16" i="7"/>
  <c r="I16" i="7"/>
  <c r="J16" i="7"/>
  <c r="K16" i="7"/>
  <c r="L16" i="7"/>
  <c r="M16" i="7"/>
  <c r="N16" i="7"/>
  <c r="O16" i="7"/>
  <c r="P16" i="7"/>
  <c r="Q16" i="7"/>
  <c r="R16" i="7"/>
  <c r="S16" i="7"/>
  <c r="T16" i="7"/>
  <c r="A20" i="7"/>
  <c r="B20" i="7"/>
  <c r="C20" i="7"/>
  <c r="D20" i="7"/>
  <c r="E20" i="7"/>
  <c r="F20" i="7"/>
  <c r="G20" i="7"/>
  <c r="H20" i="7"/>
  <c r="I20" i="7"/>
  <c r="J20" i="7"/>
  <c r="K20" i="7"/>
  <c r="L20" i="7"/>
  <c r="M20" i="7"/>
  <c r="N20" i="7"/>
  <c r="O20" i="7"/>
  <c r="P20" i="7"/>
  <c r="Q20" i="7"/>
  <c r="R20" i="7"/>
  <c r="S20" i="7"/>
  <c r="T20" i="7"/>
  <c r="B24" i="7"/>
  <c r="C24" i="7"/>
  <c r="D24" i="7"/>
  <c r="E24" i="7"/>
  <c r="F24" i="7"/>
  <c r="G24" i="7"/>
  <c r="H24" i="7"/>
  <c r="I24" i="7"/>
  <c r="J24" i="7"/>
  <c r="K24" i="7"/>
  <c r="L24" i="7"/>
  <c r="M24" i="7"/>
  <c r="N24" i="7"/>
  <c r="O24" i="7"/>
  <c r="P24" i="7"/>
  <c r="Q24" i="7"/>
  <c r="R24" i="7"/>
  <c r="S24" i="7"/>
  <c r="T24" i="7"/>
  <c r="B25" i="7"/>
  <c r="C25" i="7"/>
  <c r="D25" i="7"/>
  <c r="E25" i="7"/>
  <c r="F25" i="7"/>
  <c r="G25" i="7"/>
  <c r="H25" i="7"/>
  <c r="I25" i="7"/>
  <c r="J25" i="7"/>
  <c r="K25" i="7"/>
  <c r="L25" i="7"/>
  <c r="M25" i="7"/>
  <c r="N25" i="7"/>
  <c r="O25" i="7"/>
  <c r="P25" i="7"/>
  <c r="Q25" i="7"/>
  <c r="R25" i="7"/>
  <c r="S25" i="7"/>
  <c r="T25" i="7"/>
  <c r="B26" i="7"/>
  <c r="C26" i="7"/>
  <c r="D26" i="7"/>
  <c r="E26" i="7"/>
  <c r="F26" i="7"/>
  <c r="G26" i="7"/>
  <c r="H26" i="7"/>
  <c r="I26" i="7"/>
  <c r="J26" i="7"/>
  <c r="K26" i="7"/>
  <c r="L26" i="7"/>
  <c r="M26" i="7"/>
  <c r="N26" i="7"/>
  <c r="O26" i="7"/>
  <c r="P26" i="7"/>
  <c r="Q26" i="7"/>
  <c r="R26" i="7"/>
  <c r="S26" i="7"/>
  <c r="T26" i="7"/>
  <c r="A21" i="7"/>
  <c r="B21" i="7"/>
  <c r="C21" i="7"/>
  <c r="E21" i="7"/>
  <c r="F21" i="7"/>
  <c r="G21" i="7"/>
  <c r="H21" i="7"/>
  <c r="I21" i="7"/>
  <c r="J21" i="7"/>
  <c r="K21" i="7"/>
  <c r="L21" i="7"/>
  <c r="M21" i="7"/>
  <c r="N21" i="7"/>
  <c r="O21" i="7"/>
  <c r="P21" i="7"/>
  <c r="Q21" i="7"/>
  <c r="R21" i="7"/>
  <c r="S21" i="7"/>
  <c r="T21" i="7"/>
  <c r="A22" i="7"/>
  <c r="B22" i="7"/>
  <c r="C22" i="7"/>
  <c r="D22" i="7"/>
  <c r="E22" i="7"/>
  <c r="F22" i="7"/>
  <c r="G22" i="7"/>
  <c r="H22" i="7"/>
  <c r="I22" i="7"/>
  <c r="J22" i="7"/>
  <c r="K22" i="7"/>
  <c r="L22" i="7"/>
  <c r="M22" i="7"/>
  <c r="N22" i="7"/>
  <c r="O22" i="7"/>
  <c r="P22" i="7"/>
  <c r="Q22" i="7"/>
  <c r="R22" i="7"/>
  <c r="S22" i="7"/>
  <c r="T22" i="7"/>
  <c r="A23" i="7"/>
  <c r="B23" i="7"/>
  <c r="C23" i="7"/>
  <c r="D23" i="7"/>
  <c r="E23" i="7"/>
  <c r="F23" i="7"/>
  <c r="G23" i="7"/>
  <c r="H23" i="7"/>
  <c r="I23" i="7"/>
  <c r="J23" i="7"/>
  <c r="K23" i="7"/>
  <c r="L23" i="7"/>
  <c r="M23" i="7"/>
  <c r="N23" i="7"/>
  <c r="O23" i="7"/>
  <c r="P23" i="7"/>
  <c r="Q23" i="7"/>
  <c r="R23" i="7"/>
  <c r="S23" i="7"/>
  <c r="T23" i="7"/>
  <c r="A27" i="7"/>
  <c r="B27" i="7"/>
  <c r="C27" i="7"/>
  <c r="D27" i="7"/>
  <c r="E27" i="7"/>
  <c r="F27" i="7"/>
  <c r="G27" i="7"/>
  <c r="H27" i="7"/>
  <c r="I27" i="7"/>
  <c r="J27" i="7"/>
  <c r="K27" i="7"/>
  <c r="L27" i="7"/>
  <c r="M27" i="7"/>
  <c r="N27" i="7"/>
  <c r="O27" i="7"/>
  <c r="P27" i="7"/>
  <c r="Q27" i="7"/>
  <c r="R27" i="7"/>
  <c r="S27" i="7"/>
  <c r="T27" i="7"/>
  <c r="B33" i="7"/>
  <c r="C33" i="7"/>
  <c r="D33" i="7"/>
  <c r="E33" i="7"/>
  <c r="F33" i="7"/>
  <c r="G33" i="7"/>
  <c r="H33" i="7"/>
  <c r="I33" i="7"/>
  <c r="J33" i="7"/>
  <c r="K33" i="7"/>
  <c r="L33" i="7"/>
  <c r="M33" i="7"/>
  <c r="N33" i="7"/>
  <c r="O33" i="7"/>
  <c r="P33" i="7"/>
  <c r="Q33" i="7"/>
  <c r="R33" i="7"/>
  <c r="S33" i="7"/>
  <c r="T33" i="7"/>
  <c r="B34" i="7"/>
  <c r="C34" i="7"/>
  <c r="D34" i="7"/>
  <c r="E34" i="7"/>
  <c r="F34" i="7"/>
  <c r="G34" i="7"/>
  <c r="H34" i="7"/>
  <c r="I34" i="7"/>
  <c r="J34" i="7"/>
  <c r="K34" i="7"/>
  <c r="L34" i="7"/>
  <c r="M34" i="7"/>
  <c r="N34" i="7"/>
  <c r="O34" i="7"/>
  <c r="P34" i="7"/>
  <c r="Q34" i="7"/>
  <c r="R34" i="7"/>
  <c r="S34" i="7"/>
  <c r="T34" i="7"/>
  <c r="B35" i="7"/>
  <c r="C35" i="7"/>
  <c r="D35" i="7"/>
  <c r="E35" i="7"/>
  <c r="F35" i="7"/>
  <c r="G35" i="7"/>
  <c r="H35" i="7"/>
  <c r="I35" i="7"/>
  <c r="J35" i="7"/>
  <c r="K35" i="7"/>
  <c r="L35" i="7"/>
  <c r="M35" i="7"/>
  <c r="N35" i="7"/>
  <c r="O35" i="7"/>
  <c r="P35" i="7"/>
  <c r="Q35" i="7"/>
  <c r="R35" i="7"/>
  <c r="S35" i="7"/>
  <c r="T35" i="7"/>
  <c r="A28" i="7"/>
  <c r="B28" i="7"/>
  <c r="C28" i="7"/>
  <c r="E28" i="7"/>
  <c r="F28" i="7"/>
  <c r="G28" i="7"/>
  <c r="H28" i="7"/>
  <c r="I28" i="7"/>
  <c r="J28" i="7"/>
  <c r="K28" i="7"/>
  <c r="L28" i="7"/>
  <c r="M28" i="7"/>
  <c r="N28" i="7"/>
  <c r="O28" i="7"/>
  <c r="P28" i="7"/>
  <c r="Q28" i="7"/>
  <c r="R28" i="7"/>
  <c r="S28" i="7"/>
  <c r="T28" i="7"/>
  <c r="A29" i="7"/>
  <c r="C29" i="7"/>
  <c r="E29" i="7"/>
  <c r="F29" i="7"/>
  <c r="G29" i="7"/>
  <c r="H29" i="7"/>
  <c r="I29" i="7"/>
  <c r="J29" i="7"/>
  <c r="K29" i="7"/>
  <c r="L29" i="7"/>
  <c r="M29" i="7"/>
  <c r="N29" i="7"/>
  <c r="O29" i="7"/>
  <c r="P29" i="7"/>
  <c r="Q29" i="7"/>
  <c r="R29" i="7"/>
  <c r="S29" i="7"/>
  <c r="T29" i="7"/>
  <c r="A30" i="7"/>
  <c r="B30" i="7"/>
  <c r="C30" i="7"/>
  <c r="D30" i="7"/>
  <c r="E30" i="7"/>
  <c r="F30" i="7"/>
  <c r="G30" i="7"/>
  <c r="H30" i="7"/>
  <c r="I30" i="7"/>
  <c r="J30" i="7"/>
  <c r="K30" i="7"/>
  <c r="L30" i="7"/>
  <c r="M30" i="7"/>
  <c r="N30" i="7"/>
  <c r="O30" i="7"/>
  <c r="P30" i="7"/>
  <c r="Q30" i="7"/>
  <c r="R30" i="7"/>
  <c r="S30" i="7"/>
  <c r="T30" i="7"/>
  <c r="A31" i="7"/>
  <c r="B31" i="7"/>
  <c r="C31" i="7"/>
  <c r="D31" i="7"/>
  <c r="E31" i="7"/>
  <c r="F31" i="7"/>
  <c r="G31" i="7"/>
  <c r="H31" i="7"/>
  <c r="I31" i="7"/>
  <c r="J31" i="7"/>
  <c r="K31" i="7"/>
  <c r="L31" i="7"/>
  <c r="M31" i="7"/>
  <c r="N31" i="7"/>
  <c r="O31" i="7"/>
  <c r="P31" i="7"/>
  <c r="Q31" i="7"/>
  <c r="R31" i="7"/>
  <c r="S31" i="7"/>
  <c r="T31" i="7"/>
  <c r="A32" i="7"/>
  <c r="B32" i="7"/>
  <c r="C32" i="7"/>
  <c r="D32" i="7"/>
  <c r="E32" i="7"/>
  <c r="F32" i="7"/>
  <c r="G32" i="7"/>
  <c r="H32" i="7"/>
  <c r="I32" i="7"/>
  <c r="J32" i="7"/>
  <c r="K32" i="7"/>
  <c r="L32" i="7"/>
  <c r="M32" i="7"/>
  <c r="N32" i="7"/>
  <c r="O32" i="7"/>
  <c r="P32" i="7"/>
  <c r="Q32" i="7"/>
  <c r="R32" i="7"/>
  <c r="S32" i="7"/>
  <c r="T32" i="7"/>
  <c r="A36" i="7"/>
  <c r="B36" i="7"/>
  <c r="C36" i="7"/>
  <c r="D36" i="7"/>
  <c r="E36" i="7"/>
  <c r="F36" i="7"/>
  <c r="G36" i="7"/>
  <c r="H36" i="7"/>
  <c r="I36" i="7"/>
  <c r="J36" i="7"/>
  <c r="K36" i="7"/>
  <c r="L36" i="7"/>
  <c r="M36" i="7"/>
  <c r="N36" i="7"/>
  <c r="O36" i="7"/>
  <c r="P36" i="7"/>
  <c r="Q36" i="7"/>
  <c r="R36" i="7"/>
  <c r="S36" i="7"/>
  <c r="T36" i="7"/>
  <c r="A37" i="7"/>
  <c r="C37" i="7"/>
  <c r="D37" i="7"/>
  <c r="E37" i="7"/>
  <c r="F37" i="7"/>
  <c r="G37" i="7"/>
  <c r="H37" i="7"/>
  <c r="I37" i="7"/>
  <c r="J37" i="7"/>
  <c r="K37" i="7"/>
  <c r="L37" i="7"/>
  <c r="M37" i="7"/>
  <c r="N37" i="7"/>
  <c r="O37" i="7"/>
  <c r="P37" i="7"/>
  <c r="Q37" i="7"/>
  <c r="R37" i="7"/>
  <c r="S37" i="7"/>
  <c r="T37" i="7"/>
  <c r="A38" i="7"/>
  <c r="B38" i="7"/>
  <c r="C38" i="7"/>
  <c r="D38" i="7"/>
  <c r="E38" i="7"/>
  <c r="F38" i="7"/>
  <c r="G38" i="7"/>
  <c r="H38" i="7"/>
  <c r="I38" i="7"/>
  <c r="J38" i="7"/>
  <c r="K38" i="7"/>
  <c r="L38" i="7"/>
  <c r="M38" i="7"/>
  <c r="N38" i="7"/>
  <c r="O38" i="7"/>
  <c r="P38" i="7"/>
  <c r="Q38" i="7"/>
  <c r="R38" i="7"/>
  <c r="S38" i="7"/>
  <c r="T38" i="7"/>
  <c r="A39" i="7"/>
  <c r="B39" i="7"/>
  <c r="C39" i="7"/>
  <c r="D39" i="7"/>
  <c r="E39" i="7"/>
  <c r="F39" i="7"/>
  <c r="G39" i="7"/>
  <c r="H39" i="7"/>
  <c r="I39" i="7"/>
  <c r="J39" i="7"/>
  <c r="K39" i="7"/>
  <c r="L39" i="7"/>
  <c r="M39" i="7"/>
  <c r="N39" i="7"/>
  <c r="O39" i="7"/>
  <c r="P39" i="7"/>
  <c r="Q39" i="7"/>
  <c r="R39" i="7"/>
  <c r="S39" i="7"/>
  <c r="T39" i="7"/>
  <c r="A40" i="7"/>
  <c r="B40" i="7"/>
  <c r="C40" i="7"/>
  <c r="D40" i="7"/>
  <c r="E40" i="7"/>
  <c r="F40" i="7"/>
  <c r="G40" i="7"/>
  <c r="H40" i="7"/>
  <c r="I40" i="7"/>
  <c r="J40" i="7"/>
  <c r="K40" i="7"/>
  <c r="L40" i="7"/>
  <c r="M40" i="7"/>
  <c r="N40" i="7"/>
  <c r="O40" i="7"/>
  <c r="P40" i="7"/>
  <c r="Q40" i="7"/>
  <c r="R40" i="7"/>
  <c r="S40" i="7"/>
  <c r="T40" i="7"/>
  <c r="A41" i="7"/>
  <c r="B41" i="7"/>
  <c r="C41" i="7"/>
  <c r="D41" i="7"/>
  <c r="E41" i="7"/>
  <c r="F41" i="7"/>
  <c r="G41" i="7"/>
  <c r="H41" i="7"/>
  <c r="I41" i="7"/>
  <c r="J41" i="7"/>
  <c r="K41" i="7"/>
  <c r="L41" i="7"/>
  <c r="M41" i="7"/>
  <c r="N41" i="7"/>
  <c r="O41" i="7"/>
  <c r="P41" i="7"/>
  <c r="Q41" i="7"/>
  <c r="R41" i="7"/>
  <c r="S41" i="7"/>
  <c r="T41" i="7"/>
  <c r="B47" i="7"/>
  <c r="C47" i="7"/>
  <c r="D47" i="7"/>
  <c r="E47" i="7"/>
  <c r="F47" i="7"/>
  <c r="G47" i="7"/>
  <c r="H47" i="7"/>
  <c r="I47" i="7"/>
  <c r="J47" i="7"/>
  <c r="K47" i="7"/>
  <c r="L47" i="7"/>
  <c r="M47" i="7"/>
  <c r="N47" i="7"/>
  <c r="O47" i="7"/>
  <c r="P47" i="7"/>
  <c r="Q47" i="7"/>
  <c r="R47" i="7"/>
  <c r="S47" i="7"/>
  <c r="T47" i="7"/>
  <c r="A42" i="7"/>
  <c r="B42" i="7"/>
  <c r="C42" i="7"/>
  <c r="E42" i="7"/>
  <c r="F42" i="7"/>
  <c r="G42" i="7"/>
  <c r="H42" i="7"/>
  <c r="I42" i="7"/>
  <c r="J42" i="7"/>
  <c r="K42" i="7"/>
  <c r="L42" i="7"/>
  <c r="M42" i="7"/>
  <c r="N42" i="7"/>
  <c r="O42" i="7"/>
  <c r="P42" i="7"/>
  <c r="Q42" i="7"/>
  <c r="R42" i="7"/>
  <c r="S42" i="7"/>
  <c r="T42" i="7"/>
  <c r="A43" i="7"/>
  <c r="C43" i="7"/>
  <c r="E43" i="7"/>
  <c r="F43" i="7"/>
  <c r="G43" i="7"/>
  <c r="H43" i="7"/>
  <c r="I43" i="7"/>
  <c r="J43" i="7"/>
  <c r="K43" i="7"/>
  <c r="L43" i="7"/>
  <c r="M43" i="7"/>
  <c r="N43" i="7"/>
  <c r="O43" i="7"/>
  <c r="P43" i="7"/>
  <c r="Q43" i="7"/>
  <c r="R43" i="7"/>
  <c r="S43" i="7"/>
  <c r="T43" i="7"/>
  <c r="A44" i="7"/>
  <c r="B44" i="7"/>
  <c r="C44" i="7"/>
  <c r="D44" i="7"/>
  <c r="E44" i="7"/>
  <c r="F44" i="7"/>
  <c r="G44" i="7"/>
  <c r="H44" i="7"/>
  <c r="I44" i="7"/>
  <c r="J44" i="7"/>
  <c r="K44" i="7"/>
  <c r="L44" i="7"/>
  <c r="M44" i="7"/>
  <c r="N44" i="7"/>
  <c r="O44" i="7"/>
  <c r="P44" i="7"/>
  <c r="Q44" i="7"/>
  <c r="R44" i="7"/>
  <c r="S44" i="7"/>
  <c r="T44" i="7"/>
  <c r="A45" i="7"/>
  <c r="B45" i="7"/>
  <c r="C45" i="7"/>
  <c r="D45" i="7"/>
  <c r="E45" i="7"/>
  <c r="F45" i="7"/>
  <c r="G45" i="7"/>
  <c r="H45" i="7"/>
  <c r="I45" i="7"/>
  <c r="J45" i="7"/>
  <c r="K45" i="7"/>
  <c r="L45" i="7"/>
  <c r="M45" i="7"/>
  <c r="N45" i="7"/>
  <c r="O45" i="7"/>
  <c r="P45" i="7"/>
  <c r="Q45" i="7"/>
  <c r="R45" i="7"/>
  <c r="S45" i="7"/>
  <c r="T45" i="7"/>
  <c r="A46" i="7"/>
  <c r="B46" i="7"/>
  <c r="C46" i="7"/>
  <c r="D46" i="7"/>
  <c r="E46" i="7"/>
  <c r="F46" i="7"/>
  <c r="G46" i="7"/>
  <c r="H46" i="7"/>
  <c r="I46" i="7"/>
  <c r="J46" i="7"/>
  <c r="K46" i="7"/>
  <c r="L46" i="7"/>
  <c r="M46" i="7"/>
  <c r="N46" i="7"/>
  <c r="O46" i="7"/>
  <c r="P46" i="7"/>
  <c r="Q46" i="7"/>
  <c r="R46" i="7"/>
  <c r="S46" i="7"/>
  <c r="T46" i="7"/>
  <c r="A48" i="7"/>
  <c r="B48" i="7"/>
  <c r="C48" i="7"/>
  <c r="D48" i="7"/>
  <c r="E48" i="7"/>
  <c r="F48" i="7"/>
  <c r="G48" i="7"/>
  <c r="H48" i="7"/>
  <c r="I48" i="7"/>
  <c r="J48" i="7"/>
  <c r="K48" i="7"/>
  <c r="L48" i="7"/>
  <c r="M48" i="7"/>
  <c r="N48" i="7"/>
  <c r="O48" i="7"/>
  <c r="P48" i="7"/>
  <c r="Q48" i="7"/>
  <c r="R48" i="7"/>
  <c r="S48" i="7"/>
  <c r="T48" i="7"/>
  <c r="A49" i="7"/>
  <c r="B49" i="7"/>
  <c r="C49" i="7"/>
  <c r="D49" i="7"/>
  <c r="E49" i="7"/>
  <c r="F49" i="7"/>
  <c r="G49" i="7"/>
  <c r="H49" i="7"/>
  <c r="I49" i="7"/>
  <c r="J49" i="7"/>
  <c r="K49" i="7"/>
  <c r="L49" i="7"/>
  <c r="M49" i="7"/>
  <c r="N49" i="7"/>
  <c r="O49" i="7"/>
  <c r="P49" i="7"/>
  <c r="Q49" i="7"/>
  <c r="R49" i="7"/>
  <c r="S49" i="7"/>
  <c r="T49" i="7"/>
  <c r="B55" i="7"/>
  <c r="C55" i="7"/>
  <c r="D55" i="7"/>
  <c r="E55" i="7"/>
  <c r="F55" i="7"/>
  <c r="G55" i="7"/>
  <c r="H55" i="7"/>
  <c r="I55" i="7"/>
  <c r="J55" i="7"/>
  <c r="K55" i="7"/>
  <c r="L55" i="7"/>
  <c r="M55" i="7"/>
  <c r="N55" i="7"/>
  <c r="O55" i="7"/>
  <c r="P55" i="7"/>
  <c r="Q55" i="7"/>
  <c r="R55" i="7"/>
  <c r="S55" i="7"/>
  <c r="T55" i="7"/>
  <c r="A50" i="7"/>
  <c r="B50" i="7"/>
  <c r="C50" i="7"/>
  <c r="D50" i="7"/>
  <c r="E50" i="7"/>
  <c r="F50" i="7"/>
  <c r="G50" i="7"/>
  <c r="H50" i="7"/>
  <c r="I50" i="7"/>
  <c r="J50" i="7"/>
  <c r="K50" i="7"/>
  <c r="L50" i="7"/>
  <c r="M50" i="7"/>
  <c r="N50" i="7"/>
  <c r="O50" i="7"/>
  <c r="P50" i="7"/>
  <c r="Q50" i="7"/>
  <c r="R50" i="7"/>
  <c r="S50" i="7"/>
  <c r="T50" i="7"/>
  <c r="A51" i="7"/>
  <c r="C51" i="7"/>
  <c r="D51" i="7"/>
  <c r="E51" i="7"/>
  <c r="F51" i="7"/>
  <c r="G51" i="7"/>
  <c r="H51" i="7"/>
  <c r="I51" i="7"/>
  <c r="J51" i="7"/>
  <c r="K51" i="7"/>
  <c r="L51" i="7"/>
  <c r="M51" i="7"/>
  <c r="N51" i="7"/>
  <c r="O51" i="7"/>
  <c r="P51" i="7"/>
  <c r="Q51" i="7"/>
  <c r="R51" i="7"/>
  <c r="S51" i="7"/>
  <c r="T51" i="7"/>
  <c r="A52" i="7"/>
  <c r="B52" i="7"/>
  <c r="C52" i="7"/>
  <c r="D52" i="7"/>
  <c r="E52" i="7"/>
  <c r="F52" i="7"/>
  <c r="G52" i="7"/>
  <c r="H52" i="7"/>
  <c r="I52" i="7"/>
  <c r="J52" i="7"/>
  <c r="K52" i="7"/>
  <c r="L52" i="7"/>
  <c r="M52" i="7"/>
  <c r="N52" i="7"/>
  <c r="O52" i="7"/>
  <c r="P52" i="7"/>
  <c r="Q52" i="7"/>
  <c r="R52" i="7"/>
  <c r="S52" i="7"/>
  <c r="T52" i="7"/>
  <c r="A53" i="7"/>
  <c r="B53" i="7"/>
  <c r="C53" i="7"/>
  <c r="D53" i="7"/>
  <c r="E53" i="7"/>
  <c r="F53" i="7"/>
  <c r="G53" i="7"/>
  <c r="H53" i="7"/>
  <c r="I53" i="7"/>
  <c r="J53" i="7"/>
  <c r="K53" i="7"/>
  <c r="L53" i="7"/>
  <c r="M53" i="7"/>
  <c r="N53" i="7"/>
  <c r="O53" i="7"/>
  <c r="P53" i="7"/>
  <c r="Q53" i="7"/>
  <c r="R53" i="7"/>
  <c r="S53" i="7"/>
  <c r="T53" i="7"/>
  <c r="A54" i="7"/>
  <c r="B54" i="7"/>
  <c r="C54" i="7"/>
  <c r="D54" i="7"/>
  <c r="E54" i="7"/>
  <c r="F54" i="7"/>
  <c r="G54" i="7"/>
  <c r="H54" i="7"/>
  <c r="I54" i="7"/>
  <c r="J54" i="7"/>
  <c r="K54" i="7"/>
  <c r="L54" i="7"/>
  <c r="M54" i="7"/>
  <c r="N54" i="7"/>
  <c r="O54" i="7"/>
  <c r="P54" i="7"/>
  <c r="Q54" i="7"/>
  <c r="R54" i="7"/>
  <c r="S54" i="7"/>
  <c r="T54" i="7"/>
  <c r="A56" i="7"/>
  <c r="B56" i="7"/>
  <c r="C56" i="7"/>
  <c r="D56" i="7"/>
  <c r="E56" i="7"/>
  <c r="F56" i="7"/>
  <c r="G56" i="7"/>
  <c r="H56" i="7"/>
  <c r="I56" i="7"/>
  <c r="J56" i="7"/>
  <c r="K56" i="7"/>
  <c r="L56" i="7"/>
  <c r="M56" i="7"/>
  <c r="N56" i="7"/>
  <c r="O56" i="7"/>
  <c r="P56" i="7"/>
  <c r="Q56" i="7"/>
  <c r="R56" i="7"/>
  <c r="S56" i="7"/>
  <c r="T56" i="7"/>
  <c r="B58" i="7"/>
  <c r="C58" i="7"/>
  <c r="D58" i="7"/>
  <c r="E58" i="7"/>
  <c r="F58" i="7"/>
  <c r="G58" i="7"/>
  <c r="H58" i="7"/>
  <c r="I58" i="7"/>
  <c r="J58" i="7"/>
  <c r="K58" i="7"/>
  <c r="L58" i="7"/>
  <c r="M58" i="7"/>
  <c r="N58" i="7"/>
  <c r="O58" i="7"/>
  <c r="P58" i="7"/>
  <c r="Q58" i="7"/>
  <c r="R58" i="7"/>
  <c r="S58" i="7"/>
  <c r="T58" i="7"/>
  <c r="B59" i="7"/>
  <c r="C59" i="7"/>
  <c r="D59" i="7"/>
  <c r="E59" i="7"/>
  <c r="F59" i="7"/>
  <c r="G59" i="7"/>
  <c r="H59" i="7"/>
  <c r="I59" i="7"/>
  <c r="J59" i="7"/>
  <c r="K59" i="7"/>
  <c r="L59" i="7"/>
  <c r="M59" i="7"/>
  <c r="N59" i="7"/>
  <c r="O59" i="7"/>
  <c r="P59" i="7"/>
  <c r="Q59" i="7"/>
  <c r="R59" i="7"/>
  <c r="S59" i="7"/>
  <c r="T59" i="7"/>
  <c r="B60" i="7"/>
  <c r="C60" i="7"/>
  <c r="D60" i="7"/>
  <c r="E60" i="7"/>
  <c r="F60" i="7"/>
  <c r="G60" i="7"/>
  <c r="H60" i="7"/>
  <c r="I60" i="7"/>
  <c r="J60" i="7"/>
  <c r="K60" i="7"/>
  <c r="L60" i="7"/>
  <c r="M60" i="7"/>
  <c r="N60" i="7"/>
  <c r="O60" i="7"/>
  <c r="P60" i="7"/>
  <c r="Q60" i="7"/>
  <c r="R60" i="7"/>
  <c r="S60" i="7"/>
  <c r="T60" i="7"/>
  <c r="A57" i="7"/>
  <c r="B57" i="7"/>
  <c r="C57" i="7"/>
  <c r="E57" i="7"/>
  <c r="F57" i="7"/>
  <c r="G57" i="7"/>
  <c r="H57" i="7"/>
  <c r="I57" i="7"/>
  <c r="J57" i="7"/>
  <c r="K57" i="7"/>
  <c r="L57" i="7"/>
  <c r="M57" i="7"/>
  <c r="N57" i="7"/>
  <c r="O57" i="7"/>
  <c r="P57" i="7"/>
  <c r="Q57" i="7"/>
  <c r="R57" i="7"/>
  <c r="S57" i="7"/>
  <c r="T57" i="7"/>
  <c r="A61" i="7"/>
  <c r="B61" i="7"/>
  <c r="C61" i="7"/>
  <c r="D61" i="7"/>
  <c r="E61" i="7"/>
  <c r="F61" i="7"/>
  <c r="G61" i="7"/>
  <c r="H61" i="7"/>
  <c r="I61" i="7"/>
  <c r="J61" i="7"/>
  <c r="K61" i="7"/>
  <c r="L61" i="7"/>
  <c r="M61" i="7"/>
  <c r="N61" i="7"/>
  <c r="O61" i="7"/>
  <c r="P61" i="7"/>
  <c r="Q61" i="7"/>
  <c r="R61" i="7"/>
  <c r="S61" i="7"/>
  <c r="T61" i="7"/>
  <c r="B63" i="7"/>
  <c r="C63" i="7"/>
  <c r="D63" i="7"/>
  <c r="E63" i="7"/>
  <c r="F63" i="7"/>
  <c r="G63" i="7"/>
  <c r="H63" i="7"/>
  <c r="I63" i="7"/>
  <c r="J63" i="7"/>
  <c r="K63" i="7"/>
  <c r="L63" i="7"/>
  <c r="M63" i="7"/>
  <c r="N63" i="7"/>
  <c r="O63" i="7"/>
  <c r="P63" i="7"/>
  <c r="Q63" i="7"/>
  <c r="R63" i="7"/>
  <c r="S63" i="7"/>
  <c r="T63" i="7"/>
  <c r="B64" i="7"/>
  <c r="C64" i="7"/>
  <c r="D64" i="7"/>
  <c r="E64" i="7"/>
  <c r="F64" i="7"/>
  <c r="G64" i="7"/>
  <c r="H64" i="7"/>
  <c r="I64" i="7"/>
  <c r="J64" i="7"/>
  <c r="K64" i="7"/>
  <c r="L64" i="7"/>
  <c r="M64" i="7"/>
  <c r="N64" i="7"/>
  <c r="O64" i="7"/>
  <c r="P64" i="7"/>
  <c r="Q64" i="7"/>
  <c r="R64" i="7"/>
  <c r="S64" i="7"/>
  <c r="T64" i="7"/>
  <c r="A62" i="7"/>
  <c r="B62" i="7"/>
  <c r="C62" i="7"/>
  <c r="E62" i="7"/>
  <c r="F62" i="7"/>
  <c r="G62" i="7"/>
  <c r="H62" i="7"/>
  <c r="I62" i="7"/>
  <c r="J62" i="7"/>
  <c r="K62" i="7"/>
  <c r="L62" i="7"/>
  <c r="M62" i="7"/>
  <c r="N62" i="7"/>
  <c r="O62" i="7"/>
  <c r="P62" i="7"/>
  <c r="Q62" i="7"/>
  <c r="R62" i="7"/>
  <c r="S62" i="7"/>
  <c r="T62" i="7"/>
  <c r="A65" i="7"/>
  <c r="B65" i="7"/>
  <c r="C65" i="7"/>
  <c r="D65" i="7"/>
  <c r="E65" i="7"/>
  <c r="F65" i="7"/>
  <c r="G65" i="7"/>
  <c r="H65" i="7"/>
  <c r="I65" i="7"/>
  <c r="J65" i="7"/>
  <c r="K65" i="7"/>
  <c r="L65" i="7"/>
  <c r="M65" i="7"/>
  <c r="N65" i="7"/>
  <c r="O65" i="7"/>
  <c r="P65" i="7"/>
  <c r="Q65" i="7"/>
  <c r="R65" i="7"/>
  <c r="S65" i="7"/>
  <c r="T65" i="7"/>
  <c r="B70" i="7"/>
  <c r="C70" i="7"/>
  <c r="D70" i="7"/>
  <c r="E70" i="7"/>
  <c r="F70" i="7"/>
  <c r="G70" i="7"/>
  <c r="H70" i="7"/>
  <c r="I70" i="7"/>
  <c r="J70" i="7"/>
  <c r="K70" i="7"/>
  <c r="L70" i="7"/>
  <c r="M70" i="7"/>
  <c r="N70" i="7"/>
  <c r="O70" i="7"/>
  <c r="P70" i="7"/>
  <c r="Q70" i="7"/>
  <c r="R70" i="7"/>
  <c r="S70" i="7"/>
  <c r="T70" i="7"/>
  <c r="B71" i="7"/>
  <c r="C71" i="7"/>
  <c r="D71" i="7"/>
  <c r="E71" i="7"/>
  <c r="F71" i="7"/>
  <c r="G71" i="7"/>
  <c r="H71" i="7"/>
  <c r="I71" i="7"/>
  <c r="J71" i="7"/>
  <c r="K71" i="7"/>
  <c r="L71" i="7"/>
  <c r="M71" i="7"/>
  <c r="N71" i="7"/>
  <c r="O71" i="7"/>
  <c r="P71" i="7"/>
  <c r="Q71" i="7"/>
  <c r="R71" i="7"/>
  <c r="S71" i="7"/>
  <c r="T71" i="7"/>
  <c r="B72" i="7"/>
  <c r="C72" i="7"/>
  <c r="D72" i="7"/>
  <c r="E72" i="7"/>
  <c r="F72" i="7"/>
  <c r="G72" i="7"/>
  <c r="H72" i="7"/>
  <c r="I72" i="7"/>
  <c r="J72" i="7"/>
  <c r="K72" i="7"/>
  <c r="L72" i="7"/>
  <c r="M72" i="7"/>
  <c r="N72" i="7"/>
  <c r="O72" i="7"/>
  <c r="P72" i="7"/>
  <c r="Q72" i="7"/>
  <c r="R72" i="7"/>
  <c r="S72" i="7"/>
  <c r="T72" i="7"/>
  <c r="A66" i="7"/>
  <c r="C66" i="7"/>
  <c r="E66" i="7"/>
  <c r="F66" i="7"/>
  <c r="G66" i="7"/>
  <c r="H66" i="7"/>
  <c r="I66" i="7"/>
  <c r="J66" i="7"/>
  <c r="K66" i="7"/>
  <c r="L66" i="7"/>
  <c r="M66" i="7"/>
  <c r="N66" i="7"/>
  <c r="O66" i="7"/>
  <c r="P66" i="7"/>
  <c r="Q66" i="7"/>
  <c r="R66" i="7"/>
  <c r="S66" i="7"/>
  <c r="T66" i="7"/>
  <c r="A67" i="7"/>
  <c r="B67" i="7"/>
  <c r="C67" i="7"/>
  <c r="D67" i="7"/>
  <c r="E67" i="7"/>
  <c r="F67" i="7"/>
  <c r="G67" i="7"/>
  <c r="H67" i="7"/>
  <c r="I67" i="7"/>
  <c r="J67" i="7"/>
  <c r="K67" i="7"/>
  <c r="L67" i="7"/>
  <c r="M67" i="7"/>
  <c r="N67" i="7"/>
  <c r="O67" i="7"/>
  <c r="P67" i="7"/>
  <c r="Q67" i="7"/>
  <c r="R67" i="7"/>
  <c r="S67" i="7"/>
  <c r="T67" i="7"/>
  <c r="A68" i="7"/>
  <c r="B68" i="7"/>
  <c r="C68" i="7"/>
  <c r="D68" i="7"/>
  <c r="E68" i="7"/>
  <c r="F68" i="7"/>
  <c r="G68" i="7"/>
  <c r="H68" i="7"/>
  <c r="I68" i="7"/>
  <c r="J68" i="7"/>
  <c r="K68" i="7"/>
  <c r="L68" i="7"/>
  <c r="M68" i="7"/>
  <c r="N68" i="7"/>
  <c r="O68" i="7"/>
  <c r="P68" i="7"/>
  <c r="Q68" i="7"/>
  <c r="R68" i="7"/>
  <c r="S68" i="7"/>
  <c r="T68" i="7"/>
  <c r="A69" i="7"/>
  <c r="B69" i="7"/>
  <c r="C69" i="7"/>
  <c r="D69" i="7"/>
  <c r="E69" i="7"/>
  <c r="F69" i="7"/>
  <c r="G69" i="7"/>
  <c r="H69" i="7"/>
  <c r="I69" i="7"/>
  <c r="J69" i="7"/>
  <c r="K69" i="7"/>
  <c r="L69" i="7"/>
  <c r="M69" i="7"/>
  <c r="N69" i="7"/>
  <c r="O69" i="7"/>
  <c r="P69" i="7"/>
  <c r="Q69" i="7"/>
  <c r="R69" i="7"/>
  <c r="S69" i="7"/>
  <c r="T69" i="7"/>
  <c r="A73" i="7"/>
  <c r="B73" i="7"/>
  <c r="C73" i="7"/>
  <c r="D73" i="7"/>
  <c r="E73" i="7"/>
  <c r="F73" i="7"/>
  <c r="G73" i="7"/>
  <c r="H73" i="7"/>
  <c r="I73" i="7"/>
  <c r="J73" i="7"/>
  <c r="K73" i="7"/>
  <c r="L73" i="7"/>
  <c r="M73" i="7"/>
  <c r="N73" i="7"/>
  <c r="O73" i="7"/>
  <c r="P73" i="7"/>
  <c r="Q73" i="7"/>
  <c r="R73" i="7"/>
  <c r="S73" i="7"/>
  <c r="T73" i="7"/>
  <c r="B74" i="7"/>
  <c r="C74" i="7"/>
  <c r="D74" i="7"/>
  <c r="E74" i="7"/>
  <c r="F74" i="7"/>
  <c r="G74" i="7"/>
  <c r="H74" i="7"/>
  <c r="I74" i="7"/>
  <c r="J74" i="7"/>
  <c r="K74" i="7"/>
  <c r="L74" i="7"/>
  <c r="M74" i="7"/>
  <c r="N74" i="7"/>
  <c r="O74" i="7"/>
  <c r="P74" i="7"/>
  <c r="Q74" i="7"/>
  <c r="R74" i="7"/>
  <c r="S74" i="7"/>
  <c r="T74" i="7"/>
  <c r="B75" i="7"/>
  <c r="C75" i="7"/>
  <c r="D75" i="7"/>
  <c r="E75" i="7"/>
  <c r="F75" i="7"/>
  <c r="G75" i="7"/>
  <c r="H75" i="7"/>
  <c r="I75" i="7"/>
  <c r="J75" i="7"/>
  <c r="K75" i="7"/>
  <c r="L75" i="7"/>
  <c r="M75" i="7"/>
  <c r="N75" i="7"/>
  <c r="O75" i="7"/>
  <c r="P75" i="7"/>
  <c r="Q75" i="7"/>
  <c r="R75" i="7"/>
  <c r="S75" i="7"/>
  <c r="T75" i="7"/>
  <c r="A78" i="7"/>
  <c r="B78" i="7"/>
  <c r="C78" i="7"/>
  <c r="D78" i="7"/>
  <c r="E78" i="7"/>
  <c r="F78" i="7"/>
  <c r="G78" i="7"/>
  <c r="H78" i="7"/>
  <c r="I78" i="7"/>
  <c r="J78" i="7"/>
  <c r="K78" i="7"/>
  <c r="L78" i="7"/>
  <c r="M78" i="7"/>
  <c r="N78" i="7"/>
  <c r="O78" i="7"/>
  <c r="P78" i="7"/>
  <c r="Q78" i="7"/>
  <c r="R78" i="7"/>
  <c r="S78" i="7"/>
  <c r="T78" i="7"/>
  <c r="B79" i="7"/>
  <c r="C79" i="7"/>
  <c r="D79" i="7"/>
  <c r="E79" i="7"/>
  <c r="F79" i="7"/>
  <c r="G79" i="7"/>
  <c r="H79" i="7"/>
  <c r="I79" i="7"/>
  <c r="J79" i="7"/>
  <c r="K79" i="7"/>
  <c r="L79" i="7"/>
  <c r="M79" i="7"/>
  <c r="N79" i="7"/>
  <c r="O79" i="7"/>
  <c r="P79" i="7"/>
  <c r="Q79" i="7"/>
  <c r="R79" i="7"/>
  <c r="S79" i="7"/>
  <c r="T79" i="7"/>
  <c r="A76" i="7"/>
  <c r="B76" i="7"/>
  <c r="C76" i="7"/>
  <c r="E76" i="7"/>
  <c r="F76" i="7"/>
  <c r="G76" i="7"/>
  <c r="H76" i="7"/>
  <c r="I76" i="7"/>
  <c r="J76" i="7"/>
  <c r="K76" i="7"/>
  <c r="L76" i="7"/>
  <c r="M76" i="7"/>
  <c r="N76" i="7"/>
  <c r="O76" i="7"/>
  <c r="P76" i="7"/>
  <c r="Q76" i="7"/>
  <c r="R76" i="7"/>
  <c r="S76" i="7"/>
  <c r="T76" i="7"/>
  <c r="A77" i="7"/>
  <c r="C77" i="7"/>
  <c r="E77" i="7"/>
  <c r="F77" i="7"/>
  <c r="G77" i="7"/>
  <c r="H77" i="7"/>
  <c r="I77" i="7"/>
  <c r="J77" i="7"/>
  <c r="K77" i="7"/>
  <c r="L77" i="7"/>
  <c r="M77" i="7"/>
  <c r="N77" i="7"/>
  <c r="O77" i="7"/>
  <c r="P77" i="7"/>
  <c r="Q77" i="7"/>
  <c r="R77" i="7"/>
  <c r="S77" i="7"/>
  <c r="T77" i="7"/>
  <c r="B80" i="7"/>
  <c r="C80" i="7"/>
  <c r="D80" i="7"/>
  <c r="E80" i="7"/>
  <c r="F80" i="7"/>
  <c r="G80" i="7"/>
  <c r="H80" i="7"/>
  <c r="I80" i="7"/>
  <c r="J80" i="7"/>
  <c r="K80" i="7"/>
  <c r="L80" i="7"/>
  <c r="M80" i="7"/>
  <c r="N80" i="7"/>
  <c r="O80" i="7"/>
  <c r="P80" i="7"/>
  <c r="Q80" i="7"/>
  <c r="R80" i="7"/>
  <c r="S80" i="7"/>
  <c r="T80" i="7"/>
  <c r="A82" i="7"/>
  <c r="B82" i="7"/>
  <c r="C82" i="7"/>
  <c r="D82" i="7"/>
  <c r="E82" i="7"/>
  <c r="F82" i="7"/>
  <c r="G82" i="7"/>
  <c r="H82" i="7"/>
  <c r="I82" i="7"/>
  <c r="J82" i="7"/>
  <c r="K82" i="7"/>
  <c r="L82" i="7"/>
  <c r="M82" i="7"/>
  <c r="N82" i="7"/>
  <c r="O82" i="7"/>
  <c r="P82" i="7"/>
  <c r="Q82" i="7"/>
  <c r="R82" i="7"/>
  <c r="S82" i="7"/>
  <c r="T82" i="7"/>
  <c r="A83" i="7"/>
  <c r="B83" i="7"/>
  <c r="C83" i="7"/>
  <c r="D83" i="7"/>
  <c r="E83" i="7"/>
  <c r="F83" i="7"/>
  <c r="G83" i="7"/>
  <c r="H83" i="7"/>
  <c r="I83" i="7"/>
  <c r="J83" i="7"/>
  <c r="K83" i="7"/>
  <c r="L83" i="7"/>
  <c r="M83" i="7"/>
  <c r="N83" i="7"/>
  <c r="O83" i="7"/>
  <c r="P83" i="7"/>
  <c r="Q83" i="7"/>
  <c r="R83" i="7"/>
  <c r="S83" i="7"/>
  <c r="T83" i="7"/>
  <c r="A81" i="7"/>
  <c r="B81" i="7"/>
  <c r="C81" i="7"/>
  <c r="D81" i="7"/>
  <c r="E81" i="7"/>
  <c r="F81" i="7"/>
  <c r="G81" i="7"/>
  <c r="H81" i="7"/>
  <c r="I81" i="7"/>
  <c r="J81" i="7"/>
  <c r="K81" i="7"/>
  <c r="L81" i="7"/>
  <c r="M81" i="7"/>
  <c r="N81" i="7"/>
  <c r="O81" i="7"/>
  <c r="P81" i="7"/>
  <c r="Q81" i="7"/>
  <c r="R81" i="7"/>
  <c r="S81" i="7"/>
  <c r="T81" i="7"/>
  <c r="A84" i="7"/>
  <c r="B84" i="7"/>
  <c r="C84" i="7"/>
  <c r="D84" i="7"/>
  <c r="E84" i="7"/>
  <c r="F84" i="7"/>
  <c r="G84" i="7"/>
  <c r="H84" i="7"/>
  <c r="I84" i="7"/>
  <c r="J84" i="7"/>
  <c r="K84" i="7"/>
  <c r="L84" i="7"/>
  <c r="M84" i="7"/>
  <c r="N84" i="7"/>
  <c r="O84" i="7"/>
  <c r="P84" i="7"/>
  <c r="Q84" i="7"/>
  <c r="R84" i="7"/>
  <c r="S84" i="7"/>
  <c r="T84" i="7"/>
  <c r="A85" i="7"/>
  <c r="B85" i="7"/>
  <c r="C85" i="7"/>
  <c r="D85" i="7"/>
  <c r="E85" i="7"/>
  <c r="F85" i="7"/>
  <c r="G85" i="7"/>
  <c r="H85" i="7"/>
  <c r="I85" i="7"/>
  <c r="J85" i="7"/>
  <c r="K85" i="7"/>
  <c r="L85" i="7"/>
  <c r="M85" i="7"/>
  <c r="N85" i="7"/>
  <c r="O85" i="7"/>
  <c r="P85" i="7"/>
  <c r="Q85" i="7"/>
  <c r="R85" i="7"/>
  <c r="S85" i="7"/>
  <c r="T85" i="7"/>
  <c r="A86" i="7"/>
  <c r="B86" i="7"/>
  <c r="C86" i="7"/>
  <c r="D86" i="7"/>
  <c r="E86" i="7"/>
  <c r="F86" i="7"/>
  <c r="G86" i="7"/>
  <c r="H86" i="7"/>
  <c r="I86" i="7"/>
  <c r="J86" i="7"/>
  <c r="K86" i="7"/>
  <c r="L86" i="7"/>
  <c r="M86" i="7"/>
  <c r="N86" i="7"/>
  <c r="O86" i="7"/>
  <c r="P86" i="7"/>
  <c r="Q86" i="7"/>
  <c r="R86" i="7"/>
  <c r="S86" i="7"/>
  <c r="T86" i="7"/>
  <c r="A87" i="7"/>
  <c r="B87" i="7"/>
  <c r="C87" i="7"/>
  <c r="D87" i="7"/>
  <c r="E87" i="7"/>
  <c r="F87" i="7"/>
  <c r="G87" i="7"/>
  <c r="H87" i="7"/>
  <c r="I87" i="7"/>
  <c r="J87" i="7"/>
  <c r="K87" i="7"/>
  <c r="L87" i="7"/>
  <c r="M87" i="7"/>
  <c r="N87" i="7"/>
  <c r="O87" i="7"/>
  <c r="P87" i="7"/>
  <c r="Q87" i="7"/>
  <c r="R87" i="7"/>
  <c r="S87" i="7"/>
  <c r="T87" i="7"/>
  <c r="A88" i="7"/>
  <c r="B88" i="7"/>
  <c r="C88" i="7"/>
  <c r="D88" i="7"/>
  <c r="E88" i="7"/>
  <c r="F88" i="7"/>
  <c r="G88" i="7"/>
  <c r="H88" i="7"/>
  <c r="I88" i="7"/>
  <c r="J88" i="7"/>
  <c r="K88" i="7"/>
  <c r="L88" i="7"/>
  <c r="M88" i="7"/>
  <c r="N88" i="7"/>
  <c r="O88" i="7"/>
  <c r="P88" i="7"/>
  <c r="Q88" i="7"/>
  <c r="R88" i="7"/>
  <c r="S88" i="7"/>
  <c r="T88" i="7"/>
  <c r="B89" i="7"/>
  <c r="C89" i="7"/>
  <c r="D89" i="7"/>
  <c r="E89" i="7"/>
  <c r="F89" i="7"/>
  <c r="G89" i="7"/>
  <c r="H89" i="7"/>
  <c r="I89" i="7"/>
  <c r="J89" i="7"/>
  <c r="K89" i="7"/>
  <c r="L89" i="7"/>
  <c r="M89" i="7"/>
  <c r="N89" i="7"/>
  <c r="O89" i="7"/>
  <c r="P89" i="7"/>
  <c r="Q89" i="7"/>
  <c r="R89" i="7"/>
  <c r="S89" i="7"/>
  <c r="T89" i="7"/>
  <c r="A90" i="7"/>
  <c r="B90" i="7"/>
  <c r="C90" i="7"/>
  <c r="D90" i="7"/>
  <c r="E90" i="7"/>
  <c r="F90" i="7"/>
  <c r="G90" i="7"/>
  <c r="H90" i="7"/>
  <c r="I90" i="7"/>
  <c r="J90" i="7"/>
  <c r="K90" i="7"/>
  <c r="L90" i="7"/>
  <c r="M90" i="7"/>
  <c r="N90" i="7"/>
  <c r="O90" i="7"/>
  <c r="P90" i="7"/>
  <c r="Q90" i="7"/>
  <c r="R90" i="7"/>
  <c r="S90" i="7"/>
  <c r="T90" i="7"/>
  <c r="A91" i="7"/>
  <c r="B91" i="7"/>
  <c r="C91" i="7"/>
  <c r="D91" i="7"/>
  <c r="E91" i="7"/>
  <c r="F91" i="7"/>
  <c r="G91" i="7"/>
  <c r="H91" i="7"/>
  <c r="I91" i="7"/>
  <c r="J91" i="7"/>
  <c r="K91" i="7"/>
  <c r="L91" i="7"/>
  <c r="M91" i="7"/>
  <c r="N91" i="7"/>
  <c r="O91" i="7"/>
  <c r="P91" i="7"/>
  <c r="Q91" i="7"/>
  <c r="R91" i="7"/>
  <c r="S91" i="7"/>
  <c r="T91" i="7"/>
  <c r="A92" i="7"/>
  <c r="B92" i="7"/>
  <c r="C92" i="7"/>
  <c r="D92" i="7"/>
  <c r="E92" i="7"/>
  <c r="F92" i="7"/>
  <c r="G92" i="7"/>
  <c r="H92" i="7"/>
  <c r="I92" i="7"/>
  <c r="J92" i="7"/>
  <c r="K92" i="7"/>
  <c r="L92" i="7"/>
  <c r="M92" i="7"/>
  <c r="N92" i="7"/>
  <c r="O92" i="7"/>
  <c r="P92" i="7"/>
  <c r="Q92" i="7"/>
  <c r="R92" i="7"/>
  <c r="S92" i="7"/>
  <c r="T92" i="7"/>
  <c r="A93" i="7"/>
  <c r="B93" i="7"/>
  <c r="C93" i="7"/>
  <c r="D93" i="7"/>
  <c r="E93" i="7"/>
  <c r="F93" i="7"/>
  <c r="G93" i="7"/>
  <c r="H93" i="7"/>
  <c r="I93" i="7"/>
  <c r="J93" i="7"/>
  <c r="K93" i="7"/>
  <c r="L93" i="7"/>
  <c r="M93" i="7"/>
  <c r="N93" i="7"/>
  <c r="O93" i="7"/>
  <c r="P93" i="7"/>
  <c r="Q93" i="7"/>
  <c r="R93" i="7"/>
  <c r="S93" i="7"/>
  <c r="T93" i="7"/>
  <c r="A95" i="7"/>
  <c r="B95" i="7"/>
  <c r="C95" i="7"/>
  <c r="D95" i="7"/>
  <c r="E95" i="7"/>
  <c r="F95" i="7"/>
  <c r="G95" i="7"/>
  <c r="H95" i="7"/>
  <c r="I95" i="7"/>
  <c r="J95" i="7"/>
  <c r="K95" i="7"/>
  <c r="L95" i="7"/>
  <c r="M95" i="7"/>
  <c r="N95" i="7"/>
  <c r="O95" i="7"/>
  <c r="P95" i="7"/>
  <c r="Q95" i="7"/>
  <c r="R95" i="7"/>
  <c r="S95" i="7"/>
  <c r="T95" i="7"/>
  <c r="A94" i="7"/>
  <c r="B94" i="7"/>
  <c r="C94" i="7"/>
  <c r="D94" i="7"/>
  <c r="E94" i="7"/>
  <c r="F94" i="7"/>
  <c r="G94" i="7"/>
  <c r="H94" i="7"/>
  <c r="I94" i="7"/>
  <c r="J94" i="7"/>
  <c r="K94" i="7"/>
  <c r="L94" i="7"/>
  <c r="M94" i="7"/>
  <c r="N94" i="7"/>
  <c r="O94" i="7"/>
  <c r="P94" i="7"/>
  <c r="Q94" i="7"/>
  <c r="R94" i="7"/>
  <c r="S94" i="7"/>
  <c r="T94" i="7"/>
  <c r="A96" i="7"/>
  <c r="B96" i="7"/>
  <c r="C96" i="7"/>
  <c r="D96" i="7"/>
  <c r="E96" i="7"/>
  <c r="F96" i="7"/>
  <c r="G96" i="7"/>
  <c r="H96" i="7"/>
  <c r="I96" i="7"/>
  <c r="J96" i="7"/>
  <c r="K96" i="7"/>
  <c r="L96" i="7"/>
  <c r="M96" i="7"/>
  <c r="N96" i="7"/>
  <c r="O96" i="7"/>
  <c r="P96" i="7"/>
  <c r="Q96" i="7"/>
  <c r="R96" i="7"/>
  <c r="S96" i="7"/>
  <c r="T96" i="7"/>
  <c r="B97" i="7"/>
  <c r="C97" i="7"/>
  <c r="D97" i="7"/>
  <c r="E97" i="7"/>
  <c r="F97" i="7"/>
  <c r="G97" i="7"/>
  <c r="H97" i="7"/>
  <c r="I97" i="7"/>
  <c r="J97" i="7"/>
  <c r="K97" i="7"/>
  <c r="L97" i="7"/>
  <c r="M97" i="7"/>
  <c r="N97" i="7"/>
  <c r="O97" i="7"/>
  <c r="P97" i="7"/>
  <c r="Q97" i="7"/>
  <c r="R97" i="7"/>
  <c r="S97" i="7"/>
  <c r="T97" i="7"/>
  <c r="A98" i="7"/>
  <c r="B98" i="7"/>
  <c r="C98" i="7"/>
  <c r="D98" i="7"/>
  <c r="E98" i="7"/>
  <c r="F98" i="7"/>
  <c r="G98" i="7"/>
  <c r="H98" i="7"/>
  <c r="I98" i="7"/>
  <c r="J98" i="7"/>
  <c r="K98" i="7"/>
  <c r="L98" i="7"/>
  <c r="M98" i="7"/>
  <c r="N98" i="7"/>
  <c r="O98" i="7"/>
  <c r="P98" i="7"/>
  <c r="Q98" i="7"/>
  <c r="R98" i="7"/>
  <c r="S98" i="7"/>
  <c r="T98" i="7"/>
  <c r="A99" i="7"/>
  <c r="B99" i="7"/>
  <c r="C99" i="7"/>
  <c r="D99" i="7"/>
  <c r="E99" i="7"/>
  <c r="F99" i="7"/>
  <c r="G99" i="7"/>
  <c r="H99" i="7"/>
  <c r="I99" i="7"/>
  <c r="J99" i="7"/>
  <c r="K99" i="7"/>
  <c r="L99" i="7"/>
  <c r="M99" i="7"/>
  <c r="N99" i="7"/>
  <c r="O99" i="7"/>
  <c r="P99" i="7"/>
  <c r="Q99" i="7"/>
  <c r="R99" i="7"/>
  <c r="S99" i="7"/>
  <c r="T99" i="7"/>
  <c r="A100" i="7"/>
  <c r="B100" i="7"/>
  <c r="C100" i="7"/>
  <c r="D100" i="7"/>
  <c r="E100" i="7"/>
  <c r="F100" i="7"/>
  <c r="G100" i="7"/>
  <c r="H100" i="7"/>
  <c r="I100" i="7"/>
  <c r="J100" i="7"/>
  <c r="K100" i="7"/>
  <c r="L100" i="7"/>
  <c r="M100" i="7"/>
  <c r="N100" i="7"/>
  <c r="O100" i="7"/>
  <c r="P100" i="7"/>
  <c r="Q100" i="7"/>
  <c r="R100" i="7"/>
  <c r="S100" i="7"/>
  <c r="T100" i="7"/>
  <c r="A102" i="7"/>
  <c r="B102" i="7"/>
  <c r="C102" i="7"/>
  <c r="D102" i="7"/>
  <c r="E102" i="7"/>
  <c r="F102" i="7"/>
  <c r="G102" i="7"/>
  <c r="H102" i="7"/>
  <c r="I102" i="7"/>
  <c r="J102" i="7"/>
  <c r="K102" i="7"/>
  <c r="L102" i="7"/>
  <c r="M102" i="7"/>
  <c r="N102" i="7"/>
  <c r="O102" i="7"/>
  <c r="P102" i="7"/>
  <c r="Q102" i="7"/>
  <c r="R102" i="7"/>
  <c r="S102" i="7"/>
  <c r="T102" i="7"/>
  <c r="A101" i="7"/>
  <c r="B101" i="7"/>
  <c r="C101" i="7"/>
  <c r="D101" i="7"/>
  <c r="E101" i="7"/>
  <c r="F101" i="7"/>
  <c r="G101" i="7"/>
  <c r="H101" i="7"/>
  <c r="I101" i="7"/>
  <c r="J101" i="7"/>
  <c r="K101" i="7"/>
  <c r="L101" i="7"/>
  <c r="M101" i="7"/>
  <c r="N101" i="7"/>
  <c r="O101" i="7"/>
  <c r="P101" i="7"/>
  <c r="Q101" i="7"/>
  <c r="R101" i="7"/>
  <c r="S101" i="7"/>
  <c r="T101" i="7"/>
  <c r="A103" i="7"/>
  <c r="B103" i="7"/>
  <c r="C103" i="7"/>
  <c r="D103" i="7"/>
  <c r="E103" i="7"/>
  <c r="F103" i="7"/>
  <c r="G103" i="7"/>
  <c r="H103" i="7"/>
  <c r="I103" i="7"/>
  <c r="J103" i="7"/>
  <c r="K103" i="7"/>
  <c r="L103" i="7"/>
  <c r="M103" i="7"/>
  <c r="N103" i="7"/>
  <c r="O103" i="7"/>
  <c r="P103" i="7"/>
  <c r="Q103" i="7"/>
  <c r="R103" i="7"/>
  <c r="S103" i="7"/>
  <c r="T103" i="7"/>
  <c r="A104" i="7"/>
  <c r="B104" i="7"/>
  <c r="C104" i="7"/>
  <c r="D104" i="7"/>
  <c r="E104" i="7"/>
  <c r="F104" i="7"/>
  <c r="G104" i="7"/>
  <c r="H104" i="7"/>
  <c r="I104" i="7"/>
  <c r="J104" i="7"/>
  <c r="K104" i="7"/>
  <c r="L104" i="7"/>
  <c r="M104" i="7"/>
  <c r="N104" i="7"/>
  <c r="O104" i="7"/>
  <c r="P104" i="7"/>
  <c r="Q104" i="7"/>
  <c r="R104" i="7"/>
  <c r="S104" i="7"/>
  <c r="T104" i="7"/>
  <c r="B105" i="7"/>
  <c r="C105" i="7"/>
  <c r="D105" i="7"/>
  <c r="E105" i="7"/>
  <c r="F105" i="7"/>
  <c r="G105" i="7"/>
  <c r="H105" i="7"/>
  <c r="I105" i="7"/>
  <c r="J105" i="7"/>
  <c r="K105" i="7"/>
  <c r="L105" i="7"/>
  <c r="M105" i="7"/>
  <c r="N105" i="7"/>
  <c r="O105" i="7"/>
  <c r="P105" i="7"/>
  <c r="Q105" i="7"/>
  <c r="R105" i="7"/>
  <c r="S105" i="7"/>
  <c r="T105" i="7"/>
  <c r="A106" i="7"/>
  <c r="B106" i="7"/>
  <c r="C106" i="7"/>
  <c r="D106" i="7"/>
  <c r="E106" i="7"/>
  <c r="F106" i="7"/>
  <c r="G106" i="7"/>
  <c r="H106" i="7"/>
  <c r="I106" i="7"/>
  <c r="J106" i="7"/>
  <c r="K106" i="7"/>
  <c r="L106" i="7"/>
  <c r="M106" i="7"/>
  <c r="N106" i="7"/>
  <c r="O106" i="7"/>
  <c r="P106" i="7"/>
  <c r="Q106" i="7"/>
  <c r="R106" i="7"/>
  <c r="S106" i="7"/>
  <c r="T106" i="7"/>
  <c r="A107" i="7"/>
  <c r="B107" i="7"/>
  <c r="C107" i="7"/>
  <c r="D107" i="7"/>
  <c r="E107" i="7"/>
  <c r="F107" i="7"/>
  <c r="G107" i="7"/>
  <c r="H107" i="7"/>
  <c r="I107" i="7"/>
  <c r="J107" i="7"/>
  <c r="K107" i="7"/>
  <c r="L107" i="7"/>
  <c r="M107" i="7"/>
  <c r="N107" i="7"/>
  <c r="O107" i="7"/>
  <c r="P107" i="7"/>
  <c r="Q107" i="7"/>
  <c r="R107" i="7"/>
  <c r="S107" i="7"/>
  <c r="T107" i="7"/>
  <c r="A108" i="7"/>
  <c r="B108" i="7"/>
  <c r="C108" i="7"/>
  <c r="D108" i="7"/>
  <c r="E108" i="7"/>
  <c r="F108" i="7"/>
  <c r="G108" i="7"/>
  <c r="H108" i="7"/>
  <c r="I108" i="7"/>
  <c r="J108" i="7"/>
  <c r="K108" i="7"/>
  <c r="L108" i="7"/>
  <c r="M108" i="7"/>
  <c r="N108" i="7"/>
  <c r="O108" i="7"/>
  <c r="P108" i="7"/>
  <c r="Q108" i="7"/>
  <c r="R108" i="7"/>
  <c r="S108" i="7"/>
  <c r="T108" i="7"/>
  <c r="A109" i="7"/>
  <c r="B109" i="7"/>
  <c r="C109" i="7"/>
  <c r="D109" i="7"/>
  <c r="E109" i="7"/>
  <c r="F109" i="7"/>
  <c r="G109" i="7"/>
  <c r="H109" i="7"/>
  <c r="I109" i="7"/>
  <c r="J109" i="7"/>
  <c r="K109" i="7"/>
  <c r="L109" i="7"/>
  <c r="M109" i="7"/>
  <c r="N109" i="7"/>
  <c r="O109" i="7"/>
  <c r="P109" i="7"/>
  <c r="Q109" i="7"/>
  <c r="R109" i="7"/>
  <c r="S109" i="7"/>
  <c r="T109" i="7"/>
  <c r="A110" i="7"/>
  <c r="B110" i="7"/>
  <c r="C110" i="7"/>
  <c r="D110" i="7"/>
  <c r="E110" i="7"/>
  <c r="F110" i="7"/>
  <c r="G110" i="7"/>
  <c r="H110" i="7"/>
  <c r="I110" i="7"/>
  <c r="J110" i="7"/>
  <c r="K110" i="7"/>
  <c r="L110" i="7"/>
  <c r="M110" i="7"/>
  <c r="N110" i="7"/>
  <c r="O110" i="7"/>
  <c r="P110" i="7"/>
  <c r="Q110" i="7"/>
  <c r="R110" i="7"/>
  <c r="S110" i="7"/>
  <c r="T110" i="7"/>
  <c r="A111" i="7"/>
  <c r="B111" i="7"/>
  <c r="C111" i="7"/>
  <c r="D111" i="7"/>
  <c r="E111" i="7"/>
  <c r="F111" i="7"/>
  <c r="G111" i="7"/>
  <c r="H111" i="7"/>
  <c r="I111" i="7"/>
  <c r="J111" i="7"/>
  <c r="K111" i="7"/>
  <c r="L111" i="7"/>
  <c r="M111" i="7"/>
  <c r="N111" i="7"/>
  <c r="O111" i="7"/>
  <c r="P111" i="7"/>
  <c r="Q111" i="7"/>
  <c r="R111" i="7"/>
  <c r="S111" i="7"/>
  <c r="T111" i="7"/>
  <c r="A112" i="7"/>
  <c r="B112" i="7"/>
  <c r="C112" i="7"/>
  <c r="D112" i="7"/>
  <c r="E112" i="7"/>
  <c r="F112" i="7"/>
  <c r="G112" i="7"/>
  <c r="H112" i="7"/>
  <c r="I112" i="7"/>
  <c r="J112" i="7"/>
  <c r="K112" i="7"/>
  <c r="L112" i="7"/>
  <c r="M112" i="7"/>
  <c r="N112" i="7"/>
  <c r="O112" i="7"/>
  <c r="P112" i="7"/>
  <c r="Q112" i="7"/>
  <c r="R112" i="7"/>
  <c r="S112" i="7"/>
  <c r="T112" i="7"/>
  <c r="A113" i="7"/>
  <c r="B113" i="7"/>
  <c r="C113" i="7"/>
  <c r="D113" i="7"/>
  <c r="E113" i="7"/>
  <c r="F113" i="7"/>
  <c r="G113" i="7"/>
  <c r="H113" i="7"/>
  <c r="I113" i="7"/>
  <c r="J113" i="7"/>
  <c r="K113" i="7"/>
  <c r="L113" i="7"/>
  <c r="M113" i="7"/>
  <c r="N113" i="7"/>
  <c r="O113" i="7"/>
  <c r="P113" i="7"/>
  <c r="Q113" i="7"/>
  <c r="R113" i="7"/>
  <c r="S113" i="7"/>
  <c r="T113" i="7"/>
  <c r="B114" i="7"/>
  <c r="C114" i="7"/>
  <c r="D114" i="7"/>
  <c r="E114" i="7"/>
  <c r="F114" i="7"/>
  <c r="G114" i="7"/>
  <c r="H114" i="7"/>
  <c r="I114" i="7"/>
  <c r="J114" i="7"/>
  <c r="K114" i="7"/>
  <c r="L114" i="7"/>
  <c r="M114" i="7"/>
  <c r="N114" i="7"/>
  <c r="O114" i="7"/>
  <c r="P114" i="7"/>
  <c r="Q114" i="7"/>
  <c r="R114" i="7"/>
  <c r="S114" i="7"/>
  <c r="T114" i="7"/>
  <c r="A115" i="7"/>
  <c r="B115" i="7"/>
  <c r="C115" i="7"/>
  <c r="D115" i="7"/>
  <c r="E115" i="7"/>
  <c r="F115" i="7"/>
  <c r="G115" i="7"/>
  <c r="H115" i="7"/>
  <c r="I115" i="7"/>
  <c r="J115" i="7"/>
  <c r="K115" i="7"/>
  <c r="L115" i="7"/>
  <c r="M115" i="7"/>
  <c r="N115" i="7"/>
  <c r="O115" i="7"/>
  <c r="P115" i="7"/>
  <c r="Q115" i="7"/>
  <c r="R115" i="7"/>
  <c r="S115" i="7"/>
  <c r="T115" i="7"/>
  <c r="A116" i="7"/>
  <c r="B116" i="7"/>
  <c r="C116" i="7"/>
  <c r="D116" i="7"/>
  <c r="E116" i="7"/>
  <c r="F116" i="7"/>
  <c r="G116" i="7"/>
  <c r="H116" i="7"/>
  <c r="I116" i="7"/>
  <c r="J116" i="7"/>
  <c r="K116" i="7"/>
  <c r="L116" i="7"/>
  <c r="M116" i="7"/>
  <c r="N116" i="7"/>
  <c r="O116" i="7"/>
  <c r="P116" i="7"/>
  <c r="Q116" i="7"/>
  <c r="R116" i="7"/>
  <c r="S116" i="7"/>
  <c r="T116" i="7"/>
  <c r="A117" i="7"/>
  <c r="B117" i="7"/>
  <c r="C117" i="7"/>
  <c r="D117" i="7"/>
  <c r="E117" i="7"/>
  <c r="F117" i="7"/>
  <c r="G117" i="7"/>
  <c r="H117" i="7"/>
  <c r="I117" i="7"/>
  <c r="J117" i="7"/>
  <c r="K117" i="7"/>
  <c r="L117" i="7"/>
  <c r="M117" i="7"/>
  <c r="N117" i="7"/>
  <c r="O117" i="7"/>
  <c r="P117" i="7"/>
  <c r="Q117" i="7"/>
  <c r="R117" i="7"/>
  <c r="S117" i="7"/>
  <c r="T117" i="7"/>
  <c r="A118" i="7"/>
  <c r="B118" i="7"/>
  <c r="C118" i="7"/>
  <c r="D118" i="7"/>
  <c r="E118" i="7"/>
  <c r="F118" i="7"/>
  <c r="G118" i="7"/>
  <c r="H118" i="7"/>
  <c r="I118" i="7"/>
  <c r="J118" i="7"/>
  <c r="K118" i="7"/>
  <c r="L118" i="7"/>
  <c r="M118" i="7"/>
  <c r="N118" i="7"/>
  <c r="O118" i="7"/>
  <c r="P118" i="7"/>
  <c r="Q118" i="7"/>
  <c r="R118" i="7"/>
  <c r="S118" i="7"/>
  <c r="T118" i="7"/>
  <c r="A119" i="7"/>
  <c r="B119" i="7"/>
  <c r="C119" i="7"/>
  <c r="D119" i="7"/>
  <c r="E119" i="7"/>
  <c r="F119" i="7"/>
  <c r="G119" i="7"/>
  <c r="H119" i="7"/>
  <c r="I119" i="7"/>
  <c r="J119" i="7"/>
  <c r="K119" i="7"/>
  <c r="L119" i="7"/>
  <c r="M119" i="7"/>
  <c r="N119" i="7"/>
  <c r="O119" i="7"/>
  <c r="P119" i="7"/>
  <c r="Q119" i="7"/>
  <c r="R119" i="7"/>
  <c r="S119" i="7"/>
  <c r="T119" i="7"/>
  <c r="A120" i="7"/>
  <c r="B120" i="7"/>
  <c r="C120" i="7"/>
  <c r="D120" i="7"/>
  <c r="E120" i="7"/>
  <c r="F120" i="7"/>
  <c r="G120" i="7"/>
  <c r="H120" i="7"/>
  <c r="I120" i="7"/>
  <c r="J120" i="7"/>
  <c r="K120" i="7"/>
  <c r="L120" i="7"/>
  <c r="M120" i="7"/>
  <c r="N120" i="7"/>
  <c r="O120" i="7"/>
  <c r="P120" i="7"/>
  <c r="Q120" i="7"/>
  <c r="R120" i="7"/>
  <c r="S120" i="7"/>
  <c r="T120" i="7"/>
  <c r="A121" i="7"/>
  <c r="B121" i="7"/>
  <c r="C121" i="7"/>
  <c r="D121" i="7"/>
  <c r="E121" i="7"/>
  <c r="F121" i="7"/>
  <c r="G121" i="7"/>
  <c r="H121" i="7"/>
  <c r="I121" i="7"/>
  <c r="J121" i="7"/>
  <c r="K121" i="7"/>
  <c r="L121" i="7"/>
  <c r="M121" i="7"/>
  <c r="N121" i="7"/>
  <c r="O121" i="7"/>
  <c r="P121" i="7"/>
  <c r="Q121" i="7"/>
  <c r="R121" i="7"/>
  <c r="S121" i="7"/>
  <c r="T121" i="7"/>
  <c r="A122" i="7"/>
  <c r="B122" i="7"/>
  <c r="C122" i="7"/>
  <c r="D122" i="7"/>
  <c r="E122" i="7"/>
  <c r="F122" i="7"/>
  <c r="G122" i="7"/>
  <c r="H122" i="7"/>
  <c r="I122" i="7"/>
  <c r="J122" i="7"/>
  <c r="K122" i="7"/>
  <c r="L122" i="7"/>
  <c r="M122" i="7"/>
  <c r="N122" i="7"/>
  <c r="O122" i="7"/>
  <c r="P122" i="7"/>
  <c r="Q122" i="7"/>
  <c r="R122" i="7"/>
  <c r="S122" i="7"/>
  <c r="T122" i="7"/>
  <c r="B123" i="7"/>
  <c r="C123" i="7"/>
  <c r="D123" i="7"/>
  <c r="E123" i="7"/>
  <c r="F123" i="7"/>
  <c r="G123" i="7"/>
  <c r="H123" i="7"/>
  <c r="I123" i="7"/>
  <c r="J123" i="7"/>
  <c r="K123" i="7"/>
  <c r="L123" i="7"/>
  <c r="M123" i="7"/>
  <c r="N123" i="7"/>
  <c r="O123" i="7"/>
  <c r="P123" i="7"/>
  <c r="Q123" i="7"/>
  <c r="R123" i="7"/>
  <c r="S123" i="7"/>
  <c r="T123" i="7"/>
  <c r="A124" i="7"/>
  <c r="B124" i="7"/>
  <c r="C124" i="7"/>
  <c r="D124" i="7"/>
  <c r="E124" i="7"/>
  <c r="F124" i="7"/>
  <c r="G124" i="7"/>
  <c r="H124" i="7"/>
  <c r="I124" i="7"/>
  <c r="J124" i="7"/>
  <c r="K124" i="7"/>
  <c r="L124" i="7"/>
  <c r="M124" i="7"/>
  <c r="N124" i="7"/>
  <c r="O124" i="7"/>
  <c r="P124" i="7"/>
  <c r="Q124" i="7"/>
  <c r="R124" i="7"/>
  <c r="S124" i="7"/>
  <c r="T124" i="7"/>
  <c r="A125" i="7"/>
  <c r="B125" i="7"/>
  <c r="C125" i="7"/>
  <c r="D125" i="7"/>
  <c r="E125" i="7"/>
  <c r="F125" i="7"/>
  <c r="G125" i="7"/>
  <c r="H125" i="7"/>
  <c r="I125" i="7"/>
  <c r="J125" i="7"/>
  <c r="K125" i="7"/>
  <c r="L125" i="7"/>
  <c r="M125" i="7"/>
  <c r="N125" i="7"/>
  <c r="O125" i="7"/>
  <c r="P125" i="7"/>
  <c r="Q125" i="7"/>
  <c r="R125" i="7"/>
  <c r="S125" i="7"/>
  <c r="T125" i="7"/>
  <c r="A126" i="7"/>
  <c r="B126" i="7"/>
  <c r="C126" i="7"/>
  <c r="D126" i="7"/>
  <c r="E126" i="7"/>
  <c r="F126" i="7"/>
  <c r="G126" i="7"/>
  <c r="H126" i="7"/>
  <c r="I126" i="7"/>
  <c r="J126" i="7"/>
  <c r="K126" i="7"/>
  <c r="L126" i="7"/>
  <c r="M126" i="7"/>
  <c r="N126" i="7"/>
  <c r="O126" i="7"/>
  <c r="P126" i="7"/>
  <c r="Q126" i="7"/>
  <c r="R126" i="7"/>
  <c r="S126" i="7"/>
  <c r="T126" i="7"/>
  <c r="A127" i="7"/>
  <c r="B127" i="7"/>
  <c r="C127" i="7"/>
  <c r="D127" i="7"/>
  <c r="E127" i="7"/>
  <c r="F127" i="7"/>
  <c r="G127" i="7"/>
  <c r="H127" i="7"/>
  <c r="I127" i="7"/>
  <c r="J127" i="7"/>
  <c r="K127" i="7"/>
  <c r="L127" i="7"/>
  <c r="M127" i="7"/>
  <c r="N127" i="7"/>
  <c r="O127" i="7"/>
  <c r="P127" i="7"/>
  <c r="Q127" i="7"/>
  <c r="R127" i="7"/>
  <c r="S127" i="7"/>
  <c r="T127" i="7"/>
  <c r="A128" i="7"/>
  <c r="B128" i="7"/>
  <c r="C128" i="7"/>
  <c r="D128" i="7"/>
  <c r="E128" i="7"/>
  <c r="F128" i="7"/>
  <c r="G128" i="7"/>
  <c r="H128" i="7"/>
  <c r="I128" i="7"/>
  <c r="J128" i="7"/>
  <c r="K128" i="7"/>
  <c r="L128" i="7"/>
  <c r="M128" i="7"/>
  <c r="N128" i="7"/>
  <c r="O128" i="7"/>
  <c r="P128" i="7"/>
  <c r="Q128" i="7"/>
  <c r="R128" i="7"/>
  <c r="S128" i="7"/>
  <c r="T128" i="7"/>
  <c r="A129" i="7"/>
  <c r="B129" i="7"/>
  <c r="C129" i="7"/>
  <c r="D129" i="7"/>
  <c r="E129" i="7"/>
  <c r="F129" i="7"/>
  <c r="G129" i="7"/>
  <c r="H129" i="7"/>
  <c r="I129" i="7"/>
  <c r="J129" i="7"/>
  <c r="K129" i="7"/>
  <c r="L129" i="7"/>
  <c r="M129" i="7"/>
  <c r="N129" i="7"/>
  <c r="O129" i="7"/>
  <c r="P129" i="7"/>
  <c r="Q129" i="7"/>
  <c r="R129" i="7"/>
  <c r="S129" i="7"/>
  <c r="T129" i="7"/>
  <c r="A130" i="7"/>
  <c r="B130" i="7"/>
  <c r="C130" i="7"/>
  <c r="D130" i="7"/>
  <c r="E130" i="7"/>
  <c r="F130" i="7"/>
  <c r="G130" i="7"/>
  <c r="H130" i="7"/>
  <c r="I130" i="7"/>
  <c r="J130" i="7"/>
  <c r="K130" i="7"/>
  <c r="L130" i="7"/>
  <c r="M130" i="7"/>
  <c r="N130" i="7"/>
  <c r="O130" i="7"/>
  <c r="P130" i="7"/>
  <c r="Q130" i="7"/>
  <c r="R130" i="7"/>
  <c r="S130" i="7"/>
  <c r="T130" i="7"/>
  <c r="A131" i="7"/>
  <c r="B131" i="7"/>
  <c r="C131" i="7"/>
  <c r="D131" i="7"/>
  <c r="E131" i="7"/>
  <c r="F131" i="7"/>
  <c r="G131" i="7"/>
  <c r="H131" i="7"/>
  <c r="I131" i="7"/>
  <c r="J131" i="7"/>
  <c r="K131" i="7"/>
  <c r="L131" i="7"/>
  <c r="M131" i="7"/>
  <c r="N131" i="7"/>
  <c r="O131" i="7"/>
  <c r="P131" i="7"/>
  <c r="Q131" i="7"/>
  <c r="R131" i="7"/>
  <c r="S131" i="7"/>
  <c r="T131" i="7"/>
  <c r="B132" i="7"/>
  <c r="C132" i="7"/>
  <c r="D132" i="7"/>
  <c r="E132" i="7"/>
  <c r="F132" i="7"/>
  <c r="G132" i="7"/>
  <c r="H132" i="7"/>
  <c r="I132" i="7"/>
  <c r="J132" i="7"/>
  <c r="K132" i="7"/>
  <c r="L132" i="7"/>
  <c r="M132" i="7"/>
  <c r="N132" i="7"/>
  <c r="O132" i="7"/>
  <c r="P132" i="7"/>
  <c r="Q132" i="7"/>
  <c r="R132" i="7"/>
  <c r="S132" i="7"/>
  <c r="T132" i="7"/>
  <c r="A133" i="7"/>
  <c r="B133" i="7"/>
  <c r="C133" i="7"/>
  <c r="D133" i="7"/>
  <c r="E133" i="7"/>
  <c r="F133" i="7"/>
  <c r="G133" i="7"/>
  <c r="H133" i="7"/>
  <c r="I133" i="7"/>
  <c r="J133" i="7"/>
  <c r="K133" i="7"/>
  <c r="L133" i="7"/>
  <c r="M133" i="7"/>
  <c r="N133" i="7"/>
  <c r="O133" i="7"/>
  <c r="P133" i="7"/>
  <c r="Q133" i="7"/>
  <c r="R133" i="7"/>
  <c r="S133" i="7"/>
  <c r="T133" i="7"/>
  <c r="A134" i="7"/>
  <c r="B134" i="7"/>
  <c r="C134" i="7"/>
  <c r="D134" i="7"/>
  <c r="E134" i="7"/>
  <c r="F134" i="7"/>
  <c r="G134" i="7"/>
  <c r="H134" i="7"/>
  <c r="I134" i="7"/>
  <c r="J134" i="7"/>
  <c r="K134" i="7"/>
  <c r="L134" i="7"/>
  <c r="M134" i="7"/>
  <c r="N134" i="7"/>
  <c r="O134" i="7"/>
  <c r="P134" i="7"/>
  <c r="Q134" i="7"/>
  <c r="R134" i="7"/>
  <c r="S134" i="7"/>
  <c r="T134" i="7"/>
  <c r="A135" i="7"/>
  <c r="B135" i="7"/>
  <c r="C135" i="7"/>
  <c r="D135" i="7"/>
  <c r="E135" i="7"/>
  <c r="F135" i="7"/>
  <c r="G135" i="7"/>
  <c r="H135" i="7"/>
  <c r="I135" i="7"/>
  <c r="J135" i="7"/>
  <c r="K135" i="7"/>
  <c r="L135" i="7"/>
  <c r="M135" i="7"/>
  <c r="N135" i="7"/>
  <c r="O135" i="7"/>
  <c r="P135" i="7"/>
  <c r="Q135" i="7"/>
  <c r="R135" i="7"/>
  <c r="S135" i="7"/>
  <c r="T135" i="7"/>
  <c r="A136" i="7"/>
  <c r="B136" i="7"/>
  <c r="C136" i="7"/>
  <c r="D136" i="7"/>
  <c r="E136" i="7"/>
  <c r="F136" i="7"/>
  <c r="G136" i="7"/>
  <c r="H136" i="7"/>
  <c r="I136" i="7"/>
  <c r="J136" i="7"/>
  <c r="K136" i="7"/>
  <c r="L136" i="7"/>
  <c r="M136" i="7"/>
  <c r="N136" i="7"/>
  <c r="O136" i="7"/>
  <c r="P136" i="7"/>
  <c r="Q136" i="7"/>
  <c r="R136" i="7"/>
  <c r="S136" i="7"/>
  <c r="T136" i="7"/>
  <c r="A137" i="7"/>
  <c r="B137" i="7"/>
  <c r="C137" i="7"/>
  <c r="D137" i="7"/>
  <c r="E137" i="7"/>
  <c r="F137" i="7"/>
  <c r="G137" i="7"/>
  <c r="H137" i="7"/>
  <c r="I137" i="7"/>
  <c r="J137" i="7"/>
  <c r="K137" i="7"/>
  <c r="L137" i="7"/>
  <c r="M137" i="7"/>
  <c r="N137" i="7"/>
  <c r="O137" i="7"/>
  <c r="P137" i="7"/>
  <c r="Q137" i="7"/>
  <c r="R137" i="7"/>
  <c r="S137" i="7"/>
  <c r="T137" i="7"/>
  <c r="A138" i="7"/>
  <c r="B138" i="7"/>
  <c r="C138" i="7"/>
  <c r="D138" i="7"/>
  <c r="E138" i="7"/>
  <c r="F138" i="7"/>
  <c r="G138" i="7"/>
  <c r="H138" i="7"/>
  <c r="I138" i="7"/>
  <c r="J138" i="7"/>
  <c r="K138" i="7"/>
  <c r="L138" i="7"/>
  <c r="M138" i="7"/>
  <c r="N138" i="7"/>
  <c r="O138" i="7"/>
  <c r="P138" i="7"/>
  <c r="Q138" i="7"/>
  <c r="R138" i="7"/>
  <c r="S138" i="7"/>
  <c r="T138" i="7"/>
  <c r="A139" i="7"/>
  <c r="B139" i="7"/>
  <c r="C139" i="7"/>
  <c r="D139" i="7"/>
  <c r="E139" i="7"/>
  <c r="F139" i="7"/>
  <c r="G139" i="7"/>
  <c r="H139" i="7"/>
  <c r="I139" i="7"/>
  <c r="J139" i="7"/>
  <c r="K139" i="7"/>
  <c r="L139" i="7"/>
  <c r="M139" i="7"/>
  <c r="N139" i="7"/>
  <c r="O139" i="7"/>
  <c r="P139" i="7"/>
  <c r="Q139" i="7"/>
  <c r="R139" i="7"/>
  <c r="S139" i="7"/>
  <c r="T139" i="7"/>
  <c r="A140" i="7"/>
  <c r="B140" i="7"/>
  <c r="C140" i="7"/>
  <c r="D140" i="7"/>
  <c r="E140" i="7"/>
  <c r="F140" i="7"/>
  <c r="G140" i="7"/>
  <c r="H140" i="7"/>
  <c r="I140" i="7"/>
  <c r="J140" i="7"/>
  <c r="K140" i="7"/>
  <c r="L140" i="7"/>
  <c r="M140" i="7"/>
  <c r="N140" i="7"/>
  <c r="O140" i="7"/>
  <c r="P140" i="7"/>
  <c r="Q140" i="7"/>
  <c r="R140" i="7"/>
  <c r="S140" i="7"/>
  <c r="T140" i="7"/>
  <c r="B141" i="7"/>
  <c r="C141" i="7"/>
  <c r="D141" i="7"/>
  <c r="E141" i="7"/>
  <c r="F141" i="7"/>
  <c r="G141" i="7"/>
  <c r="H141" i="7"/>
  <c r="I141" i="7"/>
  <c r="J141" i="7"/>
  <c r="K141" i="7"/>
  <c r="L141" i="7"/>
  <c r="M141" i="7"/>
  <c r="N141" i="7"/>
  <c r="O141" i="7"/>
  <c r="P141" i="7"/>
  <c r="Q141" i="7"/>
  <c r="R141" i="7"/>
  <c r="S141" i="7"/>
  <c r="T141" i="7"/>
  <c r="A142" i="7"/>
  <c r="B142" i="7"/>
  <c r="C142" i="7"/>
  <c r="D142" i="7"/>
  <c r="E142" i="7"/>
  <c r="F142" i="7"/>
  <c r="G142" i="7"/>
  <c r="H142" i="7"/>
  <c r="I142" i="7"/>
  <c r="J142" i="7"/>
  <c r="K142" i="7"/>
  <c r="L142" i="7"/>
  <c r="M142" i="7"/>
  <c r="N142" i="7"/>
  <c r="O142" i="7"/>
  <c r="P142" i="7"/>
  <c r="Q142" i="7"/>
  <c r="R142" i="7"/>
  <c r="S142" i="7"/>
  <c r="T142" i="7"/>
  <c r="A144" i="7"/>
  <c r="B144" i="7"/>
  <c r="C144" i="7"/>
  <c r="D144" i="7"/>
  <c r="E144" i="7"/>
  <c r="F144" i="7"/>
  <c r="G144" i="7"/>
  <c r="H144" i="7"/>
  <c r="I144" i="7"/>
  <c r="J144" i="7"/>
  <c r="K144" i="7"/>
  <c r="L144" i="7"/>
  <c r="M144" i="7"/>
  <c r="N144" i="7"/>
  <c r="O144" i="7"/>
  <c r="P144" i="7"/>
  <c r="Q144" i="7"/>
  <c r="R144" i="7"/>
  <c r="S144" i="7"/>
  <c r="T144" i="7"/>
  <c r="A145" i="7"/>
  <c r="B145" i="7"/>
  <c r="C145" i="7"/>
  <c r="D145" i="7"/>
  <c r="E145" i="7"/>
  <c r="F145" i="7"/>
  <c r="G145" i="7"/>
  <c r="H145" i="7"/>
  <c r="I145" i="7"/>
  <c r="J145" i="7"/>
  <c r="K145" i="7"/>
  <c r="L145" i="7"/>
  <c r="M145" i="7"/>
  <c r="N145" i="7"/>
  <c r="O145" i="7"/>
  <c r="P145" i="7"/>
  <c r="Q145" i="7"/>
  <c r="R145" i="7"/>
  <c r="S145" i="7"/>
  <c r="T145" i="7"/>
  <c r="A146" i="7"/>
  <c r="B146" i="7"/>
  <c r="C146" i="7"/>
  <c r="D146" i="7"/>
  <c r="E146" i="7"/>
  <c r="F146" i="7"/>
  <c r="G146" i="7"/>
  <c r="H146" i="7"/>
  <c r="I146" i="7"/>
  <c r="J146" i="7"/>
  <c r="K146" i="7"/>
  <c r="L146" i="7"/>
  <c r="M146" i="7"/>
  <c r="N146" i="7"/>
  <c r="O146" i="7"/>
  <c r="P146" i="7"/>
  <c r="Q146" i="7"/>
  <c r="R146" i="7"/>
  <c r="S146" i="7"/>
  <c r="T146" i="7"/>
  <c r="A147" i="7"/>
  <c r="B147" i="7"/>
  <c r="C147" i="7"/>
  <c r="D147" i="7"/>
  <c r="E147" i="7"/>
  <c r="F147" i="7"/>
  <c r="G147" i="7"/>
  <c r="H147" i="7"/>
  <c r="I147" i="7"/>
  <c r="J147" i="7"/>
  <c r="K147" i="7"/>
  <c r="L147" i="7"/>
  <c r="M147" i="7"/>
  <c r="N147" i="7"/>
  <c r="O147" i="7"/>
  <c r="P147" i="7"/>
  <c r="Q147" i="7"/>
  <c r="R147" i="7"/>
  <c r="S147" i="7"/>
  <c r="T147" i="7"/>
  <c r="A143" i="7"/>
  <c r="B143" i="7"/>
  <c r="C143" i="7"/>
  <c r="D143" i="7"/>
  <c r="E143" i="7"/>
  <c r="F143" i="7"/>
  <c r="G143" i="7"/>
  <c r="H143" i="7"/>
  <c r="I143" i="7"/>
  <c r="J143" i="7"/>
  <c r="K143" i="7"/>
  <c r="L143" i="7"/>
  <c r="M143" i="7"/>
  <c r="N143" i="7"/>
  <c r="O143" i="7"/>
  <c r="P143" i="7"/>
  <c r="Q143" i="7"/>
  <c r="R143" i="7"/>
  <c r="S143" i="7"/>
  <c r="T143" i="7"/>
  <c r="A148" i="7"/>
  <c r="B148" i="7"/>
  <c r="C148" i="7"/>
  <c r="D148" i="7"/>
  <c r="E148" i="7"/>
  <c r="F148" i="7"/>
  <c r="G148" i="7"/>
  <c r="H148" i="7"/>
  <c r="I148" i="7"/>
  <c r="J148" i="7"/>
  <c r="K148" i="7"/>
  <c r="L148" i="7"/>
  <c r="M148" i="7"/>
  <c r="N148" i="7"/>
  <c r="O148" i="7"/>
  <c r="P148" i="7"/>
  <c r="Q148" i="7"/>
  <c r="R148" i="7"/>
  <c r="S148" i="7"/>
  <c r="T148" i="7"/>
  <c r="A149" i="7"/>
  <c r="B149" i="7"/>
  <c r="C149" i="7"/>
  <c r="D149" i="7"/>
  <c r="E149" i="7"/>
  <c r="F149" i="7"/>
  <c r="G149" i="7"/>
  <c r="H149" i="7"/>
  <c r="I149" i="7"/>
  <c r="J149" i="7"/>
  <c r="K149" i="7"/>
  <c r="L149" i="7"/>
  <c r="M149" i="7"/>
  <c r="N149" i="7"/>
  <c r="O149" i="7"/>
  <c r="P149" i="7"/>
  <c r="Q149" i="7"/>
  <c r="R149" i="7"/>
  <c r="S149" i="7"/>
  <c r="T149" i="7"/>
  <c r="B153" i="7"/>
  <c r="C153" i="7"/>
  <c r="D153" i="7"/>
  <c r="E153" i="7"/>
  <c r="F153" i="7"/>
  <c r="G153" i="7"/>
  <c r="H153" i="7"/>
  <c r="I153" i="7"/>
  <c r="J153" i="7"/>
  <c r="K153" i="7"/>
  <c r="L153" i="7"/>
  <c r="M153" i="7"/>
  <c r="N153" i="7"/>
  <c r="O153" i="7"/>
  <c r="P153" i="7"/>
  <c r="Q153" i="7"/>
  <c r="R153" i="7"/>
  <c r="S153" i="7"/>
  <c r="T153" i="7"/>
  <c r="B154" i="7"/>
  <c r="C154" i="7"/>
  <c r="D154" i="7"/>
  <c r="E154" i="7"/>
  <c r="F154" i="7"/>
  <c r="G154" i="7"/>
  <c r="H154" i="7"/>
  <c r="I154" i="7"/>
  <c r="J154" i="7"/>
  <c r="K154" i="7"/>
  <c r="L154" i="7"/>
  <c r="M154" i="7"/>
  <c r="N154" i="7"/>
  <c r="O154" i="7"/>
  <c r="P154" i="7"/>
  <c r="Q154" i="7"/>
  <c r="R154" i="7"/>
  <c r="S154" i="7"/>
  <c r="T154" i="7"/>
  <c r="A150" i="7"/>
  <c r="B150" i="7"/>
  <c r="C150" i="7"/>
  <c r="E150" i="7"/>
  <c r="F150" i="7"/>
  <c r="G150" i="7"/>
  <c r="H150" i="7"/>
  <c r="I150" i="7"/>
  <c r="J150" i="7"/>
  <c r="K150" i="7"/>
  <c r="L150" i="7"/>
  <c r="M150" i="7"/>
  <c r="N150" i="7"/>
  <c r="O150" i="7"/>
  <c r="P150" i="7"/>
  <c r="Q150" i="7"/>
  <c r="R150" i="7"/>
  <c r="S150" i="7"/>
  <c r="T150" i="7"/>
  <c r="A151" i="7"/>
  <c r="C151" i="7"/>
  <c r="E151" i="7"/>
  <c r="F151" i="7"/>
  <c r="G151" i="7"/>
  <c r="H151" i="7"/>
  <c r="I151" i="7"/>
  <c r="J151" i="7"/>
  <c r="K151" i="7"/>
  <c r="L151" i="7"/>
  <c r="M151" i="7"/>
  <c r="N151" i="7"/>
  <c r="O151" i="7"/>
  <c r="P151" i="7"/>
  <c r="Q151" i="7"/>
  <c r="R151" i="7"/>
  <c r="S151" i="7"/>
  <c r="T151" i="7"/>
  <c r="A152" i="7"/>
  <c r="B152" i="7"/>
  <c r="C152" i="7"/>
  <c r="D152" i="7"/>
  <c r="E152" i="7"/>
  <c r="F152" i="7"/>
  <c r="G152" i="7"/>
  <c r="H152" i="7"/>
  <c r="I152" i="7"/>
  <c r="J152" i="7"/>
  <c r="K152" i="7"/>
  <c r="L152" i="7"/>
  <c r="M152" i="7"/>
  <c r="N152" i="7"/>
  <c r="O152" i="7"/>
  <c r="P152" i="7"/>
  <c r="Q152" i="7"/>
  <c r="R152" i="7"/>
  <c r="S152" i="7"/>
  <c r="T152" i="7"/>
  <c r="B159" i="7"/>
  <c r="C159" i="7"/>
  <c r="D159" i="7"/>
  <c r="E159" i="7"/>
  <c r="F159" i="7"/>
  <c r="G159" i="7"/>
  <c r="H159" i="7"/>
  <c r="I159" i="7"/>
  <c r="J159" i="7"/>
  <c r="K159" i="7"/>
  <c r="L159" i="7"/>
  <c r="M159" i="7"/>
  <c r="N159" i="7"/>
  <c r="O159" i="7"/>
  <c r="P159" i="7"/>
  <c r="Q159" i="7"/>
  <c r="R159" i="7"/>
  <c r="S159" i="7"/>
  <c r="T159" i="7"/>
  <c r="B160" i="7"/>
  <c r="C160" i="7"/>
  <c r="D160" i="7"/>
  <c r="E160" i="7"/>
  <c r="F160" i="7"/>
  <c r="G160" i="7"/>
  <c r="H160" i="7"/>
  <c r="I160" i="7"/>
  <c r="J160" i="7"/>
  <c r="K160" i="7"/>
  <c r="L160" i="7"/>
  <c r="M160" i="7"/>
  <c r="N160" i="7"/>
  <c r="O160" i="7"/>
  <c r="P160" i="7"/>
  <c r="Q160" i="7"/>
  <c r="R160" i="7"/>
  <c r="S160" i="7"/>
  <c r="T160" i="7"/>
  <c r="A155" i="7"/>
  <c r="B155" i="7"/>
  <c r="C155" i="7"/>
  <c r="E155" i="7"/>
  <c r="F155" i="7"/>
  <c r="G155" i="7"/>
  <c r="H155" i="7"/>
  <c r="I155" i="7"/>
  <c r="J155" i="7"/>
  <c r="K155" i="7"/>
  <c r="L155" i="7"/>
  <c r="M155" i="7"/>
  <c r="N155" i="7"/>
  <c r="O155" i="7"/>
  <c r="P155" i="7"/>
  <c r="Q155" i="7"/>
  <c r="R155" i="7"/>
  <c r="S155" i="7"/>
  <c r="T155" i="7"/>
  <c r="A156" i="7"/>
  <c r="C156" i="7"/>
  <c r="E156" i="7"/>
  <c r="F156" i="7"/>
  <c r="G156" i="7"/>
  <c r="H156" i="7"/>
  <c r="I156" i="7"/>
  <c r="J156" i="7"/>
  <c r="K156" i="7"/>
  <c r="L156" i="7"/>
  <c r="M156" i="7"/>
  <c r="N156" i="7"/>
  <c r="O156" i="7"/>
  <c r="P156" i="7"/>
  <c r="Q156" i="7"/>
  <c r="R156" i="7"/>
  <c r="S156" i="7"/>
  <c r="T156" i="7"/>
  <c r="A157" i="7"/>
  <c r="B157" i="7"/>
  <c r="C157" i="7"/>
  <c r="D157" i="7"/>
  <c r="E157" i="7"/>
  <c r="F157" i="7"/>
  <c r="G157" i="7"/>
  <c r="H157" i="7"/>
  <c r="I157" i="7"/>
  <c r="J157" i="7"/>
  <c r="K157" i="7"/>
  <c r="L157" i="7"/>
  <c r="M157" i="7"/>
  <c r="N157" i="7"/>
  <c r="O157" i="7"/>
  <c r="P157" i="7"/>
  <c r="Q157" i="7"/>
  <c r="R157" i="7"/>
  <c r="S157" i="7"/>
  <c r="T157" i="7"/>
  <c r="A158" i="7"/>
  <c r="B158" i="7"/>
  <c r="C158" i="7"/>
  <c r="D158" i="7"/>
  <c r="E158" i="7"/>
  <c r="F158" i="7"/>
  <c r="G158" i="7"/>
  <c r="H158" i="7"/>
  <c r="I158" i="7"/>
  <c r="J158" i="7"/>
  <c r="K158" i="7"/>
  <c r="L158" i="7"/>
  <c r="M158" i="7"/>
  <c r="N158" i="7"/>
  <c r="O158" i="7"/>
  <c r="P158" i="7"/>
  <c r="Q158" i="7"/>
  <c r="R158" i="7"/>
  <c r="S158" i="7"/>
  <c r="T158" i="7"/>
  <c r="B166" i="7"/>
  <c r="C166" i="7"/>
  <c r="D166" i="7"/>
  <c r="E166" i="7"/>
  <c r="F166" i="7"/>
  <c r="G166" i="7"/>
  <c r="H166" i="7"/>
  <c r="I166" i="7"/>
  <c r="J166" i="7"/>
  <c r="K166" i="7"/>
  <c r="L166" i="7"/>
  <c r="M166" i="7"/>
  <c r="N166" i="7"/>
  <c r="O166" i="7"/>
  <c r="P166" i="7"/>
  <c r="Q166" i="7"/>
  <c r="R166" i="7"/>
  <c r="S166" i="7"/>
  <c r="T166" i="7"/>
  <c r="B167" i="7"/>
  <c r="C167" i="7"/>
  <c r="D167" i="7"/>
  <c r="E167" i="7"/>
  <c r="F167" i="7"/>
  <c r="G167" i="7"/>
  <c r="H167" i="7"/>
  <c r="I167" i="7"/>
  <c r="J167" i="7"/>
  <c r="K167" i="7"/>
  <c r="L167" i="7"/>
  <c r="M167" i="7"/>
  <c r="N167" i="7"/>
  <c r="O167" i="7"/>
  <c r="P167" i="7"/>
  <c r="Q167" i="7"/>
  <c r="R167" i="7"/>
  <c r="S167" i="7"/>
  <c r="T167" i="7"/>
  <c r="B168" i="7"/>
  <c r="C168" i="7"/>
  <c r="D168" i="7"/>
  <c r="E168" i="7"/>
  <c r="F168" i="7"/>
  <c r="G168" i="7"/>
  <c r="H168" i="7"/>
  <c r="I168" i="7"/>
  <c r="J168" i="7"/>
  <c r="K168" i="7"/>
  <c r="L168" i="7"/>
  <c r="M168" i="7"/>
  <c r="N168" i="7"/>
  <c r="O168" i="7"/>
  <c r="P168" i="7"/>
  <c r="Q168" i="7"/>
  <c r="R168" i="7"/>
  <c r="S168" i="7"/>
  <c r="T168" i="7"/>
  <c r="A161" i="7"/>
  <c r="B161" i="7"/>
  <c r="C161" i="7"/>
  <c r="E161" i="7"/>
  <c r="F161" i="7"/>
  <c r="G161" i="7"/>
  <c r="H161" i="7"/>
  <c r="I161" i="7"/>
  <c r="J161" i="7"/>
  <c r="K161" i="7"/>
  <c r="L161" i="7"/>
  <c r="M161" i="7"/>
  <c r="N161" i="7"/>
  <c r="O161" i="7"/>
  <c r="P161" i="7"/>
  <c r="Q161" i="7"/>
  <c r="R161" i="7"/>
  <c r="S161" i="7"/>
  <c r="T161" i="7"/>
  <c r="A162" i="7"/>
  <c r="C162" i="7"/>
  <c r="E162" i="7"/>
  <c r="F162" i="7"/>
  <c r="G162" i="7"/>
  <c r="H162" i="7"/>
  <c r="I162" i="7"/>
  <c r="J162" i="7"/>
  <c r="K162" i="7"/>
  <c r="L162" i="7"/>
  <c r="M162" i="7"/>
  <c r="N162" i="7"/>
  <c r="O162" i="7"/>
  <c r="P162" i="7"/>
  <c r="Q162" i="7"/>
  <c r="R162" i="7"/>
  <c r="S162" i="7"/>
  <c r="T162" i="7"/>
  <c r="A163" i="7"/>
  <c r="B163" i="7"/>
  <c r="C163" i="7"/>
  <c r="D163" i="7"/>
  <c r="E163" i="7"/>
  <c r="F163" i="7"/>
  <c r="G163" i="7"/>
  <c r="H163" i="7"/>
  <c r="I163" i="7"/>
  <c r="J163" i="7"/>
  <c r="K163" i="7"/>
  <c r="L163" i="7"/>
  <c r="M163" i="7"/>
  <c r="N163" i="7"/>
  <c r="O163" i="7"/>
  <c r="P163" i="7"/>
  <c r="Q163" i="7"/>
  <c r="R163" i="7"/>
  <c r="S163" i="7"/>
  <c r="T163" i="7"/>
  <c r="A164" i="7"/>
  <c r="B164" i="7"/>
  <c r="C164" i="7"/>
  <c r="D164" i="7"/>
  <c r="E164" i="7"/>
  <c r="F164" i="7"/>
  <c r="G164" i="7"/>
  <c r="H164" i="7"/>
  <c r="I164" i="7"/>
  <c r="J164" i="7"/>
  <c r="K164" i="7"/>
  <c r="L164" i="7"/>
  <c r="M164" i="7"/>
  <c r="N164" i="7"/>
  <c r="O164" i="7"/>
  <c r="P164" i="7"/>
  <c r="Q164" i="7"/>
  <c r="R164" i="7"/>
  <c r="S164" i="7"/>
  <c r="T164" i="7"/>
  <c r="A165" i="7"/>
  <c r="B165" i="7"/>
  <c r="C165" i="7"/>
  <c r="D165" i="7"/>
  <c r="E165" i="7"/>
  <c r="F165" i="7"/>
  <c r="G165" i="7"/>
  <c r="H165" i="7"/>
  <c r="I165" i="7"/>
  <c r="J165" i="7"/>
  <c r="K165" i="7"/>
  <c r="L165" i="7"/>
  <c r="M165" i="7"/>
  <c r="N165" i="7"/>
  <c r="O165" i="7"/>
  <c r="P165" i="7"/>
  <c r="Q165" i="7"/>
  <c r="R165" i="7"/>
  <c r="S165" i="7"/>
  <c r="T165" i="7"/>
  <c r="A169" i="7"/>
  <c r="B169" i="7"/>
  <c r="C169" i="7"/>
  <c r="D169" i="7"/>
  <c r="E169" i="7"/>
  <c r="F169" i="7"/>
  <c r="G169" i="7"/>
  <c r="H169" i="7"/>
  <c r="I169" i="7"/>
  <c r="J169" i="7"/>
  <c r="K169" i="7"/>
  <c r="L169" i="7"/>
  <c r="M169" i="7"/>
  <c r="N169" i="7"/>
  <c r="O169" i="7"/>
  <c r="P169" i="7"/>
  <c r="Q169" i="7"/>
  <c r="R169" i="7"/>
  <c r="S169" i="7"/>
  <c r="T169" i="7"/>
  <c r="A170" i="7"/>
  <c r="B170" i="7"/>
  <c r="C170" i="7"/>
  <c r="D170" i="7"/>
  <c r="E170" i="7"/>
  <c r="F170" i="7"/>
  <c r="G170" i="7"/>
  <c r="H170" i="7"/>
  <c r="I170" i="7"/>
  <c r="J170" i="7"/>
  <c r="K170" i="7"/>
  <c r="L170" i="7"/>
  <c r="M170" i="7"/>
  <c r="N170" i="7"/>
  <c r="O170" i="7"/>
  <c r="P170" i="7"/>
  <c r="Q170" i="7"/>
  <c r="R170" i="7"/>
  <c r="S170" i="7"/>
  <c r="T170" i="7"/>
  <c r="A171" i="7"/>
  <c r="B171" i="7"/>
  <c r="C171" i="7"/>
  <c r="D171" i="7"/>
  <c r="E171" i="7"/>
  <c r="F171" i="7"/>
  <c r="G171" i="7"/>
  <c r="H171" i="7"/>
  <c r="I171" i="7"/>
  <c r="J171" i="7"/>
  <c r="K171" i="7"/>
  <c r="L171" i="7"/>
  <c r="M171" i="7"/>
  <c r="N171" i="7"/>
  <c r="O171" i="7"/>
  <c r="P171" i="7"/>
  <c r="Q171" i="7"/>
  <c r="R171" i="7"/>
  <c r="S171" i="7"/>
  <c r="T171" i="7"/>
  <c r="A172" i="7"/>
  <c r="B172" i="7"/>
  <c r="C172" i="7"/>
  <c r="D172" i="7"/>
  <c r="E172" i="7"/>
  <c r="F172" i="7"/>
  <c r="G172" i="7"/>
  <c r="H172" i="7"/>
  <c r="I172" i="7"/>
  <c r="J172" i="7"/>
  <c r="K172" i="7"/>
  <c r="L172" i="7"/>
  <c r="M172" i="7"/>
  <c r="N172" i="7"/>
  <c r="O172" i="7"/>
  <c r="P172" i="7"/>
  <c r="Q172" i="7"/>
  <c r="R172" i="7"/>
  <c r="S172" i="7"/>
  <c r="T172" i="7"/>
  <c r="A173" i="7"/>
  <c r="B173" i="7"/>
  <c r="C173" i="7"/>
  <c r="D173" i="7"/>
  <c r="E173" i="7"/>
  <c r="F173" i="7"/>
  <c r="G173" i="7"/>
  <c r="H173" i="7"/>
  <c r="I173" i="7"/>
  <c r="J173" i="7"/>
  <c r="K173" i="7"/>
  <c r="L173" i="7"/>
  <c r="M173" i="7"/>
  <c r="N173" i="7"/>
  <c r="O173" i="7"/>
  <c r="P173" i="7"/>
  <c r="Q173" i="7"/>
  <c r="R173" i="7"/>
  <c r="S173" i="7"/>
  <c r="T173" i="7"/>
  <c r="A174" i="7"/>
  <c r="B174" i="7"/>
  <c r="C174" i="7"/>
  <c r="D174" i="7"/>
  <c r="E174" i="7"/>
  <c r="F174" i="7"/>
  <c r="G174" i="7"/>
  <c r="H174" i="7"/>
  <c r="I174" i="7"/>
  <c r="J174" i="7"/>
  <c r="K174" i="7"/>
  <c r="L174" i="7"/>
  <c r="M174" i="7"/>
  <c r="N174" i="7"/>
  <c r="O174" i="7"/>
  <c r="P174" i="7"/>
  <c r="Q174" i="7"/>
  <c r="R174" i="7"/>
  <c r="S174" i="7"/>
  <c r="T174" i="7"/>
  <c r="A175" i="7"/>
  <c r="B175" i="7"/>
  <c r="C175" i="7"/>
  <c r="D175" i="7"/>
  <c r="E175" i="7"/>
  <c r="F175" i="7"/>
  <c r="G175" i="7"/>
  <c r="H175" i="7"/>
  <c r="I175" i="7"/>
  <c r="J175" i="7"/>
  <c r="K175" i="7"/>
  <c r="L175" i="7"/>
  <c r="M175" i="7"/>
  <c r="N175" i="7"/>
  <c r="O175" i="7"/>
  <c r="P175" i="7"/>
  <c r="Q175" i="7"/>
  <c r="R175" i="7"/>
  <c r="S175" i="7"/>
  <c r="T175" i="7"/>
  <c r="A176" i="7"/>
  <c r="B176" i="7"/>
  <c r="C176" i="7"/>
  <c r="D176" i="7"/>
  <c r="E176" i="7"/>
  <c r="F176" i="7"/>
  <c r="G176" i="7"/>
  <c r="H176" i="7"/>
  <c r="I176" i="7"/>
  <c r="J176" i="7"/>
  <c r="K176" i="7"/>
  <c r="L176" i="7"/>
  <c r="M176" i="7"/>
  <c r="N176" i="7"/>
  <c r="O176" i="7"/>
  <c r="P176" i="7"/>
  <c r="Q176" i="7"/>
  <c r="R176" i="7"/>
  <c r="S176" i="7"/>
  <c r="T176" i="7"/>
  <c r="A177" i="7"/>
  <c r="B177" i="7"/>
  <c r="C177" i="7"/>
  <c r="D177" i="7"/>
  <c r="E177" i="7"/>
  <c r="F177" i="7"/>
  <c r="G177" i="7"/>
  <c r="H177" i="7"/>
  <c r="I177" i="7"/>
  <c r="J177" i="7"/>
  <c r="K177" i="7"/>
  <c r="L177" i="7"/>
  <c r="M177" i="7"/>
  <c r="N177" i="7"/>
  <c r="O177" i="7"/>
  <c r="P177" i="7"/>
  <c r="Q177" i="7"/>
  <c r="R177" i="7"/>
  <c r="S177" i="7"/>
  <c r="T177" i="7"/>
  <c r="A178" i="7"/>
  <c r="B178" i="7"/>
  <c r="C178" i="7"/>
  <c r="D178" i="7"/>
  <c r="E178" i="7"/>
  <c r="F178" i="7"/>
  <c r="G178" i="7"/>
  <c r="H178" i="7"/>
  <c r="I178" i="7"/>
  <c r="J178" i="7"/>
  <c r="K178" i="7"/>
  <c r="L178" i="7"/>
  <c r="M178" i="7"/>
  <c r="N178" i="7"/>
  <c r="O178" i="7"/>
  <c r="P178" i="7"/>
  <c r="Q178" i="7"/>
  <c r="R178" i="7"/>
  <c r="S178" i="7"/>
  <c r="T178" i="7"/>
  <c r="A179" i="7"/>
  <c r="B179" i="7"/>
  <c r="C179" i="7"/>
  <c r="D179" i="7"/>
  <c r="E179" i="7"/>
  <c r="F179" i="7"/>
  <c r="G179" i="7"/>
  <c r="H179" i="7"/>
  <c r="I179" i="7"/>
  <c r="J179" i="7"/>
  <c r="K179" i="7"/>
  <c r="L179" i="7"/>
  <c r="M179" i="7"/>
  <c r="N179" i="7"/>
  <c r="O179" i="7"/>
  <c r="P179" i="7"/>
  <c r="Q179" i="7"/>
  <c r="R179" i="7"/>
  <c r="S179" i="7"/>
  <c r="T179" i="7"/>
  <c r="A180" i="7"/>
  <c r="B180" i="7"/>
  <c r="C180" i="7"/>
  <c r="D180" i="7"/>
  <c r="E180" i="7"/>
  <c r="F180" i="7"/>
  <c r="G180" i="7"/>
  <c r="H180" i="7"/>
  <c r="I180" i="7"/>
  <c r="J180" i="7"/>
  <c r="K180" i="7"/>
  <c r="L180" i="7"/>
  <c r="M180" i="7"/>
  <c r="N180" i="7"/>
  <c r="O180" i="7"/>
  <c r="P180" i="7"/>
  <c r="Q180" i="7"/>
  <c r="R180" i="7"/>
  <c r="S180" i="7"/>
  <c r="T180" i="7"/>
  <c r="A182" i="7"/>
  <c r="B182" i="7"/>
  <c r="C182" i="7"/>
  <c r="D182" i="7"/>
  <c r="E182" i="7"/>
  <c r="F182" i="7"/>
  <c r="G182" i="7"/>
  <c r="H182" i="7"/>
  <c r="I182" i="7"/>
  <c r="J182" i="7"/>
  <c r="K182" i="7"/>
  <c r="L182" i="7"/>
  <c r="M182" i="7"/>
  <c r="N182" i="7"/>
  <c r="O182" i="7"/>
  <c r="P182" i="7"/>
  <c r="Q182" i="7"/>
  <c r="R182" i="7"/>
  <c r="S182" i="7"/>
  <c r="T182" i="7"/>
  <c r="A183" i="7"/>
  <c r="B183" i="7"/>
  <c r="C183" i="7"/>
  <c r="D183" i="7"/>
  <c r="E183" i="7"/>
  <c r="F183" i="7"/>
  <c r="G183" i="7"/>
  <c r="H183" i="7"/>
  <c r="I183" i="7"/>
  <c r="J183" i="7"/>
  <c r="K183" i="7"/>
  <c r="L183" i="7"/>
  <c r="M183" i="7"/>
  <c r="N183" i="7"/>
  <c r="O183" i="7"/>
  <c r="P183" i="7"/>
  <c r="Q183" i="7"/>
  <c r="R183" i="7"/>
  <c r="S183" i="7"/>
  <c r="T183" i="7"/>
  <c r="A181" i="7"/>
  <c r="B181" i="7"/>
  <c r="C181" i="7"/>
  <c r="D181" i="7"/>
  <c r="E181" i="7"/>
  <c r="F181" i="7"/>
  <c r="G181" i="7"/>
  <c r="H181" i="7"/>
  <c r="I181" i="7"/>
  <c r="J181" i="7"/>
  <c r="K181" i="7"/>
  <c r="L181" i="7"/>
  <c r="M181" i="7"/>
  <c r="N181" i="7"/>
  <c r="O181" i="7"/>
  <c r="P181" i="7"/>
  <c r="Q181" i="7"/>
  <c r="R181" i="7"/>
  <c r="S181" i="7"/>
  <c r="T181" i="7"/>
  <c r="A184" i="7"/>
  <c r="B184" i="7"/>
  <c r="C184" i="7"/>
  <c r="D184" i="7"/>
  <c r="E184" i="7"/>
  <c r="F184" i="7"/>
  <c r="G184" i="7"/>
  <c r="H184" i="7"/>
  <c r="I184" i="7"/>
  <c r="J184" i="7"/>
  <c r="K184" i="7"/>
  <c r="L184" i="7"/>
  <c r="M184" i="7"/>
  <c r="N184" i="7"/>
  <c r="O184" i="7"/>
  <c r="P184" i="7"/>
  <c r="Q184" i="7"/>
  <c r="R184" i="7"/>
  <c r="S184" i="7"/>
  <c r="T184" i="7"/>
  <c r="A185" i="7"/>
  <c r="B185" i="7"/>
  <c r="C185" i="7"/>
  <c r="D185" i="7"/>
  <c r="E185" i="7"/>
  <c r="F185" i="7"/>
  <c r="G185" i="7"/>
  <c r="H185" i="7"/>
  <c r="I185" i="7"/>
  <c r="J185" i="7"/>
  <c r="K185" i="7"/>
  <c r="L185" i="7"/>
  <c r="M185" i="7"/>
  <c r="N185" i="7"/>
  <c r="O185" i="7"/>
  <c r="P185" i="7"/>
  <c r="Q185" i="7"/>
  <c r="R185" i="7"/>
  <c r="S185" i="7"/>
  <c r="T185" i="7"/>
  <c r="A186" i="7"/>
  <c r="B186" i="7"/>
  <c r="C186" i="7"/>
  <c r="D186" i="7"/>
  <c r="E186" i="7"/>
  <c r="F186" i="7"/>
  <c r="G186" i="7"/>
  <c r="H186" i="7"/>
  <c r="I186" i="7"/>
  <c r="J186" i="7"/>
  <c r="K186" i="7"/>
  <c r="L186" i="7"/>
  <c r="M186" i="7"/>
  <c r="N186" i="7"/>
  <c r="O186" i="7"/>
  <c r="P186" i="7"/>
  <c r="Q186" i="7"/>
  <c r="R186" i="7"/>
  <c r="S186" i="7"/>
  <c r="T186" i="7"/>
  <c r="A187" i="7"/>
  <c r="B187" i="7"/>
  <c r="C187" i="7"/>
  <c r="D187" i="7"/>
  <c r="E187" i="7"/>
  <c r="F187" i="7"/>
  <c r="G187" i="7"/>
  <c r="H187" i="7"/>
  <c r="I187" i="7"/>
  <c r="J187" i="7"/>
  <c r="K187" i="7"/>
  <c r="L187" i="7"/>
  <c r="M187" i="7"/>
  <c r="N187" i="7"/>
  <c r="O187" i="7"/>
  <c r="P187" i="7"/>
  <c r="Q187" i="7"/>
  <c r="R187" i="7"/>
  <c r="S187" i="7"/>
  <c r="T187" i="7"/>
  <c r="A188" i="7"/>
  <c r="B188" i="7"/>
  <c r="C188" i="7"/>
  <c r="D188" i="7"/>
  <c r="E188" i="7"/>
  <c r="F188" i="7"/>
  <c r="G188" i="7"/>
  <c r="H188" i="7"/>
  <c r="I188" i="7"/>
  <c r="J188" i="7"/>
  <c r="K188" i="7"/>
  <c r="L188" i="7"/>
  <c r="M188" i="7"/>
  <c r="N188" i="7"/>
  <c r="O188" i="7"/>
  <c r="P188" i="7"/>
  <c r="Q188" i="7"/>
  <c r="R188" i="7"/>
  <c r="S188" i="7"/>
  <c r="T188" i="7"/>
  <c r="A189" i="7"/>
  <c r="B189" i="7"/>
  <c r="C189" i="7"/>
  <c r="D189" i="7"/>
  <c r="E189" i="7"/>
  <c r="F189" i="7"/>
  <c r="G189" i="7"/>
  <c r="H189" i="7"/>
  <c r="I189" i="7"/>
  <c r="J189" i="7"/>
  <c r="K189" i="7"/>
  <c r="L189" i="7"/>
  <c r="M189" i="7"/>
  <c r="N189" i="7"/>
  <c r="O189" i="7"/>
  <c r="P189" i="7"/>
  <c r="Q189" i="7"/>
  <c r="R189" i="7"/>
  <c r="S189" i="7"/>
  <c r="T189" i="7"/>
  <c r="A190" i="7"/>
  <c r="B190" i="7"/>
  <c r="C190" i="7"/>
  <c r="D190" i="7"/>
  <c r="E190" i="7"/>
  <c r="F190" i="7"/>
  <c r="G190" i="7"/>
  <c r="H190" i="7"/>
  <c r="I190" i="7"/>
  <c r="J190" i="7"/>
  <c r="K190" i="7"/>
  <c r="L190" i="7"/>
  <c r="M190" i="7"/>
  <c r="N190" i="7"/>
  <c r="O190" i="7"/>
  <c r="P190" i="7"/>
  <c r="Q190" i="7"/>
  <c r="R190" i="7"/>
  <c r="S190" i="7"/>
  <c r="T190" i="7"/>
  <c r="A191" i="7"/>
  <c r="B191" i="7"/>
  <c r="C191" i="7"/>
  <c r="D191" i="7"/>
  <c r="E191" i="7"/>
  <c r="F191" i="7"/>
  <c r="G191" i="7"/>
  <c r="H191" i="7"/>
  <c r="I191" i="7"/>
  <c r="J191" i="7"/>
  <c r="K191" i="7"/>
  <c r="L191" i="7"/>
  <c r="M191" i="7"/>
  <c r="N191" i="7"/>
  <c r="O191" i="7"/>
  <c r="P191" i="7"/>
  <c r="Q191" i="7"/>
  <c r="R191" i="7"/>
  <c r="S191" i="7"/>
  <c r="T191" i="7"/>
  <c r="A192" i="7"/>
  <c r="B192" i="7"/>
  <c r="C192" i="7"/>
  <c r="D192" i="7"/>
  <c r="E192" i="7"/>
  <c r="F192" i="7"/>
  <c r="G192" i="7"/>
  <c r="H192" i="7"/>
  <c r="I192" i="7"/>
  <c r="J192" i="7"/>
  <c r="K192" i="7"/>
  <c r="L192" i="7"/>
  <c r="M192" i="7"/>
  <c r="N192" i="7"/>
  <c r="O192" i="7"/>
  <c r="P192" i="7"/>
  <c r="Q192" i="7"/>
  <c r="R192" i="7"/>
  <c r="S192" i="7"/>
  <c r="T192" i="7"/>
  <c r="A193" i="7"/>
  <c r="B193" i="7"/>
  <c r="C193" i="7"/>
  <c r="D193" i="7"/>
  <c r="E193" i="7"/>
  <c r="F193" i="7"/>
  <c r="G193" i="7"/>
  <c r="H193" i="7"/>
  <c r="I193" i="7"/>
  <c r="J193" i="7"/>
  <c r="K193" i="7"/>
  <c r="L193" i="7"/>
  <c r="M193" i="7"/>
  <c r="N193" i="7"/>
  <c r="O193" i="7"/>
  <c r="P193" i="7"/>
  <c r="Q193" i="7"/>
  <c r="R193" i="7"/>
  <c r="S193" i="7"/>
  <c r="T193" i="7"/>
  <c r="A194" i="7"/>
  <c r="B194" i="7"/>
  <c r="C194" i="7"/>
  <c r="D194" i="7"/>
  <c r="E194" i="7"/>
  <c r="F194" i="7"/>
  <c r="G194" i="7"/>
  <c r="H194" i="7"/>
  <c r="I194" i="7"/>
  <c r="J194" i="7"/>
  <c r="K194" i="7"/>
  <c r="L194" i="7"/>
  <c r="M194" i="7"/>
  <c r="N194" i="7"/>
  <c r="O194" i="7"/>
  <c r="P194" i="7"/>
  <c r="Q194" i="7"/>
  <c r="R194" i="7"/>
  <c r="S194" i="7"/>
  <c r="T194" i="7"/>
  <c r="A195" i="7"/>
  <c r="B195" i="7"/>
  <c r="C195" i="7"/>
  <c r="D195" i="7"/>
  <c r="E195" i="7"/>
  <c r="F195" i="7"/>
  <c r="G195" i="7"/>
  <c r="H195" i="7"/>
  <c r="I195" i="7"/>
  <c r="J195" i="7"/>
  <c r="K195" i="7"/>
  <c r="L195" i="7"/>
  <c r="M195" i="7"/>
  <c r="N195" i="7"/>
  <c r="O195" i="7"/>
  <c r="P195" i="7"/>
  <c r="Q195" i="7"/>
  <c r="R195" i="7"/>
  <c r="S195" i="7"/>
  <c r="T195" i="7"/>
  <c r="A196" i="7"/>
  <c r="B196" i="7"/>
  <c r="C196" i="7"/>
  <c r="D196" i="7"/>
  <c r="E196" i="7"/>
  <c r="F196" i="7"/>
  <c r="G196" i="7"/>
  <c r="H196" i="7"/>
  <c r="I196" i="7"/>
  <c r="J196" i="7"/>
  <c r="K196" i="7"/>
  <c r="L196" i="7"/>
  <c r="M196" i="7"/>
  <c r="N196" i="7"/>
  <c r="O196" i="7"/>
  <c r="P196" i="7"/>
  <c r="Q196" i="7"/>
  <c r="R196" i="7"/>
  <c r="S196" i="7"/>
  <c r="T196" i="7"/>
  <c r="A197" i="7"/>
  <c r="B197" i="7"/>
  <c r="C197" i="7"/>
  <c r="D197" i="7"/>
  <c r="E197" i="7"/>
  <c r="F197" i="7"/>
  <c r="G197" i="7"/>
  <c r="H197" i="7"/>
  <c r="I197" i="7"/>
  <c r="J197" i="7"/>
  <c r="K197" i="7"/>
  <c r="L197" i="7"/>
  <c r="M197" i="7"/>
  <c r="N197" i="7"/>
  <c r="O197" i="7"/>
  <c r="P197" i="7"/>
  <c r="Q197" i="7"/>
  <c r="R197" i="7"/>
  <c r="S197" i="7"/>
  <c r="T197" i="7"/>
  <c r="A198" i="7"/>
  <c r="B198" i="7"/>
  <c r="C198" i="7"/>
  <c r="D198" i="7"/>
  <c r="E198" i="7"/>
  <c r="F198" i="7"/>
  <c r="G198" i="7"/>
  <c r="H198" i="7"/>
  <c r="I198" i="7"/>
  <c r="J198" i="7"/>
  <c r="K198" i="7"/>
  <c r="L198" i="7"/>
  <c r="M198" i="7"/>
  <c r="N198" i="7"/>
  <c r="O198" i="7"/>
  <c r="P198" i="7"/>
  <c r="Q198" i="7"/>
  <c r="R198" i="7"/>
  <c r="S198" i="7"/>
  <c r="T198" i="7"/>
  <c r="A199" i="7"/>
  <c r="B199" i="7"/>
  <c r="C199" i="7"/>
  <c r="D199" i="7"/>
  <c r="E199" i="7"/>
  <c r="F199" i="7"/>
  <c r="G199" i="7"/>
  <c r="H199" i="7"/>
  <c r="I199" i="7"/>
  <c r="J199" i="7"/>
  <c r="K199" i="7"/>
  <c r="L199" i="7"/>
  <c r="M199" i="7"/>
  <c r="N199" i="7"/>
  <c r="O199" i="7"/>
  <c r="P199" i="7"/>
  <c r="Q199" i="7"/>
  <c r="R199" i="7"/>
  <c r="S199" i="7"/>
  <c r="T199" i="7"/>
  <c r="A200" i="7"/>
  <c r="B200" i="7"/>
  <c r="C200" i="7"/>
  <c r="D200" i="7"/>
  <c r="E200" i="7"/>
  <c r="F200" i="7"/>
  <c r="G200" i="7"/>
  <c r="H200" i="7"/>
  <c r="I200" i="7"/>
  <c r="J200" i="7"/>
  <c r="K200" i="7"/>
  <c r="L200" i="7"/>
  <c r="M200" i="7"/>
  <c r="N200" i="7"/>
  <c r="O200" i="7"/>
  <c r="P200" i="7"/>
  <c r="Q200" i="7"/>
  <c r="R200" i="7"/>
  <c r="S200" i="7"/>
  <c r="T200" i="7"/>
  <c r="A201" i="7"/>
  <c r="B201" i="7"/>
  <c r="C201" i="7"/>
  <c r="D201" i="7"/>
  <c r="E201" i="7"/>
  <c r="F201" i="7"/>
  <c r="G201" i="7"/>
  <c r="H201" i="7"/>
  <c r="I201" i="7"/>
  <c r="J201" i="7"/>
  <c r="K201" i="7"/>
  <c r="L201" i="7"/>
  <c r="M201" i="7"/>
  <c r="N201" i="7"/>
  <c r="O201" i="7"/>
  <c r="P201" i="7"/>
  <c r="Q201" i="7"/>
  <c r="R201" i="7"/>
  <c r="S201" i="7"/>
  <c r="T201" i="7"/>
  <c r="A202" i="7"/>
  <c r="B202" i="7"/>
  <c r="C202" i="7"/>
  <c r="D202" i="7"/>
  <c r="E202" i="7"/>
  <c r="F202" i="7"/>
  <c r="G202" i="7"/>
  <c r="H202" i="7"/>
  <c r="I202" i="7"/>
  <c r="J202" i="7"/>
  <c r="K202" i="7"/>
  <c r="L202" i="7"/>
  <c r="M202" i="7"/>
  <c r="N202" i="7"/>
  <c r="O202" i="7"/>
  <c r="P202" i="7"/>
  <c r="Q202" i="7"/>
  <c r="R202" i="7"/>
  <c r="S202" i="7"/>
  <c r="T202" i="7"/>
  <c r="A203" i="7"/>
  <c r="B203" i="7"/>
  <c r="C203" i="7"/>
  <c r="D203" i="7"/>
  <c r="E203" i="7"/>
  <c r="F203" i="7"/>
  <c r="G203" i="7"/>
  <c r="H203" i="7"/>
  <c r="I203" i="7"/>
  <c r="J203" i="7"/>
  <c r="K203" i="7"/>
  <c r="L203" i="7"/>
  <c r="M203" i="7"/>
  <c r="N203" i="7"/>
  <c r="O203" i="7"/>
  <c r="P203" i="7"/>
  <c r="Q203" i="7"/>
  <c r="R203" i="7"/>
  <c r="S203" i="7"/>
  <c r="T203" i="7"/>
  <c r="A204" i="7"/>
  <c r="B204" i="7"/>
  <c r="C204" i="7"/>
  <c r="D204" i="7"/>
  <c r="E204" i="7"/>
  <c r="F204" i="7"/>
  <c r="G204" i="7"/>
  <c r="H204" i="7"/>
  <c r="I204" i="7"/>
  <c r="J204" i="7"/>
  <c r="K204" i="7"/>
  <c r="L204" i="7"/>
  <c r="M204" i="7"/>
  <c r="N204" i="7"/>
  <c r="O204" i="7"/>
  <c r="P204" i="7"/>
  <c r="Q204" i="7"/>
  <c r="R204" i="7"/>
  <c r="S204" i="7"/>
  <c r="T204" i="7"/>
  <c r="A206" i="7"/>
  <c r="B206" i="7"/>
  <c r="C206" i="7"/>
  <c r="D206" i="7"/>
  <c r="E206" i="7"/>
  <c r="F206" i="7"/>
  <c r="G206" i="7"/>
  <c r="H206" i="7"/>
  <c r="I206" i="7"/>
  <c r="J206" i="7"/>
  <c r="K206" i="7"/>
  <c r="L206" i="7"/>
  <c r="M206" i="7"/>
  <c r="N206" i="7"/>
  <c r="O206" i="7"/>
  <c r="P206" i="7"/>
  <c r="Q206" i="7"/>
  <c r="R206" i="7"/>
  <c r="S206" i="7"/>
  <c r="T206" i="7"/>
  <c r="A205" i="7"/>
  <c r="B205" i="7"/>
  <c r="C205" i="7"/>
  <c r="D205" i="7"/>
  <c r="E205" i="7"/>
  <c r="F205" i="7"/>
  <c r="G205" i="7"/>
  <c r="H205" i="7"/>
  <c r="I205" i="7"/>
  <c r="J205" i="7"/>
  <c r="K205" i="7"/>
  <c r="L205" i="7"/>
  <c r="M205" i="7"/>
  <c r="N205" i="7"/>
  <c r="O205" i="7"/>
  <c r="P205" i="7"/>
  <c r="Q205" i="7"/>
  <c r="R205" i="7"/>
  <c r="S205" i="7"/>
  <c r="T205" i="7"/>
  <c r="A207" i="7"/>
  <c r="B207" i="7"/>
  <c r="C207" i="7"/>
  <c r="D207" i="7"/>
  <c r="E207" i="7"/>
  <c r="F207" i="7"/>
  <c r="G207" i="7"/>
  <c r="H207" i="7"/>
  <c r="I207" i="7"/>
  <c r="J207" i="7"/>
  <c r="K207" i="7"/>
  <c r="L207" i="7"/>
  <c r="M207" i="7"/>
  <c r="N207" i="7"/>
  <c r="O207" i="7"/>
  <c r="P207" i="7"/>
  <c r="Q207" i="7"/>
  <c r="R207" i="7"/>
  <c r="S207" i="7"/>
  <c r="T207" i="7"/>
  <c r="A208" i="7"/>
  <c r="B208" i="7"/>
  <c r="C208" i="7"/>
  <c r="D208" i="7"/>
  <c r="E208" i="7"/>
  <c r="F208" i="7"/>
  <c r="G208" i="7"/>
  <c r="H208" i="7"/>
  <c r="I208" i="7"/>
  <c r="J208" i="7"/>
  <c r="K208" i="7"/>
  <c r="L208" i="7"/>
  <c r="M208" i="7"/>
  <c r="N208" i="7"/>
  <c r="O208" i="7"/>
  <c r="P208" i="7"/>
  <c r="Q208" i="7"/>
  <c r="R208" i="7"/>
  <c r="S208" i="7"/>
  <c r="T208" i="7"/>
  <c r="A209" i="7"/>
  <c r="B209" i="7"/>
  <c r="C209" i="7"/>
  <c r="D209" i="7"/>
  <c r="E209" i="7"/>
  <c r="F209" i="7"/>
  <c r="G209" i="7"/>
  <c r="H209" i="7"/>
  <c r="I209" i="7"/>
  <c r="J209" i="7"/>
  <c r="K209" i="7"/>
  <c r="L209" i="7"/>
  <c r="M209" i="7"/>
  <c r="N209" i="7"/>
  <c r="O209" i="7"/>
  <c r="P209" i="7"/>
  <c r="Q209" i="7"/>
  <c r="R209" i="7"/>
  <c r="S209" i="7"/>
  <c r="T209" i="7"/>
  <c r="A210" i="7"/>
  <c r="B210" i="7"/>
  <c r="C210" i="7"/>
  <c r="D210" i="7"/>
  <c r="E210" i="7"/>
  <c r="F210" i="7"/>
  <c r="G210" i="7"/>
  <c r="H210" i="7"/>
  <c r="I210" i="7"/>
  <c r="J210" i="7"/>
  <c r="K210" i="7"/>
  <c r="L210" i="7"/>
  <c r="M210" i="7"/>
  <c r="N210" i="7"/>
  <c r="O210" i="7"/>
  <c r="P210" i="7"/>
  <c r="Q210" i="7"/>
  <c r="R210" i="7"/>
  <c r="S210" i="7"/>
  <c r="T210" i="7"/>
  <c r="A211" i="7"/>
  <c r="B211" i="7"/>
  <c r="C211" i="7"/>
  <c r="D211" i="7"/>
  <c r="E211" i="7"/>
  <c r="F211" i="7"/>
  <c r="G211" i="7"/>
  <c r="H211" i="7"/>
  <c r="I211" i="7"/>
  <c r="J211" i="7"/>
  <c r="K211" i="7"/>
  <c r="L211" i="7"/>
  <c r="M211" i="7"/>
  <c r="N211" i="7"/>
  <c r="O211" i="7"/>
  <c r="P211" i="7"/>
  <c r="Q211" i="7"/>
  <c r="R211" i="7"/>
  <c r="S211" i="7"/>
  <c r="T211" i="7"/>
  <c r="A213" i="7"/>
  <c r="B213" i="7"/>
  <c r="C213" i="7"/>
  <c r="D213" i="7"/>
  <c r="E213" i="7"/>
  <c r="F213" i="7"/>
  <c r="G213" i="7"/>
  <c r="H213" i="7"/>
  <c r="I213" i="7"/>
  <c r="J213" i="7"/>
  <c r="K213" i="7"/>
  <c r="L213" i="7"/>
  <c r="M213" i="7"/>
  <c r="N213" i="7"/>
  <c r="O213" i="7"/>
  <c r="P213" i="7"/>
  <c r="Q213" i="7"/>
  <c r="R213" i="7"/>
  <c r="S213" i="7"/>
  <c r="T213" i="7"/>
  <c r="A214" i="7"/>
  <c r="B214" i="7"/>
  <c r="C214" i="7"/>
  <c r="D214" i="7"/>
  <c r="E214" i="7"/>
  <c r="F214" i="7"/>
  <c r="G214" i="7"/>
  <c r="H214" i="7"/>
  <c r="I214" i="7"/>
  <c r="J214" i="7"/>
  <c r="K214" i="7"/>
  <c r="L214" i="7"/>
  <c r="M214" i="7"/>
  <c r="N214" i="7"/>
  <c r="O214" i="7"/>
  <c r="P214" i="7"/>
  <c r="Q214" i="7"/>
  <c r="R214" i="7"/>
  <c r="S214" i="7"/>
  <c r="T214" i="7"/>
  <c r="A212" i="7"/>
  <c r="B212" i="7"/>
  <c r="C212" i="7"/>
  <c r="D212" i="7"/>
  <c r="E212" i="7"/>
  <c r="F212" i="7"/>
  <c r="G212" i="7"/>
  <c r="H212" i="7"/>
  <c r="I212" i="7"/>
  <c r="J212" i="7"/>
  <c r="K212" i="7"/>
  <c r="L212" i="7"/>
  <c r="M212" i="7"/>
  <c r="N212" i="7"/>
  <c r="O212" i="7"/>
  <c r="P212" i="7"/>
  <c r="Q212" i="7"/>
  <c r="R212" i="7"/>
  <c r="S212" i="7"/>
  <c r="T212" i="7"/>
  <c r="A215" i="7"/>
  <c r="B215" i="7"/>
  <c r="C215" i="7"/>
  <c r="D215" i="7"/>
  <c r="E215" i="7"/>
  <c r="F215" i="7"/>
  <c r="G215" i="7"/>
  <c r="H215" i="7"/>
  <c r="I215" i="7"/>
  <c r="J215" i="7"/>
  <c r="K215" i="7"/>
  <c r="L215" i="7"/>
  <c r="M215" i="7"/>
  <c r="N215" i="7"/>
  <c r="O215" i="7"/>
  <c r="P215" i="7"/>
  <c r="Q215" i="7"/>
  <c r="R215" i="7"/>
  <c r="S215" i="7"/>
  <c r="T215" i="7"/>
  <c r="A216" i="7"/>
  <c r="B216" i="7"/>
  <c r="C216" i="7"/>
  <c r="D216" i="7"/>
  <c r="E216" i="7"/>
  <c r="F216" i="7"/>
  <c r="G216" i="7"/>
  <c r="H216" i="7"/>
  <c r="I216" i="7"/>
  <c r="J216" i="7"/>
  <c r="K216" i="7"/>
  <c r="L216" i="7"/>
  <c r="M216" i="7"/>
  <c r="N216" i="7"/>
  <c r="O216" i="7"/>
  <c r="P216" i="7"/>
  <c r="Q216" i="7"/>
  <c r="R216" i="7"/>
  <c r="S216" i="7"/>
  <c r="T216" i="7"/>
  <c r="A220" i="7"/>
  <c r="C220" i="7"/>
  <c r="E220" i="7"/>
  <c r="F220" i="7"/>
  <c r="G220" i="7"/>
  <c r="H220" i="7"/>
  <c r="I220" i="7"/>
  <c r="J220" i="7"/>
  <c r="K220" i="7"/>
  <c r="L220" i="7"/>
  <c r="M220" i="7"/>
  <c r="N220" i="7"/>
  <c r="O220" i="7"/>
  <c r="P220" i="7"/>
  <c r="Q220" i="7"/>
  <c r="R220" i="7"/>
  <c r="S220" i="7"/>
  <c r="T220" i="7"/>
  <c r="A217" i="7"/>
  <c r="B217" i="7"/>
  <c r="C217" i="7"/>
  <c r="D217" i="7"/>
  <c r="E217" i="7"/>
  <c r="F217" i="7"/>
  <c r="G217" i="7"/>
  <c r="H217" i="7"/>
  <c r="I217" i="7"/>
  <c r="J217" i="7"/>
  <c r="K217" i="7"/>
  <c r="L217" i="7"/>
  <c r="M217" i="7"/>
  <c r="N217" i="7"/>
  <c r="O217" i="7"/>
  <c r="P217" i="7"/>
  <c r="Q217" i="7"/>
  <c r="R217" i="7"/>
  <c r="S217" i="7"/>
  <c r="T217" i="7"/>
  <c r="A218" i="7"/>
  <c r="B218" i="7"/>
  <c r="C218" i="7"/>
  <c r="D218" i="7"/>
  <c r="E218" i="7"/>
  <c r="F218" i="7"/>
  <c r="G218" i="7"/>
  <c r="H218" i="7"/>
  <c r="I218" i="7"/>
  <c r="J218" i="7"/>
  <c r="K218" i="7"/>
  <c r="L218" i="7"/>
  <c r="M218" i="7"/>
  <c r="N218" i="7"/>
  <c r="O218" i="7"/>
  <c r="P218" i="7"/>
  <c r="Q218" i="7"/>
  <c r="R218" i="7"/>
  <c r="S218" i="7"/>
  <c r="T218" i="7"/>
  <c r="A219" i="7"/>
  <c r="B219" i="7"/>
  <c r="C219" i="7"/>
  <c r="D219" i="7"/>
  <c r="E219" i="7"/>
  <c r="F219" i="7"/>
  <c r="G219" i="7"/>
  <c r="H219" i="7"/>
  <c r="I219" i="7"/>
  <c r="J219" i="7"/>
  <c r="K219" i="7"/>
  <c r="L219" i="7"/>
  <c r="M219" i="7"/>
  <c r="N219" i="7"/>
  <c r="O219" i="7"/>
  <c r="P219" i="7"/>
  <c r="Q219" i="7"/>
  <c r="R219" i="7"/>
  <c r="S219" i="7"/>
  <c r="T219" i="7"/>
  <c r="A221" i="7"/>
  <c r="B221" i="7"/>
  <c r="C221" i="7"/>
  <c r="D221" i="7"/>
  <c r="E221" i="7"/>
  <c r="F221" i="7"/>
  <c r="G221" i="7"/>
  <c r="H221" i="7"/>
  <c r="I221" i="7"/>
  <c r="J221" i="7"/>
  <c r="K221" i="7"/>
  <c r="L221" i="7"/>
  <c r="M221" i="7"/>
  <c r="N221" i="7"/>
  <c r="O221" i="7"/>
  <c r="P221" i="7"/>
  <c r="Q221" i="7"/>
  <c r="R221" i="7"/>
  <c r="S221" i="7"/>
  <c r="T221" i="7"/>
  <c r="A222" i="7"/>
  <c r="B222" i="7"/>
  <c r="C222" i="7"/>
  <c r="D222" i="7"/>
  <c r="E222" i="7"/>
  <c r="F222" i="7"/>
  <c r="G222" i="7"/>
  <c r="H222" i="7"/>
  <c r="I222" i="7"/>
  <c r="J222" i="7"/>
  <c r="K222" i="7"/>
  <c r="L222" i="7"/>
  <c r="M222" i="7"/>
  <c r="N222" i="7"/>
  <c r="O222" i="7"/>
  <c r="P222" i="7"/>
  <c r="Q222" i="7"/>
  <c r="R222" i="7"/>
  <c r="S222" i="7"/>
  <c r="T222" i="7"/>
  <c r="A3" i="7"/>
  <c r="B3" i="7"/>
  <c r="C3" i="7"/>
  <c r="D3" i="7"/>
  <c r="E3" i="7"/>
  <c r="F3" i="7"/>
  <c r="G3" i="7"/>
  <c r="H3" i="7"/>
  <c r="I3" i="7"/>
  <c r="J3" i="7"/>
  <c r="K3" i="7"/>
  <c r="L3" i="7"/>
  <c r="M3" i="7"/>
  <c r="N3" i="7"/>
  <c r="O3" i="7"/>
  <c r="P3" i="7"/>
  <c r="Q3" i="7"/>
  <c r="R3" i="7"/>
  <c r="S3" i="7"/>
  <c r="T3" i="7"/>
  <c r="A4" i="7"/>
  <c r="B4" i="7"/>
  <c r="C4" i="7"/>
  <c r="D4" i="7"/>
  <c r="E4" i="7"/>
  <c r="F4" i="7"/>
  <c r="G4" i="7"/>
  <c r="H4" i="7"/>
  <c r="I4" i="7"/>
  <c r="J4" i="7"/>
  <c r="K4" i="7"/>
  <c r="L4" i="7"/>
  <c r="M4" i="7"/>
  <c r="N4" i="7"/>
  <c r="O4" i="7"/>
  <c r="P4" i="7"/>
  <c r="Q4" i="7"/>
  <c r="R4" i="7"/>
  <c r="S4" i="7"/>
  <c r="T4" i="7"/>
  <c r="A5" i="7"/>
  <c r="B5" i="7"/>
  <c r="C5" i="7"/>
  <c r="D5" i="7"/>
  <c r="E5" i="7"/>
  <c r="F5" i="7"/>
  <c r="G5" i="7"/>
  <c r="H5" i="7"/>
  <c r="I5" i="7"/>
  <c r="J5" i="7"/>
  <c r="K5" i="7"/>
  <c r="L5" i="7"/>
  <c r="M5" i="7"/>
  <c r="N5" i="7"/>
  <c r="O5" i="7"/>
  <c r="P5" i="7"/>
  <c r="Q5" i="7"/>
  <c r="R5" i="7"/>
  <c r="S5" i="7"/>
  <c r="T5" i="7"/>
  <c r="A6" i="7"/>
  <c r="B6" i="7"/>
  <c r="C6" i="7"/>
  <c r="D6" i="7"/>
  <c r="E6" i="7"/>
  <c r="F6" i="7"/>
  <c r="G6" i="7"/>
  <c r="H6" i="7"/>
  <c r="I6" i="7"/>
  <c r="J6" i="7"/>
  <c r="K6" i="7"/>
  <c r="L6" i="7"/>
  <c r="M6" i="7"/>
  <c r="N6" i="7"/>
  <c r="O6" i="7"/>
  <c r="P6" i="7"/>
  <c r="Q6" i="7"/>
  <c r="R6" i="7"/>
  <c r="S6" i="7"/>
  <c r="T6" i="7"/>
  <c r="A3" i="6"/>
  <c r="B3" i="6"/>
  <c r="C3" i="6"/>
  <c r="D3" i="6"/>
  <c r="E3" i="6"/>
  <c r="F3" i="6"/>
  <c r="G3" i="6"/>
  <c r="H3" i="6"/>
  <c r="I3" i="6"/>
  <c r="J3" i="6"/>
  <c r="K3" i="6"/>
  <c r="L3" i="6"/>
  <c r="M3" i="6"/>
  <c r="N3" i="6"/>
  <c r="O3" i="6"/>
  <c r="P3" i="6"/>
  <c r="Q3" i="6"/>
  <c r="R3" i="6"/>
  <c r="S3" i="6"/>
  <c r="T3" i="6"/>
  <c r="A4" i="6"/>
  <c r="B4" i="6"/>
  <c r="C4" i="6"/>
  <c r="D4" i="6"/>
  <c r="E4" i="6"/>
  <c r="F4" i="6"/>
  <c r="G4" i="6"/>
  <c r="H4" i="6"/>
  <c r="I4" i="6"/>
  <c r="J4" i="6"/>
  <c r="K4" i="6"/>
  <c r="L4" i="6"/>
  <c r="M4" i="6"/>
  <c r="N4" i="6"/>
  <c r="O4" i="6"/>
  <c r="P4" i="6"/>
  <c r="Q4" i="6"/>
  <c r="R4" i="6"/>
  <c r="S4" i="6"/>
  <c r="T4" i="6"/>
  <c r="A5" i="6"/>
  <c r="B5" i="6"/>
  <c r="C5" i="6"/>
  <c r="D5" i="6"/>
  <c r="E5" i="6"/>
  <c r="F5" i="6"/>
  <c r="G5" i="6"/>
  <c r="H5" i="6"/>
  <c r="I5" i="6"/>
  <c r="J5" i="6"/>
  <c r="K5" i="6"/>
  <c r="L5" i="6"/>
  <c r="M5" i="6"/>
  <c r="N5" i="6"/>
  <c r="O5" i="6"/>
  <c r="P5" i="6"/>
  <c r="Q5" i="6"/>
  <c r="R5" i="6"/>
  <c r="S5" i="6"/>
  <c r="T5" i="6"/>
  <c r="A6" i="6"/>
  <c r="B6" i="6"/>
  <c r="C6" i="6"/>
  <c r="D6" i="6"/>
  <c r="E6" i="6"/>
  <c r="F6" i="6"/>
  <c r="G6" i="6"/>
  <c r="H6" i="6"/>
  <c r="I6" i="6"/>
  <c r="J6" i="6"/>
  <c r="K6" i="6"/>
  <c r="L6" i="6"/>
  <c r="M6" i="6"/>
  <c r="N6" i="6"/>
  <c r="O6" i="6"/>
  <c r="P6" i="6"/>
  <c r="Q6" i="6"/>
  <c r="R6" i="6"/>
  <c r="S6" i="6"/>
  <c r="T6" i="6"/>
  <c r="B7" i="6"/>
  <c r="C7" i="6"/>
  <c r="D7" i="6"/>
  <c r="E7" i="6"/>
  <c r="F7" i="6"/>
  <c r="G7" i="6"/>
  <c r="H7" i="6"/>
  <c r="I7" i="6"/>
  <c r="J7" i="6"/>
  <c r="K7" i="6"/>
  <c r="L7" i="6"/>
  <c r="M7" i="6"/>
  <c r="N7" i="6"/>
  <c r="O7" i="6"/>
  <c r="P7" i="6"/>
  <c r="Q7" i="6"/>
  <c r="R7" i="6"/>
  <c r="S7" i="6"/>
  <c r="T7" i="6"/>
  <c r="A8" i="6"/>
  <c r="B8" i="6"/>
  <c r="C8" i="6"/>
  <c r="D8" i="6"/>
  <c r="E8" i="6"/>
  <c r="F8" i="6"/>
  <c r="G8" i="6"/>
  <c r="H8" i="6"/>
  <c r="I8" i="6"/>
  <c r="J8" i="6"/>
  <c r="K8" i="6"/>
  <c r="L8" i="6"/>
  <c r="M8" i="6"/>
  <c r="N8" i="6"/>
  <c r="O8" i="6"/>
  <c r="P8" i="6"/>
  <c r="Q8" i="6"/>
  <c r="R8" i="6"/>
  <c r="S8" i="6"/>
  <c r="T8" i="6"/>
  <c r="B9" i="6"/>
  <c r="C9" i="6"/>
  <c r="D9" i="6"/>
  <c r="E9" i="6"/>
  <c r="F9" i="6"/>
  <c r="G9" i="6"/>
  <c r="H9" i="6"/>
  <c r="I9" i="6"/>
  <c r="J9" i="6"/>
  <c r="K9" i="6"/>
  <c r="L9" i="6"/>
  <c r="M9" i="6"/>
  <c r="N9" i="6"/>
  <c r="O9" i="6"/>
  <c r="P9" i="6"/>
  <c r="Q9" i="6"/>
  <c r="R9" i="6"/>
  <c r="S9" i="6"/>
  <c r="T9" i="6"/>
  <c r="A10" i="6"/>
  <c r="B10" i="6"/>
  <c r="C10" i="6"/>
  <c r="E10" i="6"/>
  <c r="F10" i="6"/>
  <c r="G10" i="6"/>
  <c r="H10" i="6"/>
  <c r="I10" i="6"/>
  <c r="J10" i="6"/>
  <c r="K10" i="6"/>
  <c r="L10" i="6"/>
  <c r="M10" i="6"/>
  <c r="N10" i="6"/>
  <c r="O10" i="6"/>
  <c r="P10" i="6"/>
  <c r="Q10" i="6"/>
  <c r="R10" i="6"/>
  <c r="S10" i="6"/>
  <c r="T10" i="6"/>
  <c r="A11" i="6"/>
  <c r="C11" i="6"/>
  <c r="E11" i="6"/>
  <c r="F11" i="6"/>
  <c r="G11" i="6"/>
  <c r="H11" i="6"/>
  <c r="I11" i="6"/>
  <c r="J11" i="6"/>
  <c r="K11" i="6"/>
  <c r="L11" i="6"/>
  <c r="M11" i="6"/>
  <c r="N11" i="6"/>
  <c r="O11" i="6"/>
  <c r="P11" i="6"/>
  <c r="Q11" i="6"/>
  <c r="R11" i="6"/>
  <c r="S11" i="6"/>
  <c r="T11" i="6"/>
  <c r="A12" i="6"/>
  <c r="C12" i="6"/>
  <c r="E12" i="6"/>
  <c r="F12" i="6"/>
  <c r="G12" i="6"/>
  <c r="H12" i="6"/>
  <c r="I12" i="6"/>
  <c r="J12" i="6"/>
  <c r="K12" i="6"/>
  <c r="L12" i="6"/>
  <c r="M12" i="6"/>
  <c r="N12" i="6"/>
  <c r="O12" i="6"/>
  <c r="P12" i="6"/>
  <c r="Q12" i="6"/>
  <c r="R12" i="6"/>
  <c r="S12" i="6"/>
  <c r="T12" i="6"/>
  <c r="A13" i="6"/>
  <c r="B13" i="6"/>
  <c r="C13" i="6"/>
  <c r="D13" i="6"/>
  <c r="E13" i="6"/>
  <c r="F13" i="6"/>
  <c r="G13" i="6"/>
  <c r="H13" i="6"/>
  <c r="I13" i="6"/>
  <c r="J13" i="6"/>
  <c r="K13" i="6"/>
  <c r="L13" i="6"/>
  <c r="M13" i="6"/>
  <c r="N13" i="6"/>
  <c r="O13" i="6"/>
  <c r="P13" i="6"/>
  <c r="Q13" i="6"/>
  <c r="R13" i="6"/>
  <c r="S13" i="6"/>
  <c r="T13" i="6"/>
  <c r="A14" i="6"/>
  <c r="B14" i="6"/>
  <c r="C14" i="6"/>
  <c r="D14" i="6"/>
  <c r="E14" i="6"/>
  <c r="F14" i="6"/>
  <c r="G14" i="6"/>
  <c r="H14" i="6"/>
  <c r="I14" i="6"/>
  <c r="J14" i="6"/>
  <c r="K14" i="6"/>
  <c r="L14" i="6"/>
  <c r="M14" i="6"/>
  <c r="N14" i="6"/>
  <c r="O14" i="6"/>
  <c r="P14" i="6"/>
  <c r="Q14" i="6"/>
  <c r="R14" i="6"/>
  <c r="S14" i="6"/>
  <c r="T14" i="6"/>
  <c r="A15" i="6"/>
  <c r="B15" i="6"/>
  <c r="C15" i="6"/>
  <c r="D15" i="6"/>
  <c r="E15" i="6"/>
  <c r="F15" i="6"/>
  <c r="G15" i="6"/>
  <c r="H15" i="6"/>
  <c r="I15" i="6"/>
  <c r="J15" i="6"/>
  <c r="K15" i="6"/>
  <c r="L15" i="6"/>
  <c r="M15" i="6"/>
  <c r="N15" i="6"/>
  <c r="O15" i="6"/>
  <c r="P15" i="6"/>
  <c r="Q15" i="6"/>
  <c r="R15" i="6"/>
  <c r="S15" i="6"/>
  <c r="T15" i="6"/>
  <c r="B16" i="6"/>
  <c r="C16" i="6"/>
  <c r="D16" i="6"/>
  <c r="E16" i="6"/>
  <c r="F16" i="6"/>
  <c r="G16" i="6"/>
  <c r="H16" i="6"/>
  <c r="I16" i="6"/>
  <c r="J16" i="6"/>
  <c r="K16" i="6"/>
  <c r="L16" i="6"/>
  <c r="M16" i="6"/>
  <c r="N16" i="6"/>
  <c r="O16" i="6"/>
  <c r="P16" i="6"/>
  <c r="Q16" i="6"/>
  <c r="R16" i="6"/>
  <c r="S16" i="6"/>
  <c r="T16" i="6"/>
  <c r="B17" i="6"/>
  <c r="C17" i="6"/>
  <c r="D17" i="6"/>
  <c r="E17" i="6"/>
  <c r="F17" i="6"/>
  <c r="G17" i="6"/>
  <c r="H17" i="6"/>
  <c r="I17" i="6"/>
  <c r="J17" i="6"/>
  <c r="K17" i="6"/>
  <c r="L17" i="6"/>
  <c r="M17" i="6"/>
  <c r="N17" i="6"/>
  <c r="O17" i="6"/>
  <c r="P17" i="6"/>
  <c r="Q17" i="6"/>
  <c r="R17" i="6"/>
  <c r="S17" i="6"/>
  <c r="T17" i="6"/>
  <c r="B18" i="6"/>
  <c r="C18" i="6"/>
  <c r="D18" i="6"/>
  <c r="E18" i="6"/>
  <c r="F18" i="6"/>
  <c r="G18" i="6"/>
  <c r="H18" i="6"/>
  <c r="I18" i="6"/>
  <c r="J18" i="6"/>
  <c r="K18" i="6"/>
  <c r="L18" i="6"/>
  <c r="M18" i="6"/>
  <c r="N18" i="6"/>
  <c r="O18" i="6"/>
  <c r="P18" i="6"/>
  <c r="Q18" i="6"/>
  <c r="R18" i="6"/>
  <c r="S18" i="6"/>
  <c r="T18" i="6"/>
  <c r="A19" i="6"/>
  <c r="B19" i="6"/>
  <c r="C19" i="6"/>
  <c r="E19" i="6"/>
  <c r="F19" i="6"/>
  <c r="G19" i="6"/>
  <c r="H19" i="6"/>
  <c r="I19" i="6"/>
  <c r="J19" i="6"/>
  <c r="K19" i="6"/>
  <c r="L19" i="6"/>
  <c r="M19" i="6"/>
  <c r="N19" i="6"/>
  <c r="O19" i="6"/>
  <c r="P19" i="6"/>
  <c r="Q19" i="6"/>
  <c r="R19" i="6"/>
  <c r="S19" i="6"/>
  <c r="T19" i="6"/>
  <c r="A20" i="6"/>
  <c r="B20" i="6"/>
  <c r="C20" i="6"/>
  <c r="D20" i="6"/>
  <c r="E20" i="6"/>
  <c r="F20" i="6"/>
  <c r="G20" i="6"/>
  <c r="H20" i="6"/>
  <c r="I20" i="6"/>
  <c r="J20" i="6"/>
  <c r="K20" i="6"/>
  <c r="L20" i="6"/>
  <c r="M20" i="6"/>
  <c r="N20" i="6"/>
  <c r="O20" i="6"/>
  <c r="P20" i="6"/>
  <c r="Q20" i="6"/>
  <c r="R20" i="6"/>
  <c r="S20" i="6"/>
  <c r="T20" i="6"/>
  <c r="A21" i="6"/>
  <c r="B21" i="6"/>
  <c r="C21" i="6"/>
  <c r="D21" i="6"/>
  <c r="E21" i="6"/>
  <c r="F21" i="6"/>
  <c r="G21" i="6"/>
  <c r="H21" i="6"/>
  <c r="I21" i="6"/>
  <c r="J21" i="6"/>
  <c r="K21" i="6"/>
  <c r="L21" i="6"/>
  <c r="M21" i="6"/>
  <c r="N21" i="6"/>
  <c r="O21" i="6"/>
  <c r="P21" i="6"/>
  <c r="Q21" i="6"/>
  <c r="R21" i="6"/>
  <c r="S21" i="6"/>
  <c r="T21" i="6"/>
  <c r="A22" i="6"/>
  <c r="B22" i="6"/>
  <c r="C22" i="6"/>
  <c r="D22" i="6"/>
  <c r="E22" i="6"/>
  <c r="F22" i="6"/>
  <c r="G22" i="6"/>
  <c r="H22" i="6"/>
  <c r="I22" i="6"/>
  <c r="J22" i="6"/>
  <c r="K22" i="6"/>
  <c r="L22" i="6"/>
  <c r="M22" i="6"/>
  <c r="N22" i="6"/>
  <c r="O22" i="6"/>
  <c r="P22" i="6"/>
  <c r="Q22" i="6"/>
  <c r="R22" i="6"/>
  <c r="S22" i="6"/>
  <c r="T22" i="6"/>
  <c r="B23" i="6"/>
  <c r="C23" i="6"/>
  <c r="D23" i="6"/>
  <c r="E23" i="6"/>
  <c r="F23" i="6"/>
  <c r="G23" i="6"/>
  <c r="H23" i="6"/>
  <c r="I23" i="6"/>
  <c r="J23" i="6"/>
  <c r="K23" i="6"/>
  <c r="L23" i="6"/>
  <c r="M23" i="6"/>
  <c r="N23" i="6"/>
  <c r="O23" i="6"/>
  <c r="P23" i="6"/>
  <c r="Q23" i="6"/>
  <c r="R23" i="6"/>
  <c r="S23" i="6"/>
  <c r="T23" i="6"/>
  <c r="B24" i="6"/>
  <c r="C24" i="6"/>
  <c r="D24" i="6"/>
  <c r="E24" i="6"/>
  <c r="F24" i="6"/>
  <c r="G24" i="6"/>
  <c r="H24" i="6"/>
  <c r="I24" i="6"/>
  <c r="J24" i="6"/>
  <c r="K24" i="6"/>
  <c r="L24" i="6"/>
  <c r="M24" i="6"/>
  <c r="N24" i="6"/>
  <c r="O24" i="6"/>
  <c r="P24" i="6"/>
  <c r="Q24" i="6"/>
  <c r="R24" i="6"/>
  <c r="S24" i="6"/>
  <c r="T24" i="6"/>
  <c r="B25" i="6"/>
  <c r="C25" i="6"/>
  <c r="D25" i="6"/>
  <c r="E25" i="6"/>
  <c r="F25" i="6"/>
  <c r="G25" i="6"/>
  <c r="H25" i="6"/>
  <c r="I25" i="6"/>
  <c r="J25" i="6"/>
  <c r="K25" i="6"/>
  <c r="L25" i="6"/>
  <c r="M25" i="6"/>
  <c r="N25" i="6"/>
  <c r="O25" i="6"/>
  <c r="P25" i="6"/>
  <c r="Q25" i="6"/>
  <c r="R25" i="6"/>
  <c r="S25" i="6"/>
  <c r="T25" i="6"/>
  <c r="A26" i="6"/>
  <c r="B26" i="6"/>
  <c r="C26" i="6"/>
  <c r="E26" i="6"/>
  <c r="F26" i="6"/>
  <c r="G26" i="6"/>
  <c r="H26" i="6"/>
  <c r="I26" i="6"/>
  <c r="J26" i="6"/>
  <c r="K26" i="6"/>
  <c r="L26" i="6"/>
  <c r="M26" i="6"/>
  <c r="N26" i="6"/>
  <c r="O26" i="6"/>
  <c r="P26" i="6"/>
  <c r="Q26" i="6"/>
  <c r="R26" i="6"/>
  <c r="S26" i="6"/>
  <c r="T26" i="6"/>
  <c r="A27" i="6"/>
  <c r="C27" i="6"/>
  <c r="E27" i="6"/>
  <c r="F27" i="6"/>
  <c r="G27" i="6"/>
  <c r="H27" i="6"/>
  <c r="I27" i="6"/>
  <c r="J27" i="6"/>
  <c r="K27" i="6"/>
  <c r="L27" i="6"/>
  <c r="M27" i="6"/>
  <c r="N27" i="6"/>
  <c r="O27" i="6"/>
  <c r="P27" i="6"/>
  <c r="Q27" i="6"/>
  <c r="R27" i="6"/>
  <c r="S27" i="6"/>
  <c r="T27" i="6"/>
  <c r="A28" i="6"/>
  <c r="B28" i="6"/>
  <c r="C28" i="6"/>
  <c r="D28" i="6"/>
  <c r="E28" i="6"/>
  <c r="F28" i="6"/>
  <c r="G28" i="6"/>
  <c r="H28" i="6"/>
  <c r="I28" i="6"/>
  <c r="J28" i="6"/>
  <c r="K28" i="6"/>
  <c r="L28" i="6"/>
  <c r="M28" i="6"/>
  <c r="N28" i="6"/>
  <c r="O28" i="6"/>
  <c r="P28" i="6"/>
  <c r="Q28" i="6"/>
  <c r="R28" i="6"/>
  <c r="S28" i="6"/>
  <c r="T28" i="6"/>
  <c r="A29" i="6"/>
  <c r="B29" i="6"/>
  <c r="C29" i="6"/>
  <c r="D29" i="6"/>
  <c r="E29" i="6"/>
  <c r="F29" i="6"/>
  <c r="G29" i="6"/>
  <c r="H29" i="6"/>
  <c r="I29" i="6"/>
  <c r="J29" i="6"/>
  <c r="K29" i="6"/>
  <c r="L29" i="6"/>
  <c r="M29" i="6"/>
  <c r="N29" i="6"/>
  <c r="O29" i="6"/>
  <c r="P29" i="6"/>
  <c r="Q29" i="6"/>
  <c r="R29" i="6"/>
  <c r="S29" i="6"/>
  <c r="T29" i="6"/>
  <c r="A30" i="6"/>
  <c r="B30" i="6"/>
  <c r="C30" i="6"/>
  <c r="D30" i="6"/>
  <c r="E30" i="6"/>
  <c r="F30" i="6"/>
  <c r="G30" i="6"/>
  <c r="H30" i="6"/>
  <c r="I30" i="6"/>
  <c r="J30" i="6"/>
  <c r="K30" i="6"/>
  <c r="L30" i="6"/>
  <c r="M30" i="6"/>
  <c r="N30" i="6"/>
  <c r="O30" i="6"/>
  <c r="P30" i="6"/>
  <c r="Q30" i="6"/>
  <c r="R30" i="6"/>
  <c r="S30" i="6"/>
  <c r="T30" i="6"/>
  <c r="A31" i="6"/>
  <c r="B31" i="6"/>
  <c r="C31" i="6"/>
  <c r="D31" i="6"/>
  <c r="E31" i="6"/>
  <c r="F31" i="6"/>
  <c r="G31" i="6"/>
  <c r="H31" i="6"/>
  <c r="I31" i="6"/>
  <c r="J31" i="6"/>
  <c r="K31" i="6"/>
  <c r="L31" i="6"/>
  <c r="M31" i="6"/>
  <c r="N31" i="6"/>
  <c r="O31" i="6"/>
  <c r="P31" i="6"/>
  <c r="Q31" i="6"/>
  <c r="R31" i="6"/>
  <c r="S31" i="6"/>
  <c r="T31" i="6"/>
  <c r="A32" i="6"/>
  <c r="C32" i="6"/>
  <c r="D32" i="6"/>
  <c r="E32" i="6"/>
  <c r="F32" i="6"/>
  <c r="G32" i="6"/>
  <c r="H32" i="6"/>
  <c r="I32" i="6"/>
  <c r="J32" i="6"/>
  <c r="K32" i="6"/>
  <c r="L32" i="6"/>
  <c r="M32" i="6"/>
  <c r="N32" i="6"/>
  <c r="O32" i="6"/>
  <c r="P32" i="6"/>
  <c r="Q32" i="6"/>
  <c r="R32" i="6"/>
  <c r="S32" i="6"/>
  <c r="T32" i="6"/>
  <c r="A33" i="6"/>
  <c r="B33" i="6"/>
  <c r="C33" i="6"/>
  <c r="D33" i="6"/>
  <c r="E33" i="6"/>
  <c r="F33" i="6"/>
  <c r="G33" i="6"/>
  <c r="H33" i="6"/>
  <c r="I33" i="6"/>
  <c r="J33" i="6"/>
  <c r="K33" i="6"/>
  <c r="L33" i="6"/>
  <c r="M33" i="6"/>
  <c r="N33" i="6"/>
  <c r="O33" i="6"/>
  <c r="P33" i="6"/>
  <c r="Q33" i="6"/>
  <c r="R33" i="6"/>
  <c r="S33" i="6"/>
  <c r="T33" i="6"/>
  <c r="A34" i="6"/>
  <c r="B34" i="6"/>
  <c r="C34" i="6"/>
  <c r="D34" i="6"/>
  <c r="E34" i="6"/>
  <c r="F34" i="6"/>
  <c r="G34" i="6"/>
  <c r="H34" i="6"/>
  <c r="I34" i="6"/>
  <c r="J34" i="6"/>
  <c r="K34" i="6"/>
  <c r="L34" i="6"/>
  <c r="M34" i="6"/>
  <c r="N34" i="6"/>
  <c r="O34" i="6"/>
  <c r="P34" i="6"/>
  <c r="Q34" i="6"/>
  <c r="R34" i="6"/>
  <c r="S34" i="6"/>
  <c r="T34" i="6"/>
  <c r="A35" i="6"/>
  <c r="B35" i="6"/>
  <c r="C35" i="6"/>
  <c r="D35" i="6"/>
  <c r="E35" i="6"/>
  <c r="F35" i="6"/>
  <c r="G35" i="6"/>
  <c r="H35" i="6"/>
  <c r="I35" i="6"/>
  <c r="J35" i="6"/>
  <c r="K35" i="6"/>
  <c r="L35" i="6"/>
  <c r="M35" i="6"/>
  <c r="N35" i="6"/>
  <c r="O35" i="6"/>
  <c r="P35" i="6"/>
  <c r="Q35" i="6"/>
  <c r="R35" i="6"/>
  <c r="S35" i="6"/>
  <c r="T35" i="6"/>
  <c r="A36" i="6"/>
  <c r="B36" i="6"/>
  <c r="C36" i="6"/>
  <c r="D36" i="6"/>
  <c r="E36" i="6"/>
  <c r="F36" i="6"/>
  <c r="G36" i="6"/>
  <c r="H36" i="6"/>
  <c r="I36" i="6"/>
  <c r="J36" i="6"/>
  <c r="K36" i="6"/>
  <c r="L36" i="6"/>
  <c r="M36" i="6"/>
  <c r="N36" i="6"/>
  <c r="O36" i="6"/>
  <c r="P36" i="6"/>
  <c r="Q36" i="6"/>
  <c r="R36" i="6"/>
  <c r="S36" i="6"/>
  <c r="T36" i="6"/>
  <c r="B37" i="6"/>
  <c r="C37" i="6"/>
  <c r="D37" i="6"/>
  <c r="E37" i="6"/>
  <c r="F37" i="6"/>
  <c r="G37" i="6"/>
  <c r="H37" i="6"/>
  <c r="I37" i="6"/>
  <c r="J37" i="6"/>
  <c r="K37" i="6"/>
  <c r="L37" i="6"/>
  <c r="M37" i="6"/>
  <c r="N37" i="6"/>
  <c r="O37" i="6"/>
  <c r="P37" i="6"/>
  <c r="Q37" i="6"/>
  <c r="R37" i="6"/>
  <c r="S37" i="6"/>
  <c r="T37" i="6"/>
  <c r="A38" i="6"/>
  <c r="B38" i="6"/>
  <c r="C38" i="6"/>
  <c r="E38" i="6"/>
  <c r="F38" i="6"/>
  <c r="G38" i="6"/>
  <c r="H38" i="6"/>
  <c r="I38" i="6"/>
  <c r="J38" i="6"/>
  <c r="K38" i="6"/>
  <c r="L38" i="6"/>
  <c r="M38" i="6"/>
  <c r="N38" i="6"/>
  <c r="O38" i="6"/>
  <c r="P38" i="6"/>
  <c r="Q38" i="6"/>
  <c r="R38" i="6"/>
  <c r="S38" i="6"/>
  <c r="T38" i="6"/>
  <c r="A39" i="6"/>
  <c r="C39" i="6"/>
  <c r="E39" i="6"/>
  <c r="F39" i="6"/>
  <c r="G39" i="6"/>
  <c r="H39" i="6"/>
  <c r="I39" i="6"/>
  <c r="J39" i="6"/>
  <c r="K39" i="6"/>
  <c r="L39" i="6"/>
  <c r="M39" i="6"/>
  <c r="N39" i="6"/>
  <c r="O39" i="6"/>
  <c r="P39" i="6"/>
  <c r="Q39" i="6"/>
  <c r="R39" i="6"/>
  <c r="S39" i="6"/>
  <c r="T39" i="6"/>
  <c r="A40" i="6"/>
  <c r="B40" i="6"/>
  <c r="C40" i="6"/>
  <c r="D40" i="6"/>
  <c r="E40" i="6"/>
  <c r="F40" i="6"/>
  <c r="G40" i="6"/>
  <c r="H40" i="6"/>
  <c r="I40" i="6"/>
  <c r="J40" i="6"/>
  <c r="K40" i="6"/>
  <c r="L40" i="6"/>
  <c r="M40" i="6"/>
  <c r="N40" i="6"/>
  <c r="O40" i="6"/>
  <c r="P40" i="6"/>
  <c r="Q40" i="6"/>
  <c r="R40" i="6"/>
  <c r="S40" i="6"/>
  <c r="T40" i="6"/>
  <c r="A41" i="6"/>
  <c r="B41" i="6"/>
  <c r="C41" i="6"/>
  <c r="D41" i="6"/>
  <c r="E41" i="6"/>
  <c r="F41" i="6"/>
  <c r="G41" i="6"/>
  <c r="H41" i="6"/>
  <c r="I41" i="6"/>
  <c r="J41" i="6"/>
  <c r="K41" i="6"/>
  <c r="L41" i="6"/>
  <c r="M41" i="6"/>
  <c r="N41" i="6"/>
  <c r="O41" i="6"/>
  <c r="P41" i="6"/>
  <c r="Q41" i="6"/>
  <c r="R41" i="6"/>
  <c r="S41" i="6"/>
  <c r="T41" i="6"/>
  <c r="A42" i="6"/>
  <c r="B42" i="6"/>
  <c r="C42" i="6"/>
  <c r="D42" i="6"/>
  <c r="E42" i="6"/>
  <c r="F42" i="6"/>
  <c r="G42" i="6"/>
  <c r="H42" i="6"/>
  <c r="I42" i="6"/>
  <c r="J42" i="6"/>
  <c r="K42" i="6"/>
  <c r="L42" i="6"/>
  <c r="M42" i="6"/>
  <c r="N42" i="6"/>
  <c r="O42" i="6"/>
  <c r="P42" i="6"/>
  <c r="Q42" i="6"/>
  <c r="R42" i="6"/>
  <c r="S42" i="6"/>
  <c r="T42" i="6"/>
  <c r="A43" i="6"/>
  <c r="B43" i="6"/>
  <c r="C43" i="6"/>
  <c r="D43" i="6"/>
  <c r="E43" i="6"/>
  <c r="F43" i="6"/>
  <c r="G43" i="6"/>
  <c r="H43" i="6"/>
  <c r="I43" i="6"/>
  <c r="J43" i="6"/>
  <c r="K43" i="6"/>
  <c r="L43" i="6"/>
  <c r="M43" i="6"/>
  <c r="N43" i="6"/>
  <c r="O43" i="6"/>
  <c r="P43" i="6"/>
  <c r="Q43" i="6"/>
  <c r="R43" i="6"/>
  <c r="S43" i="6"/>
  <c r="T43" i="6"/>
  <c r="A44" i="6"/>
  <c r="B44" i="6"/>
  <c r="C44" i="6"/>
  <c r="D44" i="6"/>
  <c r="E44" i="6"/>
  <c r="F44" i="6"/>
  <c r="G44" i="6"/>
  <c r="H44" i="6"/>
  <c r="I44" i="6"/>
  <c r="J44" i="6"/>
  <c r="K44" i="6"/>
  <c r="L44" i="6"/>
  <c r="M44" i="6"/>
  <c r="N44" i="6"/>
  <c r="O44" i="6"/>
  <c r="P44" i="6"/>
  <c r="Q44" i="6"/>
  <c r="R44" i="6"/>
  <c r="S44" i="6"/>
  <c r="T44" i="6"/>
  <c r="B45" i="6"/>
  <c r="C45" i="6"/>
  <c r="D45" i="6"/>
  <c r="E45" i="6"/>
  <c r="F45" i="6"/>
  <c r="G45" i="6"/>
  <c r="H45" i="6"/>
  <c r="I45" i="6"/>
  <c r="J45" i="6"/>
  <c r="K45" i="6"/>
  <c r="L45" i="6"/>
  <c r="M45" i="6"/>
  <c r="N45" i="6"/>
  <c r="O45" i="6"/>
  <c r="P45" i="6"/>
  <c r="Q45" i="6"/>
  <c r="R45" i="6"/>
  <c r="S45" i="6"/>
  <c r="T45" i="6"/>
  <c r="A46" i="6"/>
  <c r="B46" i="6"/>
  <c r="C46" i="6"/>
  <c r="D46" i="6"/>
  <c r="E46" i="6"/>
  <c r="F46" i="6"/>
  <c r="G46" i="6"/>
  <c r="H46" i="6"/>
  <c r="I46" i="6"/>
  <c r="J46" i="6"/>
  <c r="K46" i="6"/>
  <c r="L46" i="6"/>
  <c r="M46" i="6"/>
  <c r="N46" i="6"/>
  <c r="O46" i="6"/>
  <c r="P46" i="6"/>
  <c r="Q46" i="6"/>
  <c r="R46" i="6"/>
  <c r="S46" i="6"/>
  <c r="T46" i="6"/>
  <c r="A47" i="6"/>
  <c r="C47" i="6"/>
  <c r="D47" i="6"/>
  <c r="E47" i="6"/>
  <c r="F47" i="6"/>
  <c r="G47" i="6"/>
  <c r="H47" i="6"/>
  <c r="I47" i="6"/>
  <c r="J47" i="6"/>
  <c r="K47" i="6"/>
  <c r="L47" i="6"/>
  <c r="M47" i="6"/>
  <c r="N47" i="6"/>
  <c r="O47" i="6"/>
  <c r="P47" i="6"/>
  <c r="Q47" i="6"/>
  <c r="R47" i="6"/>
  <c r="S47" i="6"/>
  <c r="T47" i="6"/>
  <c r="A48" i="6"/>
  <c r="B48" i="6"/>
  <c r="C48" i="6"/>
  <c r="D48" i="6"/>
  <c r="E48" i="6"/>
  <c r="F48" i="6"/>
  <c r="G48" i="6"/>
  <c r="H48" i="6"/>
  <c r="I48" i="6"/>
  <c r="J48" i="6"/>
  <c r="K48" i="6"/>
  <c r="L48" i="6"/>
  <c r="M48" i="6"/>
  <c r="N48" i="6"/>
  <c r="O48" i="6"/>
  <c r="P48" i="6"/>
  <c r="Q48" i="6"/>
  <c r="R48" i="6"/>
  <c r="S48" i="6"/>
  <c r="T48" i="6"/>
  <c r="A49" i="6"/>
  <c r="B49" i="6"/>
  <c r="C49" i="6"/>
  <c r="D49" i="6"/>
  <c r="E49" i="6"/>
  <c r="F49" i="6"/>
  <c r="G49" i="6"/>
  <c r="H49" i="6"/>
  <c r="I49" i="6"/>
  <c r="J49" i="6"/>
  <c r="K49" i="6"/>
  <c r="L49" i="6"/>
  <c r="M49" i="6"/>
  <c r="N49" i="6"/>
  <c r="O49" i="6"/>
  <c r="P49" i="6"/>
  <c r="Q49" i="6"/>
  <c r="R49" i="6"/>
  <c r="S49" i="6"/>
  <c r="T49" i="6"/>
  <c r="A50" i="6"/>
  <c r="B50" i="6"/>
  <c r="C50" i="6"/>
  <c r="D50" i="6"/>
  <c r="E50" i="6"/>
  <c r="F50" i="6"/>
  <c r="G50" i="6"/>
  <c r="H50" i="6"/>
  <c r="I50" i="6"/>
  <c r="J50" i="6"/>
  <c r="K50" i="6"/>
  <c r="L50" i="6"/>
  <c r="M50" i="6"/>
  <c r="N50" i="6"/>
  <c r="O50" i="6"/>
  <c r="P50" i="6"/>
  <c r="Q50" i="6"/>
  <c r="R50" i="6"/>
  <c r="S50" i="6"/>
  <c r="T50" i="6"/>
  <c r="A51" i="6"/>
  <c r="B51" i="6"/>
  <c r="C51" i="6"/>
  <c r="D51" i="6"/>
  <c r="E51" i="6"/>
  <c r="F51" i="6"/>
  <c r="G51" i="6"/>
  <c r="H51" i="6"/>
  <c r="I51" i="6"/>
  <c r="J51" i="6"/>
  <c r="K51" i="6"/>
  <c r="L51" i="6"/>
  <c r="M51" i="6"/>
  <c r="N51" i="6"/>
  <c r="O51" i="6"/>
  <c r="P51" i="6"/>
  <c r="Q51" i="6"/>
  <c r="R51" i="6"/>
  <c r="S51" i="6"/>
  <c r="T51" i="6"/>
  <c r="B52" i="6"/>
  <c r="C52" i="6"/>
  <c r="D52" i="6"/>
  <c r="E52" i="6"/>
  <c r="F52" i="6"/>
  <c r="G52" i="6"/>
  <c r="H52" i="6"/>
  <c r="I52" i="6"/>
  <c r="J52" i="6"/>
  <c r="K52" i="6"/>
  <c r="L52" i="6"/>
  <c r="M52" i="6"/>
  <c r="N52" i="6"/>
  <c r="O52" i="6"/>
  <c r="P52" i="6"/>
  <c r="Q52" i="6"/>
  <c r="R52" i="6"/>
  <c r="S52" i="6"/>
  <c r="T52" i="6"/>
  <c r="B53" i="6"/>
  <c r="C53" i="6"/>
  <c r="D53" i="6"/>
  <c r="E53" i="6"/>
  <c r="F53" i="6"/>
  <c r="G53" i="6"/>
  <c r="H53" i="6"/>
  <c r="I53" i="6"/>
  <c r="J53" i="6"/>
  <c r="K53" i="6"/>
  <c r="L53" i="6"/>
  <c r="M53" i="6"/>
  <c r="N53" i="6"/>
  <c r="O53" i="6"/>
  <c r="P53" i="6"/>
  <c r="Q53" i="6"/>
  <c r="R53" i="6"/>
  <c r="S53" i="6"/>
  <c r="T53" i="6"/>
  <c r="B54" i="6"/>
  <c r="C54" i="6"/>
  <c r="D54" i="6"/>
  <c r="E54" i="6"/>
  <c r="F54" i="6"/>
  <c r="G54" i="6"/>
  <c r="H54" i="6"/>
  <c r="I54" i="6"/>
  <c r="J54" i="6"/>
  <c r="K54" i="6"/>
  <c r="L54" i="6"/>
  <c r="M54" i="6"/>
  <c r="N54" i="6"/>
  <c r="O54" i="6"/>
  <c r="P54" i="6"/>
  <c r="Q54" i="6"/>
  <c r="R54" i="6"/>
  <c r="S54" i="6"/>
  <c r="T54" i="6"/>
  <c r="A55" i="6"/>
  <c r="B55" i="6"/>
  <c r="C55" i="6"/>
  <c r="E55" i="6"/>
  <c r="F55" i="6"/>
  <c r="G55" i="6"/>
  <c r="H55" i="6"/>
  <c r="I55" i="6"/>
  <c r="J55" i="6"/>
  <c r="K55" i="6"/>
  <c r="L55" i="6"/>
  <c r="M55" i="6"/>
  <c r="N55" i="6"/>
  <c r="O55" i="6"/>
  <c r="P55" i="6"/>
  <c r="Q55" i="6"/>
  <c r="R55" i="6"/>
  <c r="S55" i="6"/>
  <c r="T55" i="6"/>
  <c r="A56" i="6"/>
  <c r="B56" i="6"/>
  <c r="C56" i="6"/>
  <c r="D56" i="6"/>
  <c r="E56" i="6"/>
  <c r="F56" i="6"/>
  <c r="G56" i="6"/>
  <c r="H56" i="6"/>
  <c r="I56" i="6"/>
  <c r="J56" i="6"/>
  <c r="K56" i="6"/>
  <c r="L56" i="6"/>
  <c r="M56" i="6"/>
  <c r="N56" i="6"/>
  <c r="O56" i="6"/>
  <c r="P56" i="6"/>
  <c r="Q56" i="6"/>
  <c r="R56" i="6"/>
  <c r="S56" i="6"/>
  <c r="T56" i="6"/>
  <c r="B57" i="6"/>
  <c r="C57" i="6"/>
  <c r="D57" i="6"/>
  <c r="E57" i="6"/>
  <c r="F57" i="6"/>
  <c r="G57" i="6"/>
  <c r="H57" i="6"/>
  <c r="I57" i="6"/>
  <c r="J57" i="6"/>
  <c r="K57" i="6"/>
  <c r="L57" i="6"/>
  <c r="M57" i="6"/>
  <c r="N57" i="6"/>
  <c r="O57" i="6"/>
  <c r="P57" i="6"/>
  <c r="Q57" i="6"/>
  <c r="R57" i="6"/>
  <c r="S57" i="6"/>
  <c r="T57" i="6"/>
  <c r="B58" i="6"/>
  <c r="C58" i="6"/>
  <c r="D58" i="6"/>
  <c r="E58" i="6"/>
  <c r="F58" i="6"/>
  <c r="G58" i="6"/>
  <c r="H58" i="6"/>
  <c r="I58" i="6"/>
  <c r="J58" i="6"/>
  <c r="K58" i="6"/>
  <c r="L58" i="6"/>
  <c r="M58" i="6"/>
  <c r="N58" i="6"/>
  <c r="O58" i="6"/>
  <c r="P58" i="6"/>
  <c r="Q58" i="6"/>
  <c r="R58" i="6"/>
  <c r="S58" i="6"/>
  <c r="T58" i="6"/>
  <c r="A59" i="6"/>
  <c r="B59" i="6"/>
  <c r="C59" i="6"/>
  <c r="E59" i="6"/>
  <c r="F59" i="6"/>
  <c r="G59" i="6"/>
  <c r="H59" i="6"/>
  <c r="I59" i="6"/>
  <c r="J59" i="6"/>
  <c r="K59" i="6"/>
  <c r="L59" i="6"/>
  <c r="M59" i="6"/>
  <c r="N59" i="6"/>
  <c r="O59" i="6"/>
  <c r="P59" i="6"/>
  <c r="Q59" i="6"/>
  <c r="R59" i="6"/>
  <c r="S59" i="6"/>
  <c r="T59" i="6"/>
  <c r="A60" i="6"/>
  <c r="B60" i="6"/>
  <c r="C60" i="6"/>
  <c r="D60" i="6"/>
  <c r="E60" i="6"/>
  <c r="F60" i="6"/>
  <c r="G60" i="6"/>
  <c r="H60" i="6"/>
  <c r="I60" i="6"/>
  <c r="J60" i="6"/>
  <c r="K60" i="6"/>
  <c r="L60" i="6"/>
  <c r="M60" i="6"/>
  <c r="N60" i="6"/>
  <c r="O60" i="6"/>
  <c r="P60" i="6"/>
  <c r="Q60" i="6"/>
  <c r="R60" i="6"/>
  <c r="S60" i="6"/>
  <c r="T60" i="6"/>
  <c r="B61" i="6"/>
  <c r="C61" i="6"/>
  <c r="D61" i="6"/>
  <c r="E61" i="6"/>
  <c r="F61" i="6"/>
  <c r="G61" i="6"/>
  <c r="H61" i="6"/>
  <c r="I61" i="6"/>
  <c r="J61" i="6"/>
  <c r="K61" i="6"/>
  <c r="L61" i="6"/>
  <c r="M61" i="6"/>
  <c r="N61" i="6"/>
  <c r="O61" i="6"/>
  <c r="P61" i="6"/>
  <c r="Q61" i="6"/>
  <c r="R61" i="6"/>
  <c r="S61" i="6"/>
  <c r="T61" i="6"/>
  <c r="B62" i="6"/>
  <c r="C62" i="6"/>
  <c r="D62" i="6"/>
  <c r="E62" i="6"/>
  <c r="F62" i="6"/>
  <c r="G62" i="6"/>
  <c r="H62" i="6"/>
  <c r="I62" i="6"/>
  <c r="J62" i="6"/>
  <c r="K62" i="6"/>
  <c r="L62" i="6"/>
  <c r="M62" i="6"/>
  <c r="N62" i="6"/>
  <c r="O62" i="6"/>
  <c r="P62" i="6"/>
  <c r="Q62" i="6"/>
  <c r="R62" i="6"/>
  <c r="S62" i="6"/>
  <c r="T62" i="6"/>
  <c r="B63" i="6"/>
  <c r="C63" i="6"/>
  <c r="D63" i="6"/>
  <c r="E63" i="6"/>
  <c r="F63" i="6"/>
  <c r="G63" i="6"/>
  <c r="H63" i="6"/>
  <c r="I63" i="6"/>
  <c r="J63" i="6"/>
  <c r="K63" i="6"/>
  <c r="L63" i="6"/>
  <c r="M63" i="6"/>
  <c r="N63" i="6"/>
  <c r="O63" i="6"/>
  <c r="P63" i="6"/>
  <c r="Q63" i="6"/>
  <c r="R63" i="6"/>
  <c r="S63" i="6"/>
  <c r="T63" i="6"/>
  <c r="A64" i="6"/>
  <c r="C64" i="6"/>
  <c r="E64" i="6"/>
  <c r="F64" i="6"/>
  <c r="G64" i="6"/>
  <c r="H64" i="6"/>
  <c r="I64" i="6"/>
  <c r="J64" i="6"/>
  <c r="K64" i="6"/>
  <c r="L64" i="6"/>
  <c r="M64" i="6"/>
  <c r="N64" i="6"/>
  <c r="O64" i="6"/>
  <c r="P64" i="6"/>
  <c r="Q64" i="6"/>
  <c r="R64" i="6"/>
  <c r="S64" i="6"/>
  <c r="T64" i="6"/>
  <c r="A65" i="6"/>
  <c r="B65" i="6"/>
  <c r="C65" i="6"/>
  <c r="D65" i="6"/>
  <c r="E65" i="6"/>
  <c r="F65" i="6"/>
  <c r="G65" i="6"/>
  <c r="H65" i="6"/>
  <c r="I65" i="6"/>
  <c r="J65" i="6"/>
  <c r="K65" i="6"/>
  <c r="L65" i="6"/>
  <c r="M65" i="6"/>
  <c r="N65" i="6"/>
  <c r="O65" i="6"/>
  <c r="P65" i="6"/>
  <c r="Q65" i="6"/>
  <c r="R65" i="6"/>
  <c r="S65" i="6"/>
  <c r="T65" i="6"/>
  <c r="A66" i="6"/>
  <c r="B66" i="6"/>
  <c r="C66" i="6"/>
  <c r="D66" i="6"/>
  <c r="E66" i="6"/>
  <c r="F66" i="6"/>
  <c r="G66" i="6"/>
  <c r="H66" i="6"/>
  <c r="I66" i="6"/>
  <c r="J66" i="6"/>
  <c r="K66" i="6"/>
  <c r="L66" i="6"/>
  <c r="M66" i="6"/>
  <c r="N66" i="6"/>
  <c r="O66" i="6"/>
  <c r="P66" i="6"/>
  <c r="Q66" i="6"/>
  <c r="R66" i="6"/>
  <c r="S66" i="6"/>
  <c r="T66" i="6"/>
  <c r="A67" i="6"/>
  <c r="B67" i="6"/>
  <c r="C67" i="6"/>
  <c r="D67" i="6"/>
  <c r="E67" i="6"/>
  <c r="F67" i="6"/>
  <c r="G67" i="6"/>
  <c r="H67" i="6"/>
  <c r="I67" i="6"/>
  <c r="J67" i="6"/>
  <c r="K67" i="6"/>
  <c r="L67" i="6"/>
  <c r="M67" i="6"/>
  <c r="N67" i="6"/>
  <c r="O67" i="6"/>
  <c r="P67" i="6"/>
  <c r="Q67" i="6"/>
  <c r="R67" i="6"/>
  <c r="S67" i="6"/>
  <c r="T67" i="6"/>
  <c r="A68" i="6"/>
  <c r="B68" i="6"/>
  <c r="C68" i="6"/>
  <c r="D68" i="6"/>
  <c r="E68" i="6"/>
  <c r="F68" i="6"/>
  <c r="G68" i="6"/>
  <c r="H68" i="6"/>
  <c r="I68" i="6"/>
  <c r="J68" i="6"/>
  <c r="K68" i="6"/>
  <c r="L68" i="6"/>
  <c r="M68" i="6"/>
  <c r="N68" i="6"/>
  <c r="O68" i="6"/>
  <c r="P68" i="6"/>
  <c r="Q68" i="6"/>
  <c r="R68" i="6"/>
  <c r="S68" i="6"/>
  <c r="T68" i="6"/>
  <c r="B69" i="6"/>
  <c r="C69" i="6"/>
  <c r="D69" i="6"/>
  <c r="E69" i="6"/>
  <c r="F69" i="6"/>
  <c r="G69" i="6"/>
  <c r="H69" i="6"/>
  <c r="I69" i="6"/>
  <c r="J69" i="6"/>
  <c r="K69" i="6"/>
  <c r="L69" i="6"/>
  <c r="M69" i="6"/>
  <c r="N69" i="6"/>
  <c r="O69" i="6"/>
  <c r="P69" i="6"/>
  <c r="Q69" i="6"/>
  <c r="R69" i="6"/>
  <c r="S69" i="6"/>
  <c r="T69" i="6"/>
  <c r="B70" i="6"/>
  <c r="C70" i="6"/>
  <c r="D70" i="6"/>
  <c r="E70" i="6"/>
  <c r="F70" i="6"/>
  <c r="G70" i="6"/>
  <c r="H70" i="6"/>
  <c r="I70" i="6"/>
  <c r="J70" i="6"/>
  <c r="K70" i="6"/>
  <c r="L70" i="6"/>
  <c r="M70" i="6"/>
  <c r="N70" i="6"/>
  <c r="O70" i="6"/>
  <c r="P70" i="6"/>
  <c r="Q70" i="6"/>
  <c r="R70" i="6"/>
  <c r="S70" i="6"/>
  <c r="T70" i="6"/>
  <c r="A71" i="6"/>
  <c r="B71" i="6"/>
  <c r="C71" i="6"/>
  <c r="D71" i="6"/>
  <c r="E71" i="6"/>
  <c r="F71" i="6"/>
  <c r="G71" i="6"/>
  <c r="H71" i="6"/>
  <c r="I71" i="6"/>
  <c r="J71" i="6"/>
  <c r="K71" i="6"/>
  <c r="L71" i="6"/>
  <c r="M71" i="6"/>
  <c r="N71" i="6"/>
  <c r="O71" i="6"/>
  <c r="P71" i="6"/>
  <c r="Q71" i="6"/>
  <c r="R71" i="6"/>
  <c r="S71" i="6"/>
  <c r="T71" i="6"/>
  <c r="B72" i="6"/>
  <c r="C72" i="6"/>
  <c r="D72" i="6"/>
  <c r="E72" i="6"/>
  <c r="F72" i="6"/>
  <c r="G72" i="6"/>
  <c r="H72" i="6"/>
  <c r="I72" i="6"/>
  <c r="J72" i="6"/>
  <c r="K72" i="6"/>
  <c r="L72" i="6"/>
  <c r="M72" i="6"/>
  <c r="N72" i="6"/>
  <c r="O72" i="6"/>
  <c r="P72" i="6"/>
  <c r="Q72" i="6"/>
  <c r="R72" i="6"/>
  <c r="S72" i="6"/>
  <c r="T72" i="6"/>
  <c r="A73" i="6"/>
  <c r="B73" i="6"/>
  <c r="C73" i="6"/>
  <c r="E73" i="6"/>
  <c r="F73" i="6"/>
  <c r="G73" i="6"/>
  <c r="H73" i="6"/>
  <c r="I73" i="6"/>
  <c r="J73" i="6"/>
  <c r="K73" i="6"/>
  <c r="L73" i="6"/>
  <c r="M73" i="6"/>
  <c r="N73" i="6"/>
  <c r="O73" i="6"/>
  <c r="P73" i="6"/>
  <c r="Q73" i="6"/>
  <c r="R73" i="6"/>
  <c r="S73" i="6"/>
  <c r="T73" i="6"/>
  <c r="A74" i="6"/>
  <c r="C74" i="6"/>
  <c r="E74" i="6"/>
  <c r="F74" i="6"/>
  <c r="G74" i="6"/>
  <c r="H74" i="6"/>
  <c r="I74" i="6"/>
  <c r="J74" i="6"/>
  <c r="K74" i="6"/>
  <c r="L74" i="6"/>
  <c r="M74" i="6"/>
  <c r="N74" i="6"/>
  <c r="O74" i="6"/>
  <c r="P74" i="6"/>
  <c r="Q74" i="6"/>
  <c r="R74" i="6"/>
  <c r="S74" i="6"/>
  <c r="T74" i="6"/>
  <c r="B75" i="6"/>
  <c r="C75" i="6"/>
  <c r="D75" i="6"/>
  <c r="E75" i="6"/>
  <c r="F75" i="6"/>
  <c r="G75" i="6"/>
  <c r="H75" i="6"/>
  <c r="I75" i="6"/>
  <c r="J75" i="6"/>
  <c r="K75" i="6"/>
  <c r="L75" i="6"/>
  <c r="M75" i="6"/>
  <c r="N75" i="6"/>
  <c r="O75" i="6"/>
  <c r="P75" i="6"/>
  <c r="Q75" i="6"/>
  <c r="R75" i="6"/>
  <c r="S75" i="6"/>
  <c r="T75" i="6"/>
  <c r="A76" i="6"/>
  <c r="B76" i="6"/>
  <c r="C76" i="6"/>
  <c r="D76" i="6"/>
  <c r="E76" i="6"/>
  <c r="F76" i="6"/>
  <c r="G76" i="6"/>
  <c r="H76" i="6"/>
  <c r="I76" i="6"/>
  <c r="J76" i="6"/>
  <c r="K76" i="6"/>
  <c r="L76" i="6"/>
  <c r="M76" i="6"/>
  <c r="N76" i="6"/>
  <c r="O76" i="6"/>
  <c r="P76" i="6"/>
  <c r="Q76" i="6"/>
  <c r="R76" i="6"/>
  <c r="S76" i="6"/>
  <c r="T76" i="6"/>
  <c r="A77" i="6"/>
  <c r="B77" i="6"/>
  <c r="C77" i="6"/>
  <c r="D77" i="6"/>
  <c r="E77" i="6"/>
  <c r="F77" i="6"/>
  <c r="G77" i="6"/>
  <c r="H77" i="6"/>
  <c r="I77" i="6"/>
  <c r="J77" i="6"/>
  <c r="K77" i="6"/>
  <c r="L77" i="6"/>
  <c r="M77" i="6"/>
  <c r="N77" i="6"/>
  <c r="O77" i="6"/>
  <c r="P77" i="6"/>
  <c r="Q77" i="6"/>
  <c r="R77" i="6"/>
  <c r="S77" i="6"/>
  <c r="T77" i="6"/>
  <c r="A78" i="6"/>
  <c r="B78" i="6"/>
  <c r="C78" i="6"/>
  <c r="D78" i="6"/>
  <c r="E78" i="6"/>
  <c r="F78" i="6"/>
  <c r="G78" i="6"/>
  <c r="H78" i="6"/>
  <c r="I78" i="6"/>
  <c r="J78" i="6"/>
  <c r="K78" i="6"/>
  <c r="L78" i="6"/>
  <c r="M78" i="6"/>
  <c r="N78" i="6"/>
  <c r="O78" i="6"/>
  <c r="P78" i="6"/>
  <c r="Q78" i="6"/>
  <c r="R78" i="6"/>
  <c r="S78" i="6"/>
  <c r="T78" i="6"/>
  <c r="A79" i="6"/>
  <c r="B79" i="6"/>
  <c r="C79" i="6"/>
  <c r="D79" i="6"/>
  <c r="E79" i="6"/>
  <c r="F79" i="6"/>
  <c r="G79" i="6"/>
  <c r="H79" i="6"/>
  <c r="I79" i="6"/>
  <c r="J79" i="6"/>
  <c r="K79" i="6"/>
  <c r="L79" i="6"/>
  <c r="M79" i="6"/>
  <c r="N79" i="6"/>
  <c r="O79" i="6"/>
  <c r="P79" i="6"/>
  <c r="Q79" i="6"/>
  <c r="R79" i="6"/>
  <c r="S79" i="6"/>
  <c r="T79" i="6"/>
  <c r="A80" i="6"/>
  <c r="B80" i="6"/>
  <c r="C80" i="6"/>
  <c r="D80" i="6"/>
  <c r="E80" i="6"/>
  <c r="F80" i="6"/>
  <c r="G80" i="6"/>
  <c r="H80" i="6"/>
  <c r="I80" i="6"/>
  <c r="J80" i="6"/>
  <c r="K80" i="6"/>
  <c r="L80" i="6"/>
  <c r="M80" i="6"/>
  <c r="N80" i="6"/>
  <c r="O80" i="6"/>
  <c r="P80" i="6"/>
  <c r="Q80" i="6"/>
  <c r="R80" i="6"/>
  <c r="S80" i="6"/>
  <c r="T80" i="6"/>
  <c r="A81" i="6"/>
  <c r="B81" i="6"/>
  <c r="C81" i="6"/>
  <c r="D81" i="6"/>
  <c r="E81" i="6"/>
  <c r="F81" i="6"/>
  <c r="G81" i="6"/>
  <c r="H81" i="6"/>
  <c r="I81" i="6"/>
  <c r="J81" i="6"/>
  <c r="K81" i="6"/>
  <c r="L81" i="6"/>
  <c r="M81" i="6"/>
  <c r="N81" i="6"/>
  <c r="O81" i="6"/>
  <c r="P81" i="6"/>
  <c r="Q81" i="6"/>
  <c r="R81" i="6"/>
  <c r="S81" i="6"/>
  <c r="T81" i="6"/>
  <c r="A82" i="6"/>
  <c r="B82" i="6"/>
  <c r="C82" i="6"/>
  <c r="D82" i="6"/>
  <c r="E82" i="6"/>
  <c r="F82" i="6"/>
  <c r="G82" i="6"/>
  <c r="H82" i="6"/>
  <c r="I82" i="6"/>
  <c r="J82" i="6"/>
  <c r="K82" i="6"/>
  <c r="L82" i="6"/>
  <c r="M82" i="6"/>
  <c r="N82" i="6"/>
  <c r="O82" i="6"/>
  <c r="P82" i="6"/>
  <c r="Q82" i="6"/>
  <c r="R82" i="6"/>
  <c r="S82" i="6"/>
  <c r="T82" i="6"/>
  <c r="A83" i="6"/>
  <c r="B83" i="6"/>
  <c r="C83" i="6"/>
  <c r="D83" i="6"/>
  <c r="E83" i="6"/>
  <c r="F83" i="6"/>
  <c r="G83" i="6"/>
  <c r="H83" i="6"/>
  <c r="I83" i="6"/>
  <c r="J83" i="6"/>
  <c r="K83" i="6"/>
  <c r="L83" i="6"/>
  <c r="M83" i="6"/>
  <c r="N83" i="6"/>
  <c r="O83" i="6"/>
  <c r="P83" i="6"/>
  <c r="Q83" i="6"/>
  <c r="R83" i="6"/>
  <c r="S83" i="6"/>
  <c r="T83" i="6"/>
  <c r="B84" i="6"/>
  <c r="C84" i="6"/>
  <c r="D84" i="6"/>
  <c r="E84" i="6"/>
  <c r="F84" i="6"/>
  <c r="G84" i="6"/>
  <c r="H84" i="6"/>
  <c r="I84" i="6"/>
  <c r="J84" i="6"/>
  <c r="K84" i="6"/>
  <c r="L84" i="6"/>
  <c r="M84" i="6"/>
  <c r="N84" i="6"/>
  <c r="O84" i="6"/>
  <c r="P84" i="6"/>
  <c r="Q84" i="6"/>
  <c r="R84" i="6"/>
  <c r="S84" i="6"/>
  <c r="T84" i="6"/>
  <c r="A85" i="6"/>
  <c r="B85" i="6"/>
  <c r="C85" i="6"/>
  <c r="D85" i="6"/>
  <c r="E85" i="6"/>
  <c r="F85" i="6"/>
  <c r="G85" i="6"/>
  <c r="H85" i="6"/>
  <c r="I85" i="6"/>
  <c r="J85" i="6"/>
  <c r="K85" i="6"/>
  <c r="L85" i="6"/>
  <c r="M85" i="6"/>
  <c r="N85" i="6"/>
  <c r="O85" i="6"/>
  <c r="P85" i="6"/>
  <c r="Q85" i="6"/>
  <c r="R85" i="6"/>
  <c r="S85" i="6"/>
  <c r="T85" i="6"/>
  <c r="A86" i="6"/>
  <c r="B86" i="6"/>
  <c r="C86" i="6"/>
  <c r="D86" i="6"/>
  <c r="E86" i="6"/>
  <c r="F86" i="6"/>
  <c r="G86" i="6"/>
  <c r="H86" i="6"/>
  <c r="I86" i="6"/>
  <c r="J86" i="6"/>
  <c r="K86" i="6"/>
  <c r="L86" i="6"/>
  <c r="M86" i="6"/>
  <c r="N86" i="6"/>
  <c r="O86" i="6"/>
  <c r="P86" i="6"/>
  <c r="Q86" i="6"/>
  <c r="R86" i="6"/>
  <c r="S86" i="6"/>
  <c r="T86" i="6"/>
  <c r="A87" i="6"/>
  <c r="B87" i="6"/>
  <c r="C87" i="6"/>
  <c r="D87" i="6"/>
  <c r="E87" i="6"/>
  <c r="F87" i="6"/>
  <c r="G87" i="6"/>
  <c r="H87" i="6"/>
  <c r="I87" i="6"/>
  <c r="J87" i="6"/>
  <c r="K87" i="6"/>
  <c r="L87" i="6"/>
  <c r="M87" i="6"/>
  <c r="N87" i="6"/>
  <c r="O87" i="6"/>
  <c r="P87" i="6"/>
  <c r="Q87" i="6"/>
  <c r="R87" i="6"/>
  <c r="S87" i="6"/>
  <c r="T87" i="6"/>
  <c r="A88" i="6"/>
  <c r="B88" i="6"/>
  <c r="C88" i="6"/>
  <c r="D88" i="6"/>
  <c r="E88" i="6"/>
  <c r="F88" i="6"/>
  <c r="G88" i="6"/>
  <c r="H88" i="6"/>
  <c r="I88" i="6"/>
  <c r="J88" i="6"/>
  <c r="K88" i="6"/>
  <c r="L88" i="6"/>
  <c r="M88" i="6"/>
  <c r="N88" i="6"/>
  <c r="O88" i="6"/>
  <c r="P88" i="6"/>
  <c r="Q88" i="6"/>
  <c r="R88" i="6"/>
  <c r="S88" i="6"/>
  <c r="T88" i="6"/>
  <c r="A89" i="6"/>
  <c r="B89" i="6"/>
  <c r="C89" i="6"/>
  <c r="D89" i="6"/>
  <c r="E89" i="6"/>
  <c r="F89" i="6"/>
  <c r="G89" i="6"/>
  <c r="H89" i="6"/>
  <c r="I89" i="6"/>
  <c r="J89" i="6"/>
  <c r="K89" i="6"/>
  <c r="L89" i="6"/>
  <c r="M89" i="6"/>
  <c r="N89" i="6"/>
  <c r="O89" i="6"/>
  <c r="P89" i="6"/>
  <c r="Q89" i="6"/>
  <c r="R89" i="6"/>
  <c r="S89" i="6"/>
  <c r="T89" i="6"/>
  <c r="A90" i="6"/>
  <c r="B90" i="6"/>
  <c r="C90" i="6"/>
  <c r="D90" i="6"/>
  <c r="E90" i="6"/>
  <c r="F90" i="6"/>
  <c r="G90" i="6"/>
  <c r="H90" i="6"/>
  <c r="I90" i="6"/>
  <c r="J90" i="6"/>
  <c r="K90" i="6"/>
  <c r="L90" i="6"/>
  <c r="M90" i="6"/>
  <c r="N90" i="6"/>
  <c r="O90" i="6"/>
  <c r="P90" i="6"/>
  <c r="Q90" i="6"/>
  <c r="R90" i="6"/>
  <c r="S90" i="6"/>
  <c r="T90" i="6"/>
  <c r="A91" i="6"/>
  <c r="B91" i="6"/>
  <c r="C91" i="6"/>
  <c r="D91" i="6"/>
  <c r="E91" i="6"/>
  <c r="F91" i="6"/>
  <c r="G91" i="6"/>
  <c r="H91" i="6"/>
  <c r="I91" i="6"/>
  <c r="J91" i="6"/>
  <c r="K91" i="6"/>
  <c r="L91" i="6"/>
  <c r="M91" i="6"/>
  <c r="N91" i="6"/>
  <c r="O91" i="6"/>
  <c r="P91" i="6"/>
  <c r="Q91" i="6"/>
  <c r="R91" i="6"/>
  <c r="S91" i="6"/>
  <c r="T91" i="6"/>
  <c r="B92" i="6"/>
  <c r="C92" i="6"/>
  <c r="D92" i="6"/>
  <c r="E92" i="6"/>
  <c r="F92" i="6"/>
  <c r="G92" i="6"/>
  <c r="H92" i="6"/>
  <c r="I92" i="6"/>
  <c r="J92" i="6"/>
  <c r="K92" i="6"/>
  <c r="L92" i="6"/>
  <c r="M92" i="6"/>
  <c r="N92" i="6"/>
  <c r="O92" i="6"/>
  <c r="P92" i="6"/>
  <c r="Q92" i="6"/>
  <c r="R92" i="6"/>
  <c r="S92" i="6"/>
  <c r="T92" i="6"/>
  <c r="A93" i="6"/>
  <c r="B93" i="6"/>
  <c r="C93" i="6"/>
  <c r="D93" i="6"/>
  <c r="E93" i="6"/>
  <c r="F93" i="6"/>
  <c r="G93" i="6"/>
  <c r="H93" i="6"/>
  <c r="I93" i="6"/>
  <c r="J93" i="6"/>
  <c r="K93" i="6"/>
  <c r="L93" i="6"/>
  <c r="M93" i="6"/>
  <c r="N93" i="6"/>
  <c r="O93" i="6"/>
  <c r="P93" i="6"/>
  <c r="Q93" i="6"/>
  <c r="R93" i="6"/>
  <c r="S93" i="6"/>
  <c r="T93" i="6"/>
  <c r="A94" i="6"/>
  <c r="B94" i="6"/>
  <c r="C94" i="6"/>
  <c r="D94" i="6"/>
  <c r="E94" i="6"/>
  <c r="F94" i="6"/>
  <c r="G94" i="6"/>
  <c r="H94" i="6"/>
  <c r="I94" i="6"/>
  <c r="J94" i="6"/>
  <c r="K94" i="6"/>
  <c r="L94" i="6"/>
  <c r="M94" i="6"/>
  <c r="N94" i="6"/>
  <c r="O94" i="6"/>
  <c r="P94" i="6"/>
  <c r="Q94" i="6"/>
  <c r="R94" i="6"/>
  <c r="S94" i="6"/>
  <c r="T94" i="6"/>
  <c r="A95" i="6"/>
  <c r="B95" i="6"/>
  <c r="C95" i="6"/>
  <c r="D95" i="6"/>
  <c r="E95" i="6"/>
  <c r="F95" i="6"/>
  <c r="G95" i="6"/>
  <c r="H95" i="6"/>
  <c r="I95" i="6"/>
  <c r="J95" i="6"/>
  <c r="K95" i="6"/>
  <c r="L95" i="6"/>
  <c r="M95" i="6"/>
  <c r="N95" i="6"/>
  <c r="O95" i="6"/>
  <c r="P95" i="6"/>
  <c r="Q95" i="6"/>
  <c r="R95" i="6"/>
  <c r="S95" i="6"/>
  <c r="T95" i="6"/>
  <c r="A96" i="6"/>
  <c r="B96" i="6"/>
  <c r="C96" i="6"/>
  <c r="D96" i="6"/>
  <c r="E96" i="6"/>
  <c r="F96" i="6"/>
  <c r="G96" i="6"/>
  <c r="H96" i="6"/>
  <c r="I96" i="6"/>
  <c r="J96" i="6"/>
  <c r="K96" i="6"/>
  <c r="L96" i="6"/>
  <c r="M96" i="6"/>
  <c r="N96" i="6"/>
  <c r="O96" i="6"/>
  <c r="P96" i="6"/>
  <c r="Q96" i="6"/>
  <c r="R96" i="6"/>
  <c r="S96" i="6"/>
  <c r="T96" i="6"/>
  <c r="A97" i="6"/>
  <c r="B97" i="6"/>
  <c r="C97" i="6"/>
  <c r="D97" i="6"/>
  <c r="E97" i="6"/>
  <c r="F97" i="6"/>
  <c r="G97" i="6"/>
  <c r="H97" i="6"/>
  <c r="I97" i="6"/>
  <c r="J97" i="6"/>
  <c r="K97" i="6"/>
  <c r="L97" i="6"/>
  <c r="M97" i="6"/>
  <c r="N97" i="6"/>
  <c r="O97" i="6"/>
  <c r="P97" i="6"/>
  <c r="Q97" i="6"/>
  <c r="R97" i="6"/>
  <c r="S97" i="6"/>
  <c r="T97" i="6"/>
  <c r="A98" i="6"/>
  <c r="B98" i="6"/>
  <c r="C98" i="6"/>
  <c r="D98" i="6"/>
  <c r="E98" i="6"/>
  <c r="F98" i="6"/>
  <c r="G98" i="6"/>
  <c r="H98" i="6"/>
  <c r="I98" i="6"/>
  <c r="J98" i="6"/>
  <c r="K98" i="6"/>
  <c r="L98" i="6"/>
  <c r="M98" i="6"/>
  <c r="N98" i="6"/>
  <c r="O98" i="6"/>
  <c r="P98" i="6"/>
  <c r="Q98" i="6"/>
  <c r="R98" i="6"/>
  <c r="S98" i="6"/>
  <c r="T98" i="6"/>
  <c r="A99" i="6"/>
  <c r="B99" i="6"/>
  <c r="C99" i="6"/>
  <c r="D99" i="6"/>
  <c r="E99" i="6"/>
  <c r="F99" i="6"/>
  <c r="G99" i="6"/>
  <c r="H99" i="6"/>
  <c r="I99" i="6"/>
  <c r="J99" i="6"/>
  <c r="K99" i="6"/>
  <c r="L99" i="6"/>
  <c r="M99" i="6"/>
  <c r="N99" i="6"/>
  <c r="O99" i="6"/>
  <c r="P99" i="6"/>
  <c r="Q99" i="6"/>
  <c r="R99" i="6"/>
  <c r="S99" i="6"/>
  <c r="T99" i="6"/>
  <c r="B100" i="6"/>
  <c r="C100" i="6"/>
  <c r="D100" i="6"/>
  <c r="E100" i="6"/>
  <c r="F100" i="6"/>
  <c r="G100" i="6"/>
  <c r="H100" i="6"/>
  <c r="I100" i="6"/>
  <c r="J100" i="6"/>
  <c r="K100" i="6"/>
  <c r="L100" i="6"/>
  <c r="M100" i="6"/>
  <c r="N100" i="6"/>
  <c r="O100" i="6"/>
  <c r="P100" i="6"/>
  <c r="Q100" i="6"/>
  <c r="R100" i="6"/>
  <c r="S100" i="6"/>
  <c r="T100" i="6"/>
  <c r="A101" i="6"/>
  <c r="B101" i="6"/>
  <c r="C101" i="6"/>
  <c r="D101" i="6"/>
  <c r="E101" i="6"/>
  <c r="F101" i="6"/>
  <c r="G101" i="6"/>
  <c r="H101" i="6"/>
  <c r="I101" i="6"/>
  <c r="J101" i="6"/>
  <c r="K101" i="6"/>
  <c r="L101" i="6"/>
  <c r="M101" i="6"/>
  <c r="N101" i="6"/>
  <c r="O101" i="6"/>
  <c r="P101" i="6"/>
  <c r="Q101" i="6"/>
  <c r="R101" i="6"/>
  <c r="S101" i="6"/>
  <c r="T101" i="6"/>
  <c r="A102" i="6"/>
  <c r="B102" i="6"/>
  <c r="C102" i="6"/>
  <c r="D102" i="6"/>
  <c r="E102" i="6"/>
  <c r="F102" i="6"/>
  <c r="G102" i="6"/>
  <c r="H102" i="6"/>
  <c r="I102" i="6"/>
  <c r="J102" i="6"/>
  <c r="K102" i="6"/>
  <c r="L102" i="6"/>
  <c r="M102" i="6"/>
  <c r="N102" i="6"/>
  <c r="O102" i="6"/>
  <c r="P102" i="6"/>
  <c r="Q102" i="6"/>
  <c r="R102" i="6"/>
  <c r="S102" i="6"/>
  <c r="T102" i="6"/>
  <c r="A103" i="6"/>
  <c r="B103" i="6"/>
  <c r="C103" i="6"/>
  <c r="D103" i="6"/>
  <c r="E103" i="6"/>
  <c r="F103" i="6"/>
  <c r="G103" i="6"/>
  <c r="H103" i="6"/>
  <c r="I103" i="6"/>
  <c r="J103" i="6"/>
  <c r="K103" i="6"/>
  <c r="L103" i="6"/>
  <c r="M103" i="6"/>
  <c r="N103" i="6"/>
  <c r="O103" i="6"/>
  <c r="P103" i="6"/>
  <c r="Q103" i="6"/>
  <c r="R103" i="6"/>
  <c r="S103" i="6"/>
  <c r="T103" i="6"/>
  <c r="A104" i="6"/>
  <c r="B104" i="6"/>
  <c r="C104" i="6"/>
  <c r="D104" i="6"/>
  <c r="E104" i="6"/>
  <c r="F104" i="6"/>
  <c r="G104" i="6"/>
  <c r="H104" i="6"/>
  <c r="I104" i="6"/>
  <c r="J104" i="6"/>
  <c r="K104" i="6"/>
  <c r="L104" i="6"/>
  <c r="M104" i="6"/>
  <c r="N104" i="6"/>
  <c r="O104" i="6"/>
  <c r="P104" i="6"/>
  <c r="Q104" i="6"/>
  <c r="R104" i="6"/>
  <c r="S104" i="6"/>
  <c r="T104" i="6"/>
  <c r="A105" i="6"/>
  <c r="B105" i="6"/>
  <c r="C105" i="6"/>
  <c r="D105" i="6"/>
  <c r="E105" i="6"/>
  <c r="F105" i="6"/>
  <c r="G105" i="6"/>
  <c r="H105" i="6"/>
  <c r="I105" i="6"/>
  <c r="J105" i="6"/>
  <c r="K105" i="6"/>
  <c r="L105" i="6"/>
  <c r="M105" i="6"/>
  <c r="N105" i="6"/>
  <c r="O105" i="6"/>
  <c r="P105" i="6"/>
  <c r="Q105" i="6"/>
  <c r="R105" i="6"/>
  <c r="S105" i="6"/>
  <c r="T105" i="6"/>
  <c r="A106" i="6"/>
  <c r="B106" i="6"/>
  <c r="C106" i="6"/>
  <c r="D106" i="6"/>
  <c r="E106" i="6"/>
  <c r="F106" i="6"/>
  <c r="G106" i="6"/>
  <c r="H106" i="6"/>
  <c r="I106" i="6"/>
  <c r="J106" i="6"/>
  <c r="K106" i="6"/>
  <c r="L106" i="6"/>
  <c r="M106" i="6"/>
  <c r="N106" i="6"/>
  <c r="O106" i="6"/>
  <c r="P106" i="6"/>
  <c r="Q106" i="6"/>
  <c r="R106" i="6"/>
  <c r="S106" i="6"/>
  <c r="T106" i="6"/>
  <c r="A107" i="6"/>
  <c r="B107" i="6"/>
  <c r="C107" i="6"/>
  <c r="D107" i="6"/>
  <c r="E107" i="6"/>
  <c r="F107" i="6"/>
  <c r="G107" i="6"/>
  <c r="H107" i="6"/>
  <c r="I107" i="6"/>
  <c r="J107" i="6"/>
  <c r="K107" i="6"/>
  <c r="L107" i="6"/>
  <c r="M107" i="6"/>
  <c r="N107" i="6"/>
  <c r="O107" i="6"/>
  <c r="P107" i="6"/>
  <c r="Q107" i="6"/>
  <c r="R107" i="6"/>
  <c r="S107" i="6"/>
  <c r="T107" i="6"/>
  <c r="A108" i="6"/>
  <c r="B108" i="6"/>
  <c r="C108" i="6"/>
  <c r="D108" i="6"/>
  <c r="E108" i="6"/>
  <c r="F108" i="6"/>
  <c r="G108" i="6"/>
  <c r="H108" i="6"/>
  <c r="I108" i="6"/>
  <c r="J108" i="6"/>
  <c r="K108" i="6"/>
  <c r="L108" i="6"/>
  <c r="M108" i="6"/>
  <c r="N108" i="6"/>
  <c r="O108" i="6"/>
  <c r="P108" i="6"/>
  <c r="Q108" i="6"/>
  <c r="R108" i="6"/>
  <c r="S108" i="6"/>
  <c r="T108" i="6"/>
  <c r="B109" i="6"/>
  <c r="C109" i="6"/>
  <c r="D109" i="6"/>
  <c r="E109" i="6"/>
  <c r="F109" i="6"/>
  <c r="G109" i="6"/>
  <c r="H109" i="6"/>
  <c r="I109" i="6"/>
  <c r="J109" i="6"/>
  <c r="K109" i="6"/>
  <c r="L109" i="6"/>
  <c r="M109" i="6"/>
  <c r="N109" i="6"/>
  <c r="O109" i="6"/>
  <c r="P109" i="6"/>
  <c r="Q109" i="6"/>
  <c r="R109" i="6"/>
  <c r="S109" i="6"/>
  <c r="T109" i="6"/>
  <c r="A110" i="6"/>
  <c r="B110" i="6"/>
  <c r="C110" i="6"/>
  <c r="D110" i="6"/>
  <c r="E110" i="6"/>
  <c r="F110" i="6"/>
  <c r="G110" i="6"/>
  <c r="H110" i="6"/>
  <c r="I110" i="6"/>
  <c r="J110" i="6"/>
  <c r="K110" i="6"/>
  <c r="L110" i="6"/>
  <c r="M110" i="6"/>
  <c r="N110" i="6"/>
  <c r="O110" i="6"/>
  <c r="P110" i="6"/>
  <c r="Q110" i="6"/>
  <c r="R110" i="6"/>
  <c r="S110" i="6"/>
  <c r="T110" i="6"/>
  <c r="A111" i="6"/>
  <c r="B111" i="6"/>
  <c r="C111" i="6"/>
  <c r="D111" i="6"/>
  <c r="E111" i="6"/>
  <c r="F111" i="6"/>
  <c r="G111" i="6"/>
  <c r="H111" i="6"/>
  <c r="I111" i="6"/>
  <c r="J111" i="6"/>
  <c r="K111" i="6"/>
  <c r="L111" i="6"/>
  <c r="M111" i="6"/>
  <c r="N111" i="6"/>
  <c r="O111" i="6"/>
  <c r="P111" i="6"/>
  <c r="Q111" i="6"/>
  <c r="R111" i="6"/>
  <c r="S111" i="6"/>
  <c r="T111" i="6"/>
  <c r="A112" i="6"/>
  <c r="B112" i="6"/>
  <c r="C112" i="6"/>
  <c r="D112" i="6"/>
  <c r="E112" i="6"/>
  <c r="F112" i="6"/>
  <c r="G112" i="6"/>
  <c r="H112" i="6"/>
  <c r="I112" i="6"/>
  <c r="J112" i="6"/>
  <c r="K112" i="6"/>
  <c r="L112" i="6"/>
  <c r="M112" i="6"/>
  <c r="N112" i="6"/>
  <c r="O112" i="6"/>
  <c r="P112" i="6"/>
  <c r="Q112" i="6"/>
  <c r="R112" i="6"/>
  <c r="S112" i="6"/>
  <c r="T112" i="6"/>
  <c r="A113" i="6"/>
  <c r="B113" i="6"/>
  <c r="C113" i="6"/>
  <c r="D113" i="6"/>
  <c r="E113" i="6"/>
  <c r="F113" i="6"/>
  <c r="G113" i="6"/>
  <c r="H113" i="6"/>
  <c r="I113" i="6"/>
  <c r="J113" i="6"/>
  <c r="K113" i="6"/>
  <c r="L113" i="6"/>
  <c r="M113" i="6"/>
  <c r="N113" i="6"/>
  <c r="O113" i="6"/>
  <c r="P113" i="6"/>
  <c r="Q113" i="6"/>
  <c r="R113" i="6"/>
  <c r="S113" i="6"/>
  <c r="T113" i="6"/>
  <c r="A114" i="6"/>
  <c r="B114" i="6"/>
  <c r="C114" i="6"/>
  <c r="D114" i="6"/>
  <c r="E114" i="6"/>
  <c r="F114" i="6"/>
  <c r="G114" i="6"/>
  <c r="H114" i="6"/>
  <c r="I114" i="6"/>
  <c r="J114" i="6"/>
  <c r="K114" i="6"/>
  <c r="L114" i="6"/>
  <c r="M114" i="6"/>
  <c r="N114" i="6"/>
  <c r="O114" i="6"/>
  <c r="P114" i="6"/>
  <c r="Q114" i="6"/>
  <c r="R114" i="6"/>
  <c r="S114" i="6"/>
  <c r="T114" i="6"/>
  <c r="A115" i="6"/>
  <c r="B115" i="6"/>
  <c r="C115" i="6"/>
  <c r="D115" i="6"/>
  <c r="E115" i="6"/>
  <c r="F115" i="6"/>
  <c r="G115" i="6"/>
  <c r="H115" i="6"/>
  <c r="I115" i="6"/>
  <c r="J115" i="6"/>
  <c r="K115" i="6"/>
  <c r="L115" i="6"/>
  <c r="M115" i="6"/>
  <c r="N115" i="6"/>
  <c r="O115" i="6"/>
  <c r="P115" i="6"/>
  <c r="Q115" i="6"/>
  <c r="R115" i="6"/>
  <c r="S115" i="6"/>
  <c r="T115" i="6"/>
  <c r="A116" i="6"/>
  <c r="B116" i="6"/>
  <c r="C116" i="6"/>
  <c r="D116" i="6"/>
  <c r="E116" i="6"/>
  <c r="F116" i="6"/>
  <c r="G116" i="6"/>
  <c r="H116" i="6"/>
  <c r="I116" i="6"/>
  <c r="J116" i="6"/>
  <c r="K116" i="6"/>
  <c r="L116" i="6"/>
  <c r="M116" i="6"/>
  <c r="N116" i="6"/>
  <c r="O116" i="6"/>
  <c r="P116" i="6"/>
  <c r="Q116" i="6"/>
  <c r="R116" i="6"/>
  <c r="S116" i="6"/>
  <c r="T116" i="6"/>
  <c r="A117" i="6"/>
  <c r="B117" i="6"/>
  <c r="C117" i="6"/>
  <c r="D117" i="6"/>
  <c r="E117" i="6"/>
  <c r="F117" i="6"/>
  <c r="G117" i="6"/>
  <c r="H117" i="6"/>
  <c r="I117" i="6"/>
  <c r="J117" i="6"/>
  <c r="K117" i="6"/>
  <c r="L117" i="6"/>
  <c r="M117" i="6"/>
  <c r="N117" i="6"/>
  <c r="O117" i="6"/>
  <c r="P117" i="6"/>
  <c r="Q117" i="6"/>
  <c r="R117" i="6"/>
  <c r="S117" i="6"/>
  <c r="T117" i="6"/>
  <c r="B118" i="6"/>
  <c r="C118" i="6"/>
  <c r="D118" i="6"/>
  <c r="E118" i="6"/>
  <c r="F118" i="6"/>
  <c r="G118" i="6"/>
  <c r="H118" i="6"/>
  <c r="I118" i="6"/>
  <c r="J118" i="6"/>
  <c r="K118" i="6"/>
  <c r="L118" i="6"/>
  <c r="M118" i="6"/>
  <c r="N118" i="6"/>
  <c r="O118" i="6"/>
  <c r="P118" i="6"/>
  <c r="Q118" i="6"/>
  <c r="R118" i="6"/>
  <c r="S118" i="6"/>
  <c r="T118" i="6"/>
  <c r="A119" i="6"/>
  <c r="B119" i="6"/>
  <c r="C119" i="6"/>
  <c r="D119" i="6"/>
  <c r="E119" i="6"/>
  <c r="F119" i="6"/>
  <c r="G119" i="6"/>
  <c r="H119" i="6"/>
  <c r="I119" i="6"/>
  <c r="J119" i="6"/>
  <c r="K119" i="6"/>
  <c r="L119" i="6"/>
  <c r="M119" i="6"/>
  <c r="N119" i="6"/>
  <c r="O119" i="6"/>
  <c r="P119" i="6"/>
  <c r="Q119" i="6"/>
  <c r="R119" i="6"/>
  <c r="S119" i="6"/>
  <c r="T119" i="6"/>
  <c r="A120" i="6"/>
  <c r="B120" i="6"/>
  <c r="C120" i="6"/>
  <c r="D120" i="6"/>
  <c r="E120" i="6"/>
  <c r="F120" i="6"/>
  <c r="G120" i="6"/>
  <c r="H120" i="6"/>
  <c r="I120" i="6"/>
  <c r="J120" i="6"/>
  <c r="K120" i="6"/>
  <c r="L120" i="6"/>
  <c r="M120" i="6"/>
  <c r="N120" i="6"/>
  <c r="O120" i="6"/>
  <c r="P120" i="6"/>
  <c r="Q120" i="6"/>
  <c r="R120" i="6"/>
  <c r="S120" i="6"/>
  <c r="T120" i="6"/>
  <c r="A121" i="6"/>
  <c r="B121" i="6"/>
  <c r="C121" i="6"/>
  <c r="D121" i="6"/>
  <c r="E121" i="6"/>
  <c r="F121" i="6"/>
  <c r="G121" i="6"/>
  <c r="H121" i="6"/>
  <c r="I121" i="6"/>
  <c r="J121" i="6"/>
  <c r="K121" i="6"/>
  <c r="L121" i="6"/>
  <c r="M121" i="6"/>
  <c r="N121" i="6"/>
  <c r="O121" i="6"/>
  <c r="P121" i="6"/>
  <c r="Q121" i="6"/>
  <c r="R121" i="6"/>
  <c r="S121" i="6"/>
  <c r="T121" i="6"/>
  <c r="A122" i="6"/>
  <c r="B122" i="6"/>
  <c r="C122" i="6"/>
  <c r="D122" i="6"/>
  <c r="E122" i="6"/>
  <c r="F122" i="6"/>
  <c r="G122" i="6"/>
  <c r="H122" i="6"/>
  <c r="I122" i="6"/>
  <c r="J122" i="6"/>
  <c r="K122" i="6"/>
  <c r="L122" i="6"/>
  <c r="M122" i="6"/>
  <c r="N122" i="6"/>
  <c r="O122" i="6"/>
  <c r="P122" i="6"/>
  <c r="Q122" i="6"/>
  <c r="R122" i="6"/>
  <c r="S122" i="6"/>
  <c r="T122" i="6"/>
  <c r="A123" i="6"/>
  <c r="B123" i="6"/>
  <c r="C123" i="6"/>
  <c r="D123" i="6"/>
  <c r="E123" i="6"/>
  <c r="F123" i="6"/>
  <c r="G123" i="6"/>
  <c r="H123" i="6"/>
  <c r="I123" i="6"/>
  <c r="J123" i="6"/>
  <c r="K123" i="6"/>
  <c r="L123" i="6"/>
  <c r="M123" i="6"/>
  <c r="N123" i="6"/>
  <c r="O123" i="6"/>
  <c r="P123" i="6"/>
  <c r="Q123" i="6"/>
  <c r="R123" i="6"/>
  <c r="S123" i="6"/>
  <c r="T123" i="6"/>
  <c r="A124" i="6"/>
  <c r="B124" i="6"/>
  <c r="C124" i="6"/>
  <c r="D124" i="6"/>
  <c r="E124" i="6"/>
  <c r="F124" i="6"/>
  <c r="G124" i="6"/>
  <c r="H124" i="6"/>
  <c r="I124" i="6"/>
  <c r="J124" i="6"/>
  <c r="K124" i="6"/>
  <c r="L124" i="6"/>
  <c r="M124" i="6"/>
  <c r="N124" i="6"/>
  <c r="O124" i="6"/>
  <c r="P124" i="6"/>
  <c r="Q124" i="6"/>
  <c r="R124" i="6"/>
  <c r="S124" i="6"/>
  <c r="T124" i="6"/>
  <c r="A125" i="6"/>
  <c r="B125" i="6"/>
  <c r="C125" i="6"/>
  <c r="D125" i="6"/>
  <c r="E125" i="6"/>
  <c r="F125" i="6"/>
  <c r="G125" i="6"/>
  <c r="H125" i="6"/>
  <c r="I125" i="6"/>
  <c r="J125" i="6"/>
  <c r="K125" i="6"/>
  <c r="L125" i="6"/>
  <c r="M125" i="6"/>
  <c r="N125" i="6"/>
  <c r="O125" i="6"/>
  <c r="P125" i="6"/>
  <c r="Q125" i="6"/>
  <c r="R125" i="6"/>
  <c r="S125" i="6"/>
  <c r="T125" i="6"/>
  <c r="A126" i="6"/>
  <c r="B126" i="6"/>
  <c r="C126" i="6"/>
  <c r="D126" i="6"/>
  <c r="E126" i="6"/>
  <c r="F126" i="6"/>
  <c r="G126" i="6"/>
  <c r="H126" i="6"/>
  <c r="I126" i="6"/>
  <c r="J126" i="6"/>
  <c r="K126" i="6"/>
  <c r="L126" i="6"/>
  <c r="M126" i="6"/>
  <c r="N126" i="6"/>
  <c r="O126" i="6"/>
  <c r="P126" i="6"/>
  <c r="Q126" i="6"/>
  <c r="R126" i="6"/>
  <c r="S126" i="6"/>
  <c r="T126" i="6"/>
  <c r="B127" i="6"/>
  <c r="C127" i="6"/>
  <c r="D127" i="6"/>
  <c r="E127" i="6"/>
  <c r="F127" i="6"/>
  <c r="G127" i="6"/>
  <c r="H127" i="6"/>
  <c r="I127" i="6"/>
  <c r="J127" i="6"/>
  <c r="K127" i="6"/>
  <c r="L127" i="6"/>
  <c r="M127" i="6"/>
  <c r="N127" i="6"/>
  <c r="O127" i="6"/>
  <c r="P127" i="6"/>
  <c r="Q127" i="6"/>
  <c r="R127" i="6"/>
  <c r="S127" i="6"/>
  <c r="T127" i="6"/>
  <c r="A128" i="6"/>
  <c r="B128" i="6"/>
  <c r="C128" i="6"/>
  <c r="D128" i="6"/>
  <c r="E128" i="6"/>
  <c r="F128" i="6"/>
  <c r="G128" i="6"/>
  <c r="H128" i="6"/>
  <c r="I128" i="6"/>
  <c r="J128" i="6"/>
  <c r="K128" i="6"/>
  <c r="L128" i="6"/>
  <c r="M128" i="6"/>
  <c r="N128" i="6"/>
  <c r="O128" i="6"/>
  <c r="P128" i="6"/>
  <c r="Q128" i="6"/>
  <c r="R128" i="6"/>
  <c r="S128" i="6"/>
  <c r="T128" i="6"/>
  <c r="A129" i="6"/>
  <c r="B129" i="6"/>
  <c r="C129" i="6"/>
  <c r="D129" i="6"/>
  <c r="E129" i="6"/>
  <c r="F129" i="6"/>
  <c r="G129" i="6"/>
  <c r="H129" i="6"/>
  <c r="I129" i="6"/>
  <c r="J129" i="6"/>
  <c r="K129" i="6"/>
  <c r="L129" i="6"/>
  <c r="M129" i="6"/>
  <c r="N129" i="6"/>
  <c r="O129" i="6"/>
  <c r="P129" i="6"/>
  <c r="Q129" i="6"/>
  <c r="R129" i="6"/>
  <c r="S129" i="6"/>
  <c r="T129" i="6"/>
  <c r="A130" i="6"/>
  <c r="B130" i="6"/>
  <c r="C130" i="6"/>
  <c r="D130" i="6"/>
  <c r="E130" i="6"/>
  <c r="F130" i="6"/>
  <c r="G130" i="6"/>
  <c r="H130" i="6"/>
  <c r="I130" i="6"/>
  <c r="J130" i="6"/>
  <c r="K130" i="6"/>
  <c r="L130" i="6"/>
  <c r="M130" i="6"/>
  <c r="N130" i="6"/>
  <c r="O130" i="6"/>
  <c r="P130" i="6"/>
  <c r="Q130" i="6"/>
  <c r="R130" i="6"/>
  <c r="S130" i="6"/>
  <c r="T130" i="6"/>
  <c r="A131" i="6"/>
  <c r="B131" i="6"/>
  <c r="C131" i="6"/>
  <c r="D131" i="6"/>
  <c r="E131" i="6"/>
  <c r="F131" i="6"/>
  <c r="G131" i="6"/>
  <c r="H131" i="6"/>
  <c r="I131" i="6"/>
  <c r="J131" i="6"/>
  <c r="K131" i="6"/>
  <c r="L131" i="6"/>
  <c r="M131" i="6"/>
  <c r="N131" i="6"/>
  <c r="O131" i="6"/>
  <c r="P131" i="6"/>
  <c r="Q131" i="6"/>
  <c r="R131" i="6"/>
  <c r="S131" i="6"/>
  <c r="T131" i="6"/>
  <c r="A132" i="6"/>
  <c r="B132" i="6"/>
  <c r="C132" i="6"/>
  <c r="D132" i="6"/>
  <c r="E132" i="6"/>
  <c r="F132" i="6"/>
  <c r="G132" i="6"/>
  <c r="H132" i="6"/>
  <c r="I132" i="6"/>
  <c r="J132" i="6"/>
  <c r="K132" i="6"/>
  <c r="L132" i="6"/>
  <c r="M132" i="6"/>
  <c r="N132" i="6"/>
  <c r="O132" i="6"/>
  <c r="P132" i="6"/>
  <c r="Q132" i="6"/>
  <c r="R132" i="6"/>
  <c r="S132" i="6"/>
  <c r="T132" i="6"/>
  <c r="A133" i="6"/>
  <c r="B133" i="6"/>
  <c r="C133" i="6"/>
  <c r="D133" i="6"/>
  <c r="E133" i="6"/>
  <c r="F133" i="6"/>
  <c r="G133" i="6"/>
  <c r="H133" i="6"/>
  <c r="I133" i="6"/>
  <c r="J133" i="6"/>
  <c r="K133" i="6"/>
  <c r="L133" i="6"/>
  <c r="M133" i="6"/>
  <c r="N133" i="6"/>
  <c r="O133" i="6"/>
  <c r="P133" i="6"/>
  <c r="Q133" i="6"/>
  <c r="R133" i="6"/>
  <c r="S133" i="6"/>
  <c r="T133" i="6"/>
  <c r="A134" i="6"/>
  <c r="B134" i="6"/>
  <c r="C134" i="6"/>
  <c r="D134" i="6"/>
  <c r="E134" i="6"/>
  <c r="F134" i="6"/>
  <c r="G134" i="6"/>
  <c r="H134" i="6"/>
  <c r="I134" i="6"/>
  <c r="J134" i="6"/>
  <c r="K134" i="6"/>
  <c r="L134" i="6"/>
  <c r="M134" i="6"/>
  <c r="N134" i="6"/>
  <c r="O134" i="6"/>
  <c r="P134" i="6"/>
  <c r="Q134" i="6"/>
  <c r="R134" i="6"/>
  <c r="S134" i="6"/>
  <c r="T134" i="6"/>
  <c r="A135" i="6"/>
  <c r="B135" i="6"/>
  <c r="C135" i="6"/>
  <c r="D135" i="6"/>
  <c r="E135" i="6"/>
  <c r="F135" i="6"/>
  <c r="G135" i="6"/>
  <c r="H135" i="6"/>
  <c r="I135" i="6"/>
  <c r="J135" i="6"/>
  <c r="K135" i="6"/>
  <c r="L135" i="6"/>
  <c r="M135" i="6"/>
  <c r="N135" i="6"/>
  <c r="O135" i="6"/>
  <c r="P135" i="6"/>
  <c r="Q135" i="6"/>
  <c r="R135" i="6"/>
  <c r="S135" i="6"/>
  <c r="T135" i="6"/>
  <c r="B136" i="6"/>
  <c r="C136" i="6"/>
  <c r="D136" i="6"/>
  <c r="E136" i="6"/>
  <c r="F136" i="6"/>
  <c r="G136" i="6"/>
  <c r="H136" i="6"/>
  <c r="I136" i="6"/>
  <c r="J136" i="6"/>
  <c r="K136" i="6"/>
  <c r="L136" i="6"/>
  <c r="M136" i="6"/>
  <c r="N136" i="6"/>
  <c r="O136" i="6"/>
  <c r="P136" i="6"/>
  <c r="Q136" i="6"/>
  <c r="R136" i="6"/>
  <c r="S136" i="6"/>
  <c r="T136" i="6"/>
  <c r="A137" i="6"/>
  <c r="B137" i="6"/>
  <c r="C137" i="6"/>
  <c r="D137" i="6"/>
  <c r="E137" i="6"/>
  <c r="F137" i="6"/>
  <c r="G137" i="6"/>
  <c r="H137" i="6"/>
  <c r="I137" i="6"/>
  <c r="J137" i="6"/>
  <c r="K137" i="6"/>
  <c r="L137" i="6"/>
  <c r="M137" i="6"/>
  <c r="N137" i="6"/>
  <c r="O137" i="6"/>
  <c r="P137" i="6"/>
  <c r="Q137" i="6"/>
  <c r="R137" i="6"/>
  <c r="S137" i="6"/>
  <c r="T137" i="6"/>
  <c r="A138" i="6"/>
  <c r="B138" i="6"/>
  <c r="C138" i="6"/>
  <c r="D138" i="6"/>
  <c r="E138" i="6"/>
  <c r="F138" i="6"/>
  <c r="G138" i="6"/>
  <c r="H138" i="6"/>
  <c r="I138" i="6"/>
  <c r="J138" i="6"/>
  <c r="K138" i="6"/>
  <c r="L138" i="6"/>
  <c r="M138" i="6"/>
  <c r="N138" i="6"/>
  <c r="O138" i="6"/>
  <c r="P138" i="6"/>
  <c r="Q138" i="6"/>
  <c r="R138" i="6"/>
  <c r="S138" i="6"/>
  <c r="T138" i="6"/>
  <c r="A139" i="6"/>
  <c r="B139" i="6"/>
  <c r="C139" i="6"/>
  <c r="D139" i="6"/>
  <c r="E139" i="6"/>
  <c r="F139" i="6"/>
  <c r="G139" i="6"/>
  <c r="H139" i="6"/>
  <c r="I139" i="6"/>
  <c r="J139" i="6"/>
  <c r="K139" i="6"/>
  <c r="L139" i="6"/>
  <c r="M139" i="6"/>
  <c r="N139" i="6"/>
  <c r="O139" i="6"/>
  <c r="P139" i="6"/>
  <c r="Q139" i="6"/>
  <c r="R139" i="6"/>
  <c r="S139" i="6"/>
  <c r="T139" i="6"/>
  <c r="A140" i="6"/>
  <c r="B140" i="6"/>
  <c r="C140" i="6"/>
  <c r="D140" i="6"/>
  <c r="E140" i="6"/>
  <c r="F140" i="6"/>
  <c r="G140" i="6"/>
  <c r="H140" i="6"/>
  <c r="I140" i="6"/>
  <c r="J140" i="6"/>
  <c r="K140" i="6"/>
  <c r="L140" i="6"/>
  <c r="M140" i="6"/>
  <c r="N140" i="6"/>
  <c r="O140" i="6"/>
  <c r="P140" i="6"/>
  <c r="Q140" i="6"/>
  <c r="R140" i="6"/>
  <c r="S140" i="6"/>
  <c r="T140" i="6"/>
  <c r="A141" i="6"/>
  <c r="B141" i="6"/>
  <c r="C141" i="6"/>
  <c r="D141" i="6"/>
  <c r="E141" i="6"/>
  <c r="F141" i="6"/>
  <c r="G141" i="6"/>
  <c r="H141" i="6"/>
  <c r="I141" i="6"/>
  <c r="J141" i="6"/>
  <c r="K141" i="6"/>
  <c r="L141" i="6"/>
  <c r="M141" i="6"/>
  <c r="N141" i="6"/>
  <c r="O141" i="6"/>
  <c r="P141" i="6"/>
  <c r="Q141" i="6"/>
  <c r="R141" i="6"/>
  <c r="S141" i="6"/>
  <c r="T141" i="6"/>
  <c r="A142" i="6"/>
  <c r="B142" i="6"/>
  <c r="C142" i="6"/>
  <c r="D142" i="6"/>
  <c r="E142" i="6"/>
  <c r="F142" i="6"/>
  <c r="G142" i="6"/>
  <c r="H142" i="6"/>
  <c r="I142" i="6"/>
  <c r="J142" i="6"/>
  <c r="K142" i="6"/>
  <c r="L142" i="6"/>
  <c r="M142" i="6"/>
  <c r="N142" i="6"/>
  <c r="O142" i="6"/>
  <c r="P142" i="6"/>
  <c r="Q142" i="6"/>
  <c r="R142" i="6"/>
  <c r="S142" i="6"/>
  <c r="T142" i="6"/>
  <c r="A143" i="6"/>
  <c r="B143" i="6"/>
  <c r="C143" i="6"/>
  <c r="D143" i="6"/>
  <c r="E143" i="6"/>
  <c r="F143" i="6"/>
  <c r="G143" i="6"/>
  <c r="H143" i="6"/>
  <c r="I143" i="6"/>
  <c r="J143" i="6"/>
  <c r="K143" i="6"/>
  <c r="L143" i="6"/>
  <c r="M143" i="6"/>
  <c r="N143" i="6"/>
  <c r="O143" i="6"/>
  <c r="P143" i="6"/>
  <c r="Q143" i="6"/>
  <c r="R143" i="6"/>
  <c r="S143" i="6"/>
  <c r="T143" i="6"/>
  <c r="A144" i="6"/>
  <c r="B144" i="6"/>
  <c r="C144" i="6"/>
  <c r="D144" i="6"/>
  <c r="E144" i="6"/>
  <c r="F144" i="6"/>
  <c r="G144" i="6"/>
  <c r="H144" i="6"/>
  <c r="I144" i="6"/>
  <c r="J144" i="6"/>
  <c r="K144" i="6"/>
  <c r="L144" i="6"/>
  <c r="M144" i="6"/>
  <c r="N144" i="6"/>
  <c r="O144" i="6"/>
  <c r="P144" i="6"/>
  <c r="Q144" i="6"/>
  <c r="R144" i="6"/>
  <c r="S144" i="6"/>
  <c r="T144" i="6"/>
  <c r="B145" i="6"/>
  <c r="C145" i="6"/>
  <c r="D145" i="6"/>
  <c r="E145" i="6"/>
  <c r="F145" i="6"/>
  <c r="G145" i="6"/>
  <c r="H145" i="6"/>
  <c r="I145" i="6"/>
  <c r="J145" i="6"/>
  <c r="K145" i="6"/>
  <c r="L145" i="6"/>
  <c r="M145" i="6"/>
  <c r="N145" i="6"/>
  <c r="O145" i="6"/>
  <c r="P145" i="6"/>
  <c r="Q145" i="6"/>
  <c r="R145" i="6"/>
  <c r="S145" i="6"/>
  <c r="T145" i="6"/>
  <c r="B146" i="6"/>
  <c r="C146" i="6"/>
  <c r="D146" i="6"/>
  <c r="E146" i="6"/>
  <c r="F146" i="6"/>
  <c r="G146" i="6"/>
  <c r="H146" i="6"/>
  <c r="I146" i="6"/>
  <c r="J146" i="6"/>
  <c r="K146" i="6"/>
  <c r="L146" i="6"/>
  <c r="M146" i="6"/>
  <c r="N146" i="6"/>
  <c r="O146" i="6"/>
  <c r="P146" i="6"/>
  <c r="Q146" i="6"/>
  <c r="R146" i="6"/>
  <c r="S146" i="6"/>
  <c r="T146" i="6"/>
  <c r="A147" i="6"/>
  <c r="B147" i="6"/>
  <c r="C147" i="6"/>
  <c r="E147" i="6"/>
  <c r="F147" i="6"/>
  <c r="G147" i="6"/>
  <c r="H147" i="6"/>
  <c r="I147" i="6"/>
  <c r="J147" i="6"/>
  <c r="K147" i="6"/>
  <c r="L147" i="6"/>
  <c r="M147" i="6"/>
  <c r="N147" i="6"/>
  <c r="O147" i="6"/>
  <c r="P147" i="6"/>
  <c r="Q147" i="6"/>
  <c r="R147" i="6"/>
  <c r="S147" i="6"/>
  <c r="T147" i="6"/>
  <c r="A148" i="6"/>
  <c r="C148" i="6"/>
  <c r="E148" i="6"/>
  <c r="F148" i="6"/>
  <c r="G148" i="6"/>
  <c r="H148" i="6"/>
  <c r="I148" i="6"/>
  <c r="J148" i="6"/>
  <c r="K148" i="6"/>
  <c r="L148" i="6"/>
  <c r="M148" i="6"/>
  <c r="N148" i="6"/>
  <c r="O148" i="6"/>
  <c r="P148" i="6"/>
  <c r="Q148" i="6"/>
  <c r="R148" i="6"/>
  <c r="S148" i="6"/>
  <c r="T148" i="6"/>
  <c r="A149" i="6"/>
  <c r="B149" i="6"/>
  <c r="C149" i="6"/>
  <c r="D149" i="6"/>
  <c r="E149" i="6"/>
  <c r="F149" i="6"/>
  <c r="G149" i="6"/>
  <c r="H149" i="6"/>
  <c r="I149" i="6"/>
  <c r="J149" i="6"/>
  <c r="K149" i="6"/>
  <c r="L149" i="6"/>
  <c r="M149" i="6"/>
  <c r="N149" i="6"/>
  <c r="O149" i="6"/>
  <c r="P149" i="6"/>
  <c r="Q149" i="6"/>
  <c r="R149" i="6"/>
  <c r="S149" i="6"/>
  <c r="T149" i="6"/>
  <c r="B150" i="6"/>
  <c r="C150" i="6"/>
  <c r="D150" i="6"/>
  <c r="E150" i="6"/>
  <c r="F150" i="6"/>
  <c r="G150" i="6"/>
  <c r="H150" i="6"/>
  <c r="I150" i="6"/>
  <c r="J150" i="6"/>
  <c r="K150" i="6"/>
  <c r="L150" i="6"/>
  <c r="M150" i="6"/>
  <c r="N150" i="6"/>
  <c r="O150" i="6"/>
  <c r="P150" i="6"/>
  <c r="Q150" i="6"/>
  <c r="R150" i="6"/>
  <c r="S150" i="6"/>
  <c r="T150" i="6"/>
  <c r="B151" i="6"/>
  <c r="C151" i="6"/>
  <c r="D151" i="6"/>
  <c r="E151" i="6"/>
  <c r="F151" i="6"/>
  <c r="G151" i="6"/>
  <c r="H151" i="6"/>
  <c r="I151" i="6"/>
  <c r="J151" i="6"/>
  <c r="K151" i="6"/>
  <c r="L151" i="6"/>
  <c r="M151" i="6"/>
  <c r="N151" i="6"/>
  <c r="O151" i="6"/>
  <c r="P151" i="6"/>
  <c r="Q151" i="6"/>
  <c r="R151" i="6"/>
  <c r="S151" i="6"/>
  <c r="T151" i="6"/>
  <c r="A152" i="6"/>
  <c r="B152" i="6"/>
  <c r="C152" i="6"/>
  <c r="E152" i="6"/>
  <c r="F152" i="6"/>
  <c r="G152" i="6"/>
  <c r="H152" i="6"/>
  <c r="I152" i="6"/>
  <c r="J152" i="6"/>
  <c r="K152" i="6"/>
  <c r="L152" i="6"/>
  <c r="M152" i="6"/>
  <c r="N152" i="6"/>
  <c r="O152" i="6"/>
  <c r="P152" i="6"/>
  <c r="Q152" i="6"/>
  <c r="R152" i="6"/>
  <c r="S152" i="6"/>
  <c r="T152" i="6"/>
  <c r="A153" i="6"/>
  <c r="C153" i="6"/>
  <c r="E153" i="6"/>
  <c r="F153" i="6"/>
  <c r="G153" i="6"/>
  <c r="H153" i="6"/>
  <c r="I153" i="6"/>
  <c r="J153" i="6"/>
  <c r="K153" i="6"/>
  <c r="L153" i="6"/>
  <c r="M153" i="6"/>
  <c r="N153" i="6"/>
  <c r="O153" i="6"/>
  <c r="P153" i="6"/>
  <c r="Q153" i="6"/>
  <c r="R153" i="6"/>
  <c r="S153" i="6"/>
  <c r="T153" i="6"/>
  <c r="A154" i="6"/>
  <c r="B154" i="6"/>
  <c r="C154" i="6"/>
  <c r="D154" i="6"/>
  <c r="E154" i="6"/>
  <c r="F154" i="6"/>
  <c r="G154" i="6"/>
  <c r="H154" i="6"/>
  <c r="I154" i="6"/>
  <c r="J154" i="6"/>
  <c r="K154" i="6"/>
  <c r="L154" i="6"/>
  <c r="M154" i="6"/>
  <c r="N154" i="6"/>
  <c r="O154" i="6"/>
  <c r="P154" i="6"/>
  <c r="Q154" i="6"/>
  <c r="R154" i="6"/>
  <c r="S154" i="6"/>
  <c r="T154" i="6"/>
  <c r="A155" i="6"/>
  <c r="B155" i="6"/>
  <c r="C155" i="6"/>
  <c r="D155" i="6"/>
  <c r="E155" i="6"/>
  <c r="F155" i="6"/>
  <c r="G155" i="6"/>
  <c r="H155" i="6"/>
  <c r="I155" i="6"/>
  <c r="J155" i="6"/>
  <c r="K155" i="6"/>
  <c r="L155" i="6"/>
  <c r="M155" i="6"/>
  <c r="N155" i="6"/>
  <c r="O155" i="6"/>
  <c r="P155" i="6"/>
  <c r="Q155" i="6"/>
  <c r="R155" i="6"/>
  <c r="S155" i="6"/>
  <c r="T155" i="6"/>
  <c r="B156" i="6"/>
  <c r="C156" i="6"/>
  <c r="D156" i="6"/>
  <c r="E156" i="6"/>
  <c r="F156" i="6"/>
  <c r="G156" i="6"/>
  <c r="H156" i="6"/>
  <c r="I156" i="6"/>
  <c r="J156" i="6"/>
  <c r="K156" i="6"/>
  <c r="L156" i="6"/>
  <c r="M156" i="6"/>
  <c r="N156" i="6"/>
  <c r="O156" i="6"/>
  <c r="P156" i="6"/>
  <c r="Q156" i="6"/>
  <c r="R156" i="6"/>
  <c r="S156" i="6"/>
  <c r="T156" i="6"/>
  <c r="B157" i="6"/>
  <c r="C157" i="6"/>
  <c r="D157" i="6"/>
  <c r="E157" i="6"/>
  <c r="F157" i="6"/>
  <c r="G157" i="6"/>
  <c r="H157" i="6"/>
  <c r="I157" i="6"/>
  <c r="J157" i="6"/>
  <c r="K157" i="6"/>
  <c r="L157" i="6"/>
  <c r="M157" i="6"/>
  <c r="N157" i="6"/>
  <c r="O157" i="6"/>
  <c r="P157" i="6"/>
  <c r="Q157" i="6"/>
  <c r="R157" i="6"/>
  <c r="S157" i="6"/>
  <c r="T157" i="6"/>
  <c r="B158" i="6"/>
  <c r="C158" i="6"/>
  <c r="D158" i="6"/>
  <c r="E158" i="6"/>
  <c r="F158" i="6"/>
  <c r="G158" i="6"/>
  <c r="H158" i="6"/>
  <c r="I158" i="6"/>
  <c r="J158" i="6"/>
  <c r="K158" i="6"/>
  <c r="L158" i="6"/>
  <c r="M158" i="6"/>
  <c r="N158" i="6"/>
  <c r="O158" i="6"/>
  <c r="P158" i="6"/>
  <c r="Q158" i="6"/>
  <c r="R158" i="6"/>
  <c r="S158" i="6"/>
  <c r="T158" i="6"/>
  <c r="A159" i="6"/>
  <c r="B159" i="6"/>
  <c r="C159" i="6"/>
  <c r="E159" i="6"/>
  <c r="F159" i="6"/>
  <c r="G159" i="6"/>
  <c r="H159" i="6"/>
  <c r="I159" i="6"/>
  <c r="J159" i="6"/>
  <c r="K159" i="6"/>
  <c r="L159" i="6"/>
  <c r="M159" i="6"/>
  <c r="N159" i="6"/>
  <c r="O159" i="6"/>
  <c r="P159" i="6"/>
  <c r="Q159" i="6"/>
  <c r="R159" i="6"/>
  <c r="S159" i="6"/>
  <c r="T159" i="6"/>
  <c r="A160" i="6"/>
  <c r="C160" i="6"/>
  <c r="E160" i="6"/>
  <c r="F160" i="6"/>
  <c r="G160" i="6"/>
  <c r="H160" i="6"/>
  <c r="I160" i="6"/>
  <c r="J160" i="6"/>
  <c r="K160" i="6"/>
  <c r="L160" i="6"/>
  <c r="M160" i="6"/>
  <c r="N160" i="6"/>
  <c r="O160" i="6"/>
  <c r="P160" i="6"/>
  <c r="Q160" i="6"/>
  <c r="R160" i="6"/>
  <c r="S160" i="6"/>
  <c r="T160" i="6"/>
  <c r="A161" i="6"/>
  <c r="B161" i="6"/>
  <c r="C161" i="6"/>
  <c r="D161" i="6"/>
  <c r="E161" i="6"/>
  <c r="F161" i="6"/>
  <c r="G161" i="6"/>
  <c r="H161" i="6"/>
  <c r="I161" i="6"/>
  <c r="J161" i="6"/>
  <c r="K161" i="6"/>
  <c r="L161" i="6"/>
  <c r="M161" i="6"/>
  <c r="N161" i="6"/>
  <c r="O161" i="6"/>
  <c r="P161" i="6"/>
  <c r="Q161" i="6"/>
  <c r="R161" i="6"/>
  <c r="S161" i="6"/>
  <c r="T161" i="6"/>
  <c r="A162" i="6"/>
  <c r="B162" i="6"/>
  <c r="C162" i="6"/>
  <c r="D162" i="6"/>
  <c r="E162" i="6"/>
  <c r="F162" i="6"/>
  <c r="G162" i="6"/>
  <c r="H162" i="6"/>
  <c r="I162" i="6"/>
  <c r="J162" i="6"/>
  <c r="K162" i="6"/>
  <c r="L162" i="6"/>
  <c r="M162" i="6"/>
  <c r="N162" i="6"/>
  <c r="O162" i="6"/>
  <c r="P162" i="6"/>
  <c r="Q162" i="6"/>
  <c r="R162" i="6"/>
  <c r="S162" i="6"/>
  <c r="T162" i="6"/>
  <c r="A163" i="6"/>
  <c r="B163" i="6"/>
  <c r="C163" i="6"/>
  <c r="D163" i="6"/>
  <c r="E163" i="6"/>
  <c r="F163" i="6"/>
  <c r="G163" i="6"/>
  <c r="H163" i="6"/>
  <c r="I163" i="6"/>
  <c r="J163" i="6"/>
  <c r="K163" i="6"/>
  <c r="L163" i="6"/>
  <c r="M163" i="6"/>
  <c r="N163" i="6"/>
  <c r="O163" i="6"/>
  <c r="P163" i="6"/>
  <c r="Q163" i="6"/>
  <c r="R163" i="6"/>
  <c r="S163" i="6"/>
  <c r="T163" i="6"/>
  <c r="A164" i="6"/>
  <c r="B164" i="6"/>
  <c r="C164" i="6"/>
  <c r="D164" i="6"/>
  <c r="E164" i="6"/>
  <c r="F164" i="6"/>
  <c r="G164" i="6"/>
  <c r="H164" i="6"/>
  <c r="I164" i="6"/>
  <c r="J164" i="6"/>
  <c r="K164" i="6"/>
  <c r="L164" i="6"/>
  <c r="M164" i="6"/>
  <c r="N164" i="6"/>
  <c r="O164" i="6"/>
  <c r="P164" i="6"/>
  <c r="Q164" i="6"/>
  <c r="R164" i="6"/>
  <c r="S164" i="6"/>
  <c r="T164" i="6"/>
  <c r="A165" i="6"/>
  <c r="B165" i="6"/>
  <c r="C165" i="6"/>
  <c r="D165" i="6"/>
  <c r="E165" i="6"/>
  <c r="F165" i="6"/>
  <c r="G165" i="6"/>
  <c r="H165" i="6"/>
  <c r="I165" i="6"/>
  <c r="J165" i="6"/>
  <c r="K165" i="6"/>
  <c r="L165" i="6"/>
  <c r="M165" i="6"/>
  <c r="N165" i="6"/>
  <c r="O165" i="6"/>
  <c r="P165" i="6"/>
  <c r="Q165" i="6"/>
  <c r="R165" i="6"/>
  <c r="S165" i="6"/>
  <c r="T165" i="6"/>
  <c r="A166" i="6"/>
  <c r="B166" i="6"/>
  <c r="C166" i="6"/>
  <c r="D166" i="6"/>
  <c r="E166" i="6"/>
  <c r="F166" i="6"/>
  <c r="G166" i="6"/>
  <c r="H166" i="6"/>
  <c r="I166" i="6"/>
  <c r="J166" i="6"/>
  <c r="K166" i="6"/>
  <c r="L166" i="6"/>
  <c r="M166" i="6"/>
  <c r="N166" i="6"/>
  <c r="O166" i="6"/>
  <c r="P166" i="6"/>
  <c r="Q166" i="6"/>
  <c r="R166" i="6"/>
  <c r="S166" i="6"/>
  <c r="T166" i="6"/>
  <c r="A167" i="6"/>
  <c r="B167" i="6"/>
  <c r="C167" i="6"/>
  <c r="D167" i="6"/>
  <c r="E167" i="6"/>
  <c r="F167" i="6"/>
  <c r="G167" i="6"/>
  <c r="H167" i="6"/>
  <c r="I167" i="6"/>
  <c r="J167" i="6"/>
  <c r="K167" i="6"/>
  <c r="L167" i="6"/>
  <c r="M167" i="6"/>
  <c r="N167" i="6"/>
  <c r="O167" i="6"/>
  <c r="P167" i="6"/>
  <c r="Q167" i="6"/>
  <c r="R167" i="6"/>
  <c r="S167" i="6"/>
  <c r="T167" i="6"/>
  <c r="A168" i="6"/>
  <c r="B168" i="6"/>
  <c r="C168" i="6"/>
  <c r="D168" i="6"/>
  <c r="E168" i="6"/>
  <c r="F168" i="6"/>
  <c r="G168" i="6"/>
  <c r="H168" i="6"/>
  <c r="I168" i="6"/>
  <c r="J168" i="6"/>
  <c r="K168" i="6"/>
  <c r="L168" i="6"/>
  <c r="M168" i="6"/>
  <c r="N168" i="6"/>
  <c r="O168" i="6"/>
  <c r="P168" i="6"/>
  <c r="Q168" i="6"/>
  <c r="R168" i="6"/>
  <c r="S168" i="6"/>
  <c r="T168" i="6"/>
  <c r="A169" i="6"/>
  <c r="B169" i="6"/>
  <c r="C169" i="6"/>
  <c r="D169" i="6"/>
  <c r="E169" i="6"/>
  <c r="F169" i="6"/>
  <c r="G169" i="6"/>
  <c r="H169" i="6"/>
  <c r="I169" i="6"/>
  <c r="J169" i="6"/>
  <c r="K169" i="6"/>
  <c r="L169" i="6"/>
  <c r="M169" i="6"/>
  <c r="N169" i="6"/>
  <c r="O169" i="6"/>
  <c r="P169" i="6"/>
  <c r="Q169" i="6"/>
  <c r="R169" i="6"/>
  <c r="S169" i="6"/>
  <c r="T169" i="6"/>
  <c r="A170" i="6"/>
  <c r="B170" i="6"/>
  <c r="C170" i="6"/>
  <c r="D170" i="6"/>
  <c r="E170" i="6"/>
  <c r="F170" i="6"/>
  <c r="G170" i="6"/>
  <c r="H170" i="6"/>
  <c r="I170" i="6"/>
  <c r="J170" i="6"/>
  <c r="K170" i="6"/>
  <c r="L170" i="6"/>
  <c r="M170" i="6"/>
  <c r="N170" i="6"/>
  <c r="O170" i="6"/>
  <c r="P170" i="6"/>
  <c r="Q170" i="6"/>
  <c r="R170" i="6"/>
  <c r="S170" i="6"/>
  <c r="T170" i="6"/>
  <c r="A171" i="6"/>
  <c r="B171" i="6"/>
  <c r="C171" i="6"/>
  <c r="D171" i="6"/>
  <c r="E171" i="6"/>
  <c r="F171" i="6"/>
  <c r="G171" i="6"/>
  <c r="H171" i="6"/>
  <c r="I171" i="6"/>
  <c r="J171" i="6"/>
  <c r="K171" i="6"/>
  <c r="L171" i="6"/>
  <c r="M171" i="6"/>
  <c r="N171" i="6"/>
  <c r="O171" i="6"/>
  <c r="P171" i="6"/>
  <c r="Q171" i="6"/>
  <c r="R171" i="6"/>
  <c r="S171" i="6"/>
  <c r="T171" i="6"/>
  <c r="A172" i="6"/>
  <c r="B172" i="6"/>
  <c r="C172" i="6"/>
  <c r="D172" i="6"/>
  <c r="E172" i="6"/>
  <c r="F172" i="6"/>
  <c r="G172" i="6"/>
  <c r="H172" i="6"/>
  <c r="I172" i="6"/>
  <c r="J172" i="6"/>
  <c r="K172" i="6"/>
  <c r="L172" i="6"/>
  <c r="M172" i="6"/>
  <c r="N172" i="6"/>
  <c r="O172" i="6"/>
  <c r="P172" i="6"/>
  <c r="Q172" i="6"/>
  <c r="R172" i="6"/>
  <c r="S172" i="6"/>
  <c r="T172" i="6"/>
  <c r="A173" i="6"/>
  <c r="B173" i="6"/>
  <c r="C173" i="6"/>
  <c r="D173" i="6"/>
  <c r="E173" i="6"/>
  <c r="F173" i="6"/>
  <c r="G173" i="6"/>
  <c r="H173" i="6"/>
  <c r="I173" i="6"/>
  <c r="J173" i="6"/>
  <c r="K173" i="6"/>
  <c r="L173" i="6"/>
  <c r="M173" i="6"/>
  <c r="N173" i="6"/>
  <c r="O173" i="6"/>
  <c r="P173" i="6"/>
  <c r="Q173" i="6"/>
  <c r="R173" i="6"/>
  <c r="S173" i="6"/>
  <c r="T173" i="6"/>
  <c r="A174" i="6"/>
  <c r="B174" i="6"/>
  <c r="C174" i="6"/>
  <c r="D174" i="6"/>
  <c r="E174" i="6"/>
  <c r="F174" i="6"/>
  <c r="G174" i="6"/>
  <c r="H174" i="6"/>
  <c r="I174" i="6"/>
  <c r="J174" i="6"/>
  <c r="K174" i="6"/>
  <c r="L174" i="6"/>
  <c r="M174" i="6"/>
  <c r="N174" i="6"/>
  <c r="O174" i="6"/>
  <c r="P174" i="6"/>
  <c r="Q174" i="6"/>
  <c r="R174" i="6"/>
  <c r="S174" i="6"/>
  <c r="T174" i="6"/>
  <c r="A175" i="6"/>
  <c r="B175" i="6"/>
  <c r="C175" i="6"/>
  <c r="D175" i="6"/>
  <c r="E175" i="6"/>
  <c r="F175" i="6"/>
  <c r="G175" i="6"/>
  <c r="H175" i="6"/>
  <c r="I175" i="6"/>
  <c r="J175" i="6"/>
  <c r="K175" i="6"/>
  <c r="L175" i="6"/>
  <c r="M175" i="6"/>
  <c r="N175" i="6"/>
  <c r="O175" i="6"/>
  <c r="P175" i="6"/>
  <c r="Q175" i="6"/>
  <c r="R175" i="6"/>
  <c r="S175" i="6"/>
  <c r="T175" i="6"/>
  <c r="A176" i="6"/>
  <c r="B176" i="6"/>
  <c r="C176" i="6"/>
  <c r="D176" i="6"/>
  <c r="E176" i="6"/>
  <c r="F176" i="6"/>
  <c r="G176" i="6"/>
  <c r="H176" i="6"/>
  <c r="I176" i="6"/>
  <c r="J176" i="6"/>
  <c r="K176" i="6"/>
  <c r="L176" i="6"/>
  <c r="M176" i="6"/>
  <c r="N176" i="6"/>
  <c r="O176" i="6"/>
  <c r="P176" i="6"/>
  <c r="Q176" i="6"/>
  <c r="R176" i="6"/>
  <c r="S176" i="6"/>
  <c r="T176" i="6"/>
  <c r="A177" i="6"/>
  <c r="B177" i="6"/>
  <c r="C177" i="6"/>
  <c r="D177" i="6"/>
  <c r="E177" i="6"/>
  <c r="F177" i="6"/>
  <c r="G177" i="6"/>
  <c r="H177" i="6"/>
  <c r="I177" i="6"/>
  <c r="J177" i="6"/>
  <c r="K177" i="6"/>
  <c r="L177" i="6"/>
  <c r="M177" i="6"/>
  <c r="N177" i="6"/>
  <c r="O177" i="6"/>
  <c r="P177" i="6"/>
  <c r="Q177" i="6"/>
  <c r="R177" i="6"/>
  <c r="S177" i="6"/>
  <c r="T177" i="6"/>
  <c r="A178" i="6"/>
  <c r="B178" i="6"/>
  <c r="C178" i="6"/>
  <c r="D178" i="6"/>
  <c r="E178" i="6"/>
  <c r="F178" i="6"/>
  <c r="G178" i="6"/>
  <c r="H178" i="6"/>
  <c r="I178" i="6"/>
  <c r="J178" i="6"/>
  <c r="K178" i="6"/>
  <c r="L178" i="6"/>
  <c r="M178" i="6"/>
  <c r="N178" i="6"/>
  <c r="O178" i="6"/>
  <c r="P178" i="6"/>
  <c r="Q178" i="6"/>
  <c r="R178" i="6"/>
  <c r="S178" i="6"/>
  <c r="T178" i="6"/>
  <c r="A179" i="6"/>
  <c r="B179" i="6"/>
  <c r="C179" i="6"/>
  <c r="D179" i="6"/>
  <c r="E179" i="6"/>
  <c r="F179" i="6"/>
  <c r="G179" i="6"/>
  <c r="H179" i="6"/>
  <c r="I179" i="6"/>
  <c r="J179" i="6"/>
  <c r="K179" i="6"/>
  <c r="L179" i="6"/>
  <c r="M179" i="6"/>
  <c r="N179" i="6"/>
  <c r="O179" i="6"/>
  <c r="P179" i="6"/>
  <c r="Q179" i="6"/>
  <c r="R179" i="6"/>
  <c r="S179" i="6"/>
  <c r="T179" i="6"/>
  <c r="A180" i="6"/>
  <c r="B180" i="6"/>
  <c r="C180" i="6"/>
  <c r="D180" i="6"/>
  <c r="E180" i="6"/>
  <c r="F180" i="6"/>
  <c r="G180" i="6"/>
  <c r="H180" i="6"/>
  <c r="I180" i="6"/>
  <c r="J180" i="6"/>
  <c r="K180" i="6"/>
  <c r="L180" i="6"/>
  <c r="M180" i="6"/>
  <c r="N180" i="6"/>
  <c r="O180" i="6"/>
  <c r="P180" i="6"/>
  <c r="Q180" i="6"/>
  <c r="R180" i="6"/>
  <c r="S180" i="6"/>
  <c r="T180" i="6"/>
  <c r="A181" i="6"/>
  <c r="B181" i="6"/>
  <c r="C181" i="6"/>
  <c r="D181" i="6"/>
  <c r="E181" i="6"/>
  <c r="F181" i="6"/>
  <c r="G181" i="6"/>
  <c r="H181" i="6"/>
  <c r="I181" i="6"/>
  <c r="J181" i="6"/>
  <c r="K181" i="6"/>
  <c r="L181" i="6"/>
  <c r="M181" i="6"/>
  <c r="N181" i="6"/>
  <c r="O181" i="6"/>
  <c r="P181" i="6"/>
  <c r="Q181" i="6"/>
  <c r="R181" i="6"/>
  <c r="S181" i="6"/>
  <c r="T181" i="6"/>
  <c r="A182" i="6"/>
  <c r="B182" i="6"/>
  <c r="C182" i="6"/>
  <c r="D182" i="6"/>
  <c r="E182" i="6"/>
  <c r="F182" i="6"/>
  <c r="G182" i="6"/>
  <c r="H182" i="6"/>
  <c r="I182" i="6"/>
  <c r="J182" i="6"/>
  <c r="K182" i="6"/>
  <c r="L182" i="6"/>
  <c r="M182" i="6"/>
  <c r="N182" i="6"/>
  <c r="O182" i="6"/>
  <c r="P182" i="6"/>
  <c r="Q182" i="6"/>
  <c r="R182" i="6"/>
  <c r="S182" i="6"/>
  <c r="T182" i="6"/>
  <c r="A183" i="6"/>
  <c r="B183" i="6"/>
  <c r="C183" i="6"/>
  <c r="D183" i="6"/>
  <c r="E183" i="6"/>
  <c r="F183" i="6"/>
  <c r="G183" i="6"/>
  <c r="H183" i="6"/>
  <c r="I183" i="6"/>
  <c r="J183" i="6"/>
  <c r="K183" i="6"/>
  <c r="L183" i="6"/>
  <c r="M183" i="6"/>
  <c r="N183" i="6"/>
  <c r="O183" i="6"/>
  <c r="P183" i="6"/>
  <c r="Q183" i="6"/>
  <c r="R183" i="6"/>
  <c r="S183" i="6"/>
  <c r="T183" i="6"/>
  <c r="A184" i="6"/>
  <c r="B184" i="6"/>
  <c r="C184" i="6"/>
  <c r="D184" i="6"/>
  <c r="E184" i="6"/>
  <c r="F184" i="6"/>
  <c r="G184" i="6"/>
  <c r="H184" i="6"/>
  <c r="I184" i="6"/>
  <c r="J184" i="6"/>
  <c r="K184" i="6"/>
  <c r="L184" i="6"/>
  <c r="M184" i="6"/>
  <c r="N184" i="6"/>
  <c r="O184" i="6"/>
  <c r="P184" i="6"/>
  <c r="Q184" i="6"/>
  <c r="R184" i="6"/>
  <c r="S184" i="6"/>
  <c r="T184" i="6"/>
  <c r="A185" i="6"/>
  <c r="B185" i="6"/>
  <c r="C185" i="6"/>
  <c r="D185" i="6"/>
  <c r="E185" i="6"/>
  <c r="F185" i="6"/>
  <c r="G185" i="6"/>
  <c r="H185" i="6"/>
  <c r="I185" i="6"/>
  <c r="J185" i="6"/>
  <c r="K185" i="6"/>
  <c r="L185" i="6"/>
  <c r="M185" i="6"/>
  <c r="N185" i="6"/>
  <c r="O185" i="6"/>
  <c r="P185" i="6"/>
  <c r="Q185" i="6"/>
  <c r="R185" i="6"/>
  <c r="S185" i="6"/>
  <c r="T185" i="6"/>
  <c r="A186" i="6"/>
  <c r="B186" i="6"/>
  <c r="C186" i="6"/>
  <c r="D186" i="6"/>
  <c r="E186" i="6"/>
  <c r="F186" i="6"/>
  <c r="G186" i="6"/>
  <c r="H186" i="6"/>
  <c r="I186" i="6"/>
  <c r="J186" i="6"/>
  <c r="K186" i="6"/>
  <c r="L186" i="6"/>
  <c r="M186" i="6"/>
  <c r="N186" i="6"/>
  <c r="O186" i="6"/>
  <c r="P186" i="6"/>
  <c r="Q186" i="6"/>
  <c r="R186" i="6"/>
  <c r="S186" i="6"/>
  <c r="T186" i="6"/>
  <c r="A187" i="6"/>
  <c r="B187" i="6"/>
  <c r="C187" i="6"/>
  <c r="D187" i="6"/>
  <c r="E187" i="6"/>
  <c r="F187" i="6"/>
  <c r="G187" i="6"/>
  <c r="H187" i="6"/>
  <c r="I187" i="6"/>
  <c r="J187" i="6"/>
  <c r="K187" i="6"/>
  <c r="L187" i="6"/>
  <c r="M187" i="6"/>
  <c r="N187" i="6"/>
  <c r="O187" i="6"/>
  <c r="P187" i="6"/>
  <c r="Q187" i="6"/>
  <c r="R187" i="6"/>
  <c r="S187" i="6"/>
  <c r="T187" i="6"/>
  <c r="A188" i="6"/>
  <c r="B188" i="6"/>
  <c r="C188" i="6"/>
  <c r="D188" i="6"/>
  <c r="E188" i="6"/>
  <c r="F188" i="6"/>
  <c r="G188" i="6"/>
  <c r="H188" i="6"/>
  <c r="I188" i="6"/>
  <c r="J188" i="6"/>
  <c r="K188" i="6"/>
  <c r="L188" i="6"/>
  <c r="M188" i="6"/>
  <c r="N188" i="6"/>
  <c r="O188" i="6"/>
  <c r="P188" i="6"/>
  <c r="Q188" i="6"/>
  <c r="R188" i="6"/>
  <c r="S188" i="6"/>
  <c r="T188" i="6"/>
  <c r="A189" i="6"/>
  <c r="B189" i="6"/>
  <c r="C189" i="6"/>
  <c r="D189" i="6"/>
  <c r="E189" i="6"/>
  <c r="F189" i="6"/>
  <c r="G189" i="6"/>
  <c r="H189" i="6"/>
  <c r="I189" i="6"/>
  <c r="J189" i="6"/>
  <c r="K189" i="6"/>
  <c r="L189" i="6"/>
  <c r="M189" i="6"/>
  <c r="N189" i="6"/>
  <c r="O189" i="6"/>
  <c r="P189" i="6"/>
  <c r="Q189" i="6"/>
  <c r="R189" i="6"/>
  <c r="S189" i="6"/>
  <c r="T189" i="6"/>
  <c r="A190" i="6"/>
  <c r="B190" i="6"/>
  <c r="C190" i="6"/>
  <c r="D190" i="6"/>
  <c r="E190" i="6"/>
  <c r="F190" i="6"/>
  <c r="G190" i="6"/>
  <c r="H190" i="6"/>
  <c r="I190" i="6"/>
  <c r="J190" i="6"/>
  <c r="K190" i="6"/>
  <c r="L190" i="6"/>
  <c r="M190" i="6"/>
  <c r="N190" i="6"/>
  <c r="O190" i="6"/>
  <c r="P190" i="6"/>
  <c r="Q190" i="6"/>
  <c r="R190" i="6"/>
  <c r="S190" i="6"/>
  <c r="T190" i="6"/>
  <c r="A191" i="6"/>
  <c r="B191" i="6"/>
  <c r="C191" i="6"/>
  <c r="D191" i="6"/>
  <c r="E191" i="6"/>
  <c r="F191" i="6"/>
  <c r="G191" i="6"/>
  <c r="H191" i="6"/>
  <c r="I191" i="6"/>
  <c r="J191" i="6"/>
  <c r="K191" i="6"/>
  <c r="L191" i="6"/>
  <c r="M191" i="6"/>
  <c r="N191" i="6"/>
  <c r="O191" i="6"/>
  <c r="P191" i="6"/>
  <c r="Q191" i="6"/>
  <c r="R191" i="6"/>
  <c r="S191" i="6"/>
  <c r="T191" i="6"/>
  <c r="A192" i="6"/>
  <c r="B192" i="6"/>
  <c r="C192" i="6"/>
  <c r="D192" i="6"/>
  <c r="E192" i="6"/>
  <c r="F192" i="6"/>
  <c r="G192" i="6"/>
  <c r="H192" i="6"/>
  <c r="I192" i="6"/>
  <c r="J192" i="6"/>
  <c r="K192" i="6"/>
  <c r="L192" i="6"/>
  <c r="M192" i="6"/>
  <c r="N192" i="6"/>
  <c r="O192" i="6"/>
  <c r="P192" i="6"/>
  <c r="Q192" i="6"/>
  <c r="R192" i="6"/>
  <c r="S192" i="6"/>
  <c r="T192" i="6"/>
  <c r="A193" i="6"/>
  <c r="B193" i="6"/>
  <c r="C193" i="6"/>
  <c r="D193" i="6"/>
  <c r="E193" i="6"/>
  <c r="F193" i="6"/>
  <c r="G193" i="6"/>
  <c r="H193" i="6"/>
  <c r="I193" i="6"/>
  <c r="J193" i="6"/>
  <c r="K193" i="6"/>
  <c r="L193" i="6"/>
  <c r="M193" i="6"/>
  <c r="N193" i="6"/>
  <c r="O193" i="6"/>
  <c r="P193" i="6"/>
  <c r="Q193" i="6"/>
  <c r="R193" i="6"/>
  <c r="S193" i="6"/>
  <c r="T193" i="6"/>
  <c r="A194" i="6"/>
  <c r="B194" i="6"/>
  <c r="C194" i="6"/>
  <c r="D194" i="6"/>
  <c r="E194" i="6"/>
  <c r="F194" i="6"/>
  <c r="G194" i="6"/>
  <c r="H194" i="6"/>
  <c r="I194" i="6"/>
  <c r="J194" i="6"/>
  <c r="K194" i="6"/>
  <c r="L194" i="6"/>
  <c r="M194" i="6"/>
  <c r="N194" i="6"/>
  <c r="O194" i="6"/>
  <c r="P194" i="6"/>
  <c r="Q194" i="6"/>
  <c r="R194" i="6"/>
  <c r="S194" i="6"/>
  <c r="T194" i="6"/>
  <c r="A195" i="6"/>
  <c r="B195" i="6"/>
  <c r="C195" i="6"/>
  <c r="D195" i="6"/>
  <c r="E195" i="6"/>
  <c r="F195" i="6"/>
  <c r="G195" i="6"/>
  <c r="H195" i="6"/>
  <c r="I195" i="6"/>
  <c r="J195" i="6"/>
  <c r="K195" i="6"/>
  <c r="L195" i="6"/>
  <c r="M195" i="6"/>
  <c r="N195" i="6"/>
  <c r="O195" i="6"/>
  <c r="P195" i="6"/>
  <c r="Q195" i="6"/>
  <c r="R195" i="6"/>
  <c r="S195" i="6"/>
  <c r="T195" i="6"/>
  <c r="A196" i="6"/>
  <c r="B196" i="6"/>
  <c r="C196" i="6"/>
  <c r="D196" i="6"/>
  <c r="E196" i="6"/>
  <c r="F196" i="6"/>
  <c r="G196" i="6"/>
  <c r="H196" i="6"/>
  <c r="I196" i="6"/>
  <c r="J196" i="6"/>
  <c r="K196" i="6"/>
  <c r="L196" i="6"/>
  <c r="M196" i="6"/>
  <c r="N196" i="6"/>
  <c r="O196" i="6"/>
  <c r="P196" i="6"/>
  <c r="Q196" i="6"/>
  <c r="R196" i="6"/>
  <c r="S196" i="6"/>
  <c r="T196" i="6"/>
  <c r="A197" i="6"/>
  <c r="B197" i="6"/>
  <c r="C197" i="6"/>
  <c r="D197" i="6"/>
  <c r="E197" i="6"/>
  <c r="F197" i="6"/>
  <c r="G197" i="6"/>
  <c r="H197" i="6"/>
  <c r="I197" i="6"/>
  <c r="J197" i="6"/>
  <c r="K197" i="6"/>
  <c r="L197" i="6"/>
  <c r="M197" i="6"/>
  <c r="N197" i="6"/>
  <c r="O197" i="6"/>
  <c r="P197" i="6"/>
  <c r="Q197" i="6"/>
  <c r="R197" i="6"/>
  <c r="S197" i="6"/>
  <c r="T197" i="6"/>
  <c r="A198" i="6"/>
  <c r="B198" i="6"/>
  <c r="C198" i="6"/>
  <c r="D198" i="6"/>
  <c r="E198" i="6"/>
  <c r="F198" i="6"/>
  <c r="G198" i="6"/>
  <c r="H198" i="6"/>
  <c r="I198" i="6"/>
  <c r="J198" i="6"/>
  <c r="K198" i="6"/>
  <c r="L198" i="6"/>
  <c r="M198" i="6"/>
  <c r="N198" i="6"/>
  <c r="O198" i="6"/>
  <c r="P198" i="6"/>
  <c r="Q198" i="6"/>
  <c r="R198" i="6"/>
  <c r="S198" i="6"/>
  <c r="T198" i="6"/>
  <c r="A199" i="6"/>
  <c r="B199" i="6"/>
  <c r="C199" i="6"/>
  <c r="D199" i="6"/>
  <c r="E199" i="6"/>
  <c r="F199" i="6"/>
  <c r="G199" i="6"/>
  <c r="H199" i="6"/>
  <c r="I199" i="6"/>
  <c r="J199" i="6"/>
  <c r="K199" i="6"/>
  <c r="L199" i="6"/>
  <c r="M199" i="6"/>
  <c r="N199" i="6"/>
  <c r="O199" i="6"/>
  <c r="P199" i="6"/>
  <c r="Q199" i="6"/>
  <c r="R199" i="6"/>
  <c r="S199" i="6"/>
  <c r="T199" i="6"/>
  <c r="A200" i="6"/>
  <c r="B200" i="6"/>
  <c r="C200" i="6"/>
  <c r="D200" i="6"/>
  <c r="E200" i="6"/>
  <c r="F200" i="6"/>
  <c r="G200" i="6"/>
  <c r="H200" i="6"/>
  <c r="I200" i="6"/>
  <c r="J200" i="6"/>
  <c r="K200" i="6"/>
  <c r="L200" i="6"/>
  <c r="M200" i="6"/>
  <c r="N200" i="6"/>
  <c r="O200" i="6"/>
  <c r="P200" i="6"/>
  <c r="Q200" i="6"/>
  <c r="R200" i="6"/>
  <c r="S200" i="6"/>
  <c r="T200" i="6"/>
  <c r="A201" i="6"/>
  <c r="B201" i="6"/>
  <c r="C201" i="6"/>
  <c r="D201" i="6"/>
  <c r="E201" i="6"/>
  <c r="F201" i="6"/>
  <c r="G201" i="6"/>
  <c r="H201" i="6"/>
  <c r="I201" i="6"/>
  <c r="J201" i="6"/>
  <c r="K201" i="6"/>
  <c r="L201" i="6"/>
  <c r="M201" i="6"/>
  <c r="N201" i="6"/>
  <c r="O201" i="6"/>
  <c r="P201" i="6"/>
  <c r="Q201" i="6"/>
  <c r="R201" i="6"/>
  <c r="S201" i="6"/>
  <c r="T201" i="6"/>
  <c r="A202" i="6"/>
  <c r="B202" i="6"/>
  <c r="C202" i="6"/>
  <c r="D202" i="6"/>
  <c r="E202" i="6"/>
  <c r="F202" i="6"/>
  <c r="G202" i="6"/>
  <c r="H202" i="6"/>
  <c r="I202" i="6"/>
  <c r="J202" i="6"/>
  <c r="K202" i="6"/>
  <c r="L202" i="6"/>
  <c r="M202" i="6"/>
  <c r="N202" i="6"/>
  <c r="O202" i="6"/>
  <c r="P202" i="6"/>
  <c r="Q202" i="6"/>
  <c r="R202" i="6"/>
  <c r="S202" i="6"/>
  <c r="T202" i="6"/>
  <c r="A203" i="6"/>
  <c r="B203" i="6"/>
  <c r="C203" i="6"/>
  <c r="D203" i="6"/>
  <c r="E203" i="6"/>
  <c r="F203" i="6"/>
  <c r="G203" i="6"/>
  <c r="H203" i="6"/>
  <c r="I203" i="6"/>
  <c r="J203" i="6"/>
  <c r="K203" i="6"/>
  <c r="L203" i="6"/>
  <c r="M203" i="6"/>
  <c r="N203" i="6"/>
  <c r="O203" i="6"/>
  <c r="P203" i="6"/>
  <c r="Q203" i="6"/>
  <c r="R203" i="6"/>
  <c r="S203" i="6"/>
  <c r="T203" i="6"/>
  <c r="A204" i="6"/>
  <c r="B204" i="6"/>
  <c r="C204" i="6"/>
  <c r="D204" i="6"/>
  <c r="E204" i="6"/>
  <c r="F204" i="6"/>
  <c r="G204" i="6"/>
  <c r="H204" i="6"/>
  <c r="I204" i="6"/>
  <c r="J204" i="6"/>
  <c r="K204" i="6"/>
  <c r="L204" i="6"/>
  <c r="M204" i="6"/>
  <c r="N204" i="6"/>
  <c r="O204" i="6"/>
  <c r="P204" i="6"/>
  <c r="Q204" i="6"/>
  <c r="R204" i="6"/>
  <c r="S204" i="6"/>
  <c r="T204" i="6"/>
  <c r="A205" i="6"/>
  <c r="B205" i="6"/>
  <c r="C205" i="6"/>
  <c r="D205" i="6"/>
  <c r="E205" i="6"/>
  <c r="F205" i="6"/>
  <c r="G205" i="6"/>
  <c r="H205" i="6"/>
  <c r="I205" i="6"/>
  <c r="J205" i="6"/>
  <c r="K205" i="6"/>
  <c r="L205" i="6"/>
  <c r="M205" i="6"/>
  <c r="N205" i="6"/>
  <c r="O205" i="6"/>
  <c r="P205" i="6"/>
  <c r="Q205" i="6"/>
  <c r="R205" i="6"/>
  <c r="S205" i="6"/>
  <c r="T205" i="6"/>
  <c r="A206" i="6"/>
  <c r="B206" i="6"/>
  <c r="C206" i="6"/>
  <c r="D206" i="6"/>
  <c r="E206" i="6"/>
  <c r="F206" i="6"/>
  <c r="G206" i="6"/>
  <c r="H206" i="6"/>
  <c r="I206" i="6"/>
  <c r="J206" i="6"/>
  <c r="K206" i="6"/>
  <c r="L206" i="6"/>
  <c r="M206" i="6"/>
  <c r="N206" i="6"/>
  <c r="O206" i="6"/>
  <c r="P206" i="6"/>
  <c r="Q206" i="6"/>
  <c r="R206" i="6"/>
  <c r="S206" i="6"/>
  <c r="T206" i="6"/>
  <c r="A207" i="6"/>
  <c r="B207" i="6"/>
  <c r="C207" i="6"/>
  <c r="D207" i="6"/>
  <c r="E207" i="6"/>
  <c r="F207" i="6"/>
  <c r="G207" i="6"/>
  <c r="H207" i="6"/>
  <c r="I207" i="6"/>
  <c r="J207" i="6"/>
  <c r="K207" i="6"/>
  <c r="L207" i="6"/>
  <c r="M207" i="6"/>
  <c r="N207" i="6"/>
  <c r="O207" i="6"/>
  <c r="P207" i="6"/>
  <c r="Q207" i="6"/>
  <c r="R207" i="6"/>
  <c r="S207" i="6"/>
  <c r="T207" i="6"/>
  <c r="A208" i="6"/>
  <c r="B208" i="6"/>
  <c r="C208" i="6"/>
  <c r="D208" i="6"/>
  <c r="E208" i="6"/>
  <c r="F208" i="6"/>
  <c r="G208" i="6"/>
  <c r="H208" i="6"/>
  <c r="I208" i="6"/>
  <c r="J208" i="6"/>
  <c r="K208" i="6"/>
  <c r="L208" i="6"/>
  <c r="M208" i="6"/>
  <c r="N208" i="6"/>
  <c r="O208" i="6"/>
  <c r="P208" i="6"/>
  <c r="Q208" i="6"/>
  <c r="R208" i="6"/>
  <c r="S208" i="6"/>
  <c r="T208" i="6"/>
  <c r="A209" i="6"/>
  <c r="B209" i="6"/>
  <c r="C209" i="6"/>
  <c r="D209" i="6"/>
  <c r="E209" i="6"/>
  <c r="F209" i="6"/>
  <c r="G209" i="6"/>
  <c r="H209" i="6"/>
  <c r="I209" i="6"/>
  <c r="J209" i="6"/>
  <c r="K209" i="6"/>
  <c r="L209" i="6"/>
  <c r="M209" i="6"/>
  <c r="N209" i="6"/>
  <c r="O209" i="6"/>
  <c r="P209" i="6"/>
  <c r="Q209" i="6"/>
  <c r="R209" i="6"/>
  <c r="S209" i="6"/>
  <c r="T209" i="6"/>
  <c r="A210" i="6"/>
  <c r="B210" i="6"/>
  <c r="C210" i="6"/>
  <c r="D210" i="6"/>
  <c r="E210" i="6"/>
  <c r="F210" i="6"/>
  <c r="G210" i="6"/>
  <c r="H210" i="6"/>
  <c r="I210" i="6"/>
  <c r="J210" i="6"/>
  <c r="K210" i="6"/>
  <c r="L210" i="6"/>
  <c r="M210" i="6"/>
  <c r="N210" i="6"/>
  <c r="O210" i="6"/>
  <c r="P210" i="6"/>
  <c r="Q210" i="6"/>
  <c r="R210" i="6"/>
  <c r="S210" i="6"/>
  <c r="T210" i="6"/>
  <c r="A211" i="6"/>
  <c r="B211" i="6"/>
  <c r="C211" i="6"/>
  <c r="D211" i="6"/>
  <c r="E211" i="6"/>
  <c r="F211" i="6"/>
  <c r="G211" i="6"/>
  <c r="H211" i="6"/>
  <c r="I211" i="6"/>
  <c r="J211" i="6"/>
  <c r="K211" i="6"/>
  <c r="L211" i="6"/>
  <c r="M211" i="6"/>
  <c r="N211" i="6"/>
  <c r="O211" i="6"/>
  <c r="P211" i="6"/>
  <c r="Q211" i="6"/>
  <c r="R211" i="6"/>
  <c r="S211" i="6"/>
  <c r="T211" i="6"/>
  <c r="A212" i="6"/>
  <c r="C212" i="6"/>
  <c r="E212" i="6"/>
  <c r="F212" i="6"/>
  <c r="G212" i="6"/>
  <c r="H212" i="6"/>
  <c r="I212" i="6"/>
  <c r="J212" i="6"/>
  <c r="K212" i="6"/>
  <c r="L212" i="6"/>
  <c r="M212" i="6"/>
  <c r="N212" i="6"/>
  <c r="O212" i="6"/>
  <c r="P212" i="6"/>
  <c r="Q212" i="6"/>
  <c r="R212" i="6"/>
  <c r="S212" i="6"/>
  <c r="T212" i="6"/>
  <c r="A213" i="6"/>
  <c r="B213" i="6"/>
  <c r="C213" i="6"/>
  <c r="D213" i="6"/>
  <c r="E213" i="6"/>
  <c r="F213" i="6"/>
  <c r="G213" i="6"/>
  <c r="H213" i="6"/>
  <c r="I213" i="6"/>
  <c r="J213" i="6"/>
  <c r="K213" i="6"/>
  <c r="L213" i="6"/>
  <c r="M213" i="6"/>
  <c r="N213" i="6"/>
  <c r="O213" i="6"/>
  <c r="P213" i="6"/>
  <c r="Q213" i="6"/>
  <c r="R213" i="6"/>
  <c r="S213" i="6"/>
  <c r="T213" i="6"/>
  <c r="A214" i="6"/>
  <c r="B214" i="6"/>
  <c r="C214" i="6"/>
  <c r="D214" i="6"/>
  <c r="E214" i="6"/>
  <c r="F214" i="6"/>
  <c r="G214" i="6"/>
  <c r="H214" i="6"/>
  <c r="I214" i="6"/>
  <c r="J214" i="6"/>
  <c r="K214" i="6"/>
  <c r="L214" i="6"/>
  <c r="M214" i="6"/>
  <c r="N214" i="6"/>
  <c r="O214" i="6"/>
  <c r="P214" i="6"/>
  <c r="Q214" i="6"/>
  <c r="R214" i="6"/>
  <c r="S214" i="6"/>
  <c r="T214" i="6"/>
  <c r="A215" i="6"/>
  <c r="B215" i="6"/>
  <c r="C215" i="6"/>
  <c r="D215" i="6"/>
  <c r="E215" i="6"/>
  <c r="F215" i="6"/>
  <c r="G215" i="6"/>
  <c r="H215" i="6"/>
  <c r="I215" i="6"/>
  <c r="J215" i="6"/>
  <c r="K215" i="6"/>
  <c r="L215" i="6"/>
  <c r="M215" i="6"/>
  <c r="N215" i="6"/>
  <c r="O215" i="6"/>
  <c r="P215" i="6"/>
  <c r="Q215" i="6"/>
  <c r="R215" i="6"/>
  <c r="S215" i="6"/>
  <c r="T215" i="6"/>
  <c r="A216" i="6"/>
  <c r="B216" i="6"/>
  <c r="C216" i="6"/>
  <c r="D216" i="6"/>
  <c r="E216" i="6"/>
  <c r="F216" i="6"/>
  <c r="G216" i="6"/>
  <c r="H216" i="6"/>
  <c r="I216" i="6"/>
  <c r="J216" i="6"/>
  <c r="K216" i="6"/>
  <c r="L216" i="6"/>
  <c r="M216" i="6"/>
  <c r="N216" i="6"/>
  <c r="O216" i="6"/>
  <c r="P216" i="6"/>
  <c r="Q216" i="6"/>
  <c r="R216" i="6"/>
  <c r="S216" i="6"/>
  <c r="T216" i="6"/>
  <c r="A217" i="6"/>
  <c r="B217" i="6"/>
  <c r="C217" i="6"/>
  <c r="D217" i="6"/>
  <c r="E217" i="6"/>
  <c r="F217" i="6"/>
  <c r="G217" i="6"/>
  <c r="H217" i="6"/>
  <c r="I217" i="6"/>
  <c r="J217" i="6"/>
  <c r="K217" i="6"/>
  <c r="L217" i="6"/>
  <c r="M217" i="6"/>
  <c r="N217" i="6"/>
  <c r="O217" i="6"/>
  <c r="P217" i="6"/>
  <c r="Q217" i="6"/>
  <c r="R217" i="6"/>
  <c r="S217" i="6"/>
  <c r="T217" i="6"/>
  <c r="A218" i="6"/>
  <c r="B218" i="6"/>
  <c r="C218" i="6"/>
  <c r="D218" i="6"/>
  <c r="E218" i="6"/>
  <c r="F218" i="6"/>
  <c r="G218" i="6"/>
  <c r="H218" i="6"/>
  <c r="I218" i="6"/>
  <c r="J218" i="6"/>
  <c r="K218" i="6"/>
  <c r="L218" i="6"/>
  <c r="M218" i="6"/>
  <c r="N218" i="6"/>
  <c r="O218" i="6"/>
  <c r="P218" i="6"/>
  <c r="Q218" i="6"/>
  <c r="R218" i="6"/>
  <c r="S218" i="6"/>
  <c r="T218" i="6"/>
  <c r="A219" i="6"/>
  <c r="B219" i="6"/>
  <c r="C219" i="6"/>
  <c r="D219" i="6"/>
  <c r="E219" i="6"/>
  <c r="F219" i="6"/>
  <c r="G219" i="6"/>
  <c r="H219" i="6"/>
  <c r="I219" i="6"/>
  <c r="J219" i="6"/>
  <c r="K219" i="6"/>
  <c r="L219" i="6"/>
  <c r="M219" i="6"/>
  <c r="N219" i="6"/>
  <c r="O219" i="6"/>
  <c r="P219" i="6"/>
  <c r="Q219" i="6"/>
  <c r="R219" i="6"/>
  <c r="S219" i="6"/>
  <c r="T219" i="6"/>
  <c r="A220" i="6"/>
  <c r="B220" i="6"/>
  <c r="C220" i="6"/>
  <c r="D220" i="6"/>
  <c r="E220" i="6"/>
  <c r="F220" i="6"/>
  <c r="G220" i="6"/>
  <c r="H220" i="6"/>
  <c r="I220" i="6"/>
  <c r="J220" i="6"/>
  <c r="K220" i="6"/>
  <c r="L220" i="6"/>
  <c r="M220" i="6"/>
  <c r="N220" i="6"/>
  <c r="O220" i="6"/>
  <c r="P220" i="6"/>
  <c r="Q220" i="6"/>
  <c r="R220" i="6"/>
  <c r="S220" i="6"/>
  <c r="T220" i="6"/>
  <c r="A221" i="6"/>
  <c r="B221" i="6"/>
  <c r="C221" i="6"/>
  <c r="D221" i="6"/>
  <c r="E221" i="6"/>
  <c r="F221" i="6"/>
  <c r="G221" i="6"/>
  <c r="H221" i="6"/>
  <c r="I221" i="6"/>
  <c r="J221" i="6"/>
  <c r="K221" i="6"/>
  <c r="L221" i="6"/>
  <c r="M221" i="6"/>
  <c r="N221" i="6"/>
  <c r="O221" i="6"/>
  <c r="P221" i="6"/>
  <c r="Q221" i="6"/>
  <c r="R221" i="6"/>
  <c r="S221" i="6"/>
  <c r="T221" i="6"/>
  <c r="A2" i="7"/>
  <c r="B2" i="7"/>
  <c r="C2" i="7"/>
  <c r="D2" i="7"/>
  <c r="E2" i="7"/>
  <c r="F2" i="7"/>
  <c r="G2" i="7"/>
  <c r="H2" i="7"/>
  <c r="I2" i="7"/>
  <c r="J2" i="7"/>
  <c r="K2" i="7"/>
  <c r="L2" i="7"/>
  <c r="M2" i="7"/>
  <c r="N2" i="7"/>
  <c r="O2" i="7"/>
  <c r="P2" i="7"/>
  <c r="Q2" i="7"/>
  <c r="R2" i="7"/>
  <c r="S2" i="7"/>
  <c r="T2" i="7"/>
  <c r="C104" i="2"/>
  <c r="C37" i="5" s="1"/>
  <c r="C641" i="2"/>
  <c r="C219" i="5" s="1"/>
  <c r="C227" i="2"/>
  <c r="C76" i="5" s="1"/>
  <c r="C148" i="2"/>
  <c r="B47" i="6" s="1"/>
  <c r="C147" i="2"/>
  <c r="B51" i="7" s="1"/>
  <c r="C146" i="2"/>
  <c r="C50" i="5" s="1"/>
  <c r="C41" i="2"/>
  <c r="C13" i="5" s="1"/>
  <c r="C86" i="2"/>
  <c r="C28" i="5" s="1"/>
  <c r="C122" i="2"/>
  <c r="C42" i="5" s="1"/>
  <c r="C197" i="2"/>
  <c r="C65" i="5" s="1"/>
  <c r="C13" i="2"/>
  <c r="C12" i="2"/>
  <c r="C11" i="2"/>
  <c r="C464" i="2"/>
  <c r="C155" i="5" s="1"/>
  <c r="C485" i="2"/>
  <c r="C161" i="5" s="1"/>
  <c r="C38" i="2"/>
  <c r="C12" i="5" s="1"/>
  <c r="C449" i="2"/>
  <c r="C150" i="5" s="1"/>
  <c r="C103" i="2"/>
  <c r="B32" i="6" s="1"/>
  <c r="C102" i="2"/>
  <c r="B37" i="7" s="1"/>
  <c r="C101" i="2"/>
  <c r="C36" i="5" s="1"/>
  <c r="F39" i="2"/>
  <c r="C39" i="2" s="1"/>
  <c r="B13" i="7" s="1"/>
  <c r="F171" i="2"/>
  <c r="F172" i="2" s="1"/>
  <c r="D55" i="6" s="1"/>
  <c r="F225" i="2"/>
  <c r="F226" i="2" s="1"/>
  <c r="D73" i="6" s="1"/>
  <c r="F9" i="2"/>
  <c r="F10" i="2" s="1"/>
  <c r="F36" i="2"/>
  <c r="F37" i="2" s="1"/>
  <c r="D10" i="6" s="1"/>
  <c r="F63" i="2"/>
  <c r="F64" i="2" s="1"/>
  <c r="D19" i="6" s="1"/>
  <c r="F84" i="2"/>
  <c r="F85" i="2" s="1"/>
  <c r="D26" i="6" s="1"/>
  <c r="F120" i="2"/>
  <c r="F121" i="2" s="1"/>
  <c r="D38" i="6" s="1"/>
  <c r="F183" i="2"/>
  <c r="F184" i="2" s="1"/>
  <c r="D59" i="6" s="1"/>
  <c r="F447" i="2"/>
  <c r="D150" i="7" s="1"/>
  <c r="F448" i="2"/>
  <c r="D147" i="6" s="1"/>
  <c r="F462" i="2"/>
  <c r="F463" i="2" s="1"/>
  <c r="D152" i="6" s="1"/>
  <c r="F483" i="2"/>
  <c r="F484" i="2" s="1"/>
  <c r="D159" i="6" s="1"/>
  <c r="F450" i="2"/>
  <c r="F451" i="2" s="1"/>
  <c r="C451" i="2" s="1"/>
  <c r="B148" i="6" s="1"/>
  <c r="F486" i="2"/>
  <c r="F487" i="2" s="1"/>
  <c r="C487" i="2" s="1"/>
  <c r="B160" i="6" s="1"/>
  <c r="F465" i="2"/>
  <c r="F466" i="2" s="1"/>
  <c r="C466" i="2" s="1"/>
  <c r="B153" i="6" s="1"/>
  <c r="F198" i="2"/>
  <c r="F199" i="2" s="1"/>
  <c r="C199" i="2" s="1"/>
  <c r="B64" i="6" s="1"/>
  <c r="F123" i="2"/>
  <c r="F124" i="2" s="1"/>
  <c r="C124" i="2" s="1"/>
  <c r="B39" i="6" s="1"/>
  <c r="F87" i="2"/>
  <c r="F88" i="2" s="1"/>
  <c r="C88" i="2" s="1"/>
  <c r="B27" i="6" s="1"/>
  <c r="F42" i="2"/>
  <c r="F43" i="2" s="1"/>
  <c r="C43" i="2" s="1"/>
  <c r="B12" i="6" s="1"/>
  <c r="F228" i="2"/>
  <c r="F229" i="2" s="1"/>
  <c r="C229" i="2" s="1"/>
  <c r="B74" i="6" s="1"/>
  <c r="F642" i="2"/>
  <c r="F643" i="2" s="1"/>
  <c r="C643" i="2" s="1"/>
  <c r="B212" i="6" s="1"/>
  <c r="A625" i="2"/>
  <c r="A624" i="2"/>
  <c r="A623" i="2"/>
  <c r="B210" i="5" s="1"/>
  <c r="A622" i="2"/>
  <c r="A621" i="2"/>
  <c r="A620" i="2"/>
  <c r="B209" i="5" s="1"/>
  <c r="A601" i="2"/>
  <c r="A600" i="2"/>
  <c r="A599" i="2"/>
  <c r="B202" i="5" s="1"/>
  <c r="A598" i="2"/>
  <c r="A597" i="2"/>
  <c r="A596" i="2"/>
  <c r="B201" i="5" s="1"/>
  <c r="A421" i="2"/>
  <c r="A420" i="2"/>
  <c r="A419" i="2"/>
  <c r="B143" i="5" s="1"/>
  <c r="A418" i="2"/>
  <c r="A417" i="2"/>
  <c r="A416" i="2"/>
  <c r="B141" i="5" s="1"/>
  <c r="A397" i="2"/>
  <c r="A396" i="2"/>
  <c r="A395" i="2"/>
  <c r="B134" i="5" s="1"/>
  <c r="A394" i="2"/>
  <c r="A393" i="2"/>
  <c r="A392" i="2"/>
  <c r="B133" i="5" s="1"/>
  <c r="A391" i="2"/>
  <c r="A390" i="2"/>
  <c r="A389" i="2"/>
  <c r="B132" i="5" s="1"/>
  <c r="A370" i="2"/>
  <c r="A369" i="2"/>
  <c r="A368" i="2"/>
  <c r="B125" i="5" s="1"/>
  <c r="A367" i="2"/>
  <c r="A366" i="2"/>
  <c r="A365" i="2"/>
  <c r="B124" i="5" s="1"/>
  <c r="A364" i="2"/>
  <c r="A363" i="2"/>
  <c r="A362" i="2"/>
  <c r="B123" i="5" s="1"/>
  <c r="A343" i="2"/>
  <c r="A342" i="2"/>
  <c r="A341" i="2"/>
  <c r="B116" i="5" s="1"/>
  <c r="A340" i="2"/>
  <c r="A339" i="2"/>
  <c r="A338" i="2"/>
  <c r="B115" i="5" s="1"/>
  <c r="A337" i="2"/>
  <c r="A336" i="2"/>
  <c r="A335" i="2"/>
  <c r="B114" i="5" s="1"/>
  <c r="A316" i="2"/>
  <c r="A315" i="2"/>
  <c r="A314" i="2"/>
  <c r="B107" i="5" s="1"/>
  <c r="A313" i="2"/>
  <c r="A312" i="2"/>
  <c r="A311" i="2"/>
  <c r="B106" i="5" s="1"/>
  <c r="A310" i="2"/>
  <c r="A309" i="2"/>
  <c r="A308" i="2"/>
  <c r="B105" i="5" s="1"/>
  <c r="A289" i="2"/>
  <c r="A288" i="2"/>
  <c r="A287" i="2"/>
  <c r="B98" i="5" s="1"/>
  <c r="A286" i="2"/>
  <c r="A285" i="2"/>
  <c r="A284" i="2"/>
  <c r="B97" i="5" s="1"/>
  <c r="A268" i="2"/>
  <c r="A267" i="2"/>
  <c r="A266" i="2"/>
  <c r="B91" i="5" s="1"/>
  <c r="A265" i="2"/>
  <c r="A264" i="2"/>
  <c r="A263" i="2"/>
  <c r="B90" i="5" s="1"/>
  <c r="A262" i="2"/>
  <c r="A261" i="2"/>
  <c r="A260" i="2"/>
  <c r="B89" i="5" s="1"/>
  <c r="A241" i="2"/>
  <c r="A240" i="2"/>
  <c r="A239" i="2"/>
  <c r="B80" i="5" s="1"/>
  <c r="A238" i="2"/>
  <c r="A237" i="2"/>
  <c r="A236" i="2"/>
  <c r="B82" i="5" s="1"/>
  <c r="A235" i="2"/>
  <c r="A234" i="2"/>
  <c r="A233" i="2"/>
  <c r="B81" i="5" s="1"/>
  <c r="A574" i="2"/>
  <c r="A573" i="2"/>
  <c r="A572" i="2"/>
  <c r="B193" i="5" s="1"/>
  <c r="A532" i="2"/>
  <c r="A531" i="2"/>
  <c r="A530" i="2"/>
  <c r="B179" i="5" s="1"/>
  <c r="A529" i="2"/>
  <c r="A528" i="2"/>
  <c r="A527" i="2"/>
  <c r="B178" i="5" s="1"/>
  <c r="A619" i="2"/>
  <c r="A618" i="2"/>
  <c r="A617" i="2"/>
  <c r="B208" i="5" s="1"/>
  <c r="A595" i="2"/>
  <c r="A594" i="2"/>
  <c r="A593" i="2"/>
  <c r="B200" i="5" s="1"/>
  <c r="B414" i="2"/>
  <c r="B415" i="2" s="1"/>
  <c r="A415" i="2" s="1"/>
  <c r="A413" i="2"/>
  <c r="B140" i="5" s="1"/>
  <c r="B387" i="2"/>
  <c r="B388" i="2" s="1"/>
  <c r="A388" i="2" s="1"/>
  <c r="A386" i="2"/>
  <c r="B131" i="5" s="1"/>
  <c r="B360" i="2"/>
  <c r="B361" i="2" s="1"/>
  <c r="A361" i="2" s="1"/>
  <c r="A359" i="2"/>
  <c r="B122" i="5" s="1"/>
  <c r="B333" i="2"/>
  <c r="B334" i="2" s="1"/>
  <c r="A334" i="2" s="1"/>
  <c r="A332" i="2"/>
  <c r="B113" i="5" s="1"/>
  <c r="B306" i="2"/>
  <c r="B307" i="2" s="1"/>
  <c r="A307" i="2" s="1"/>
  <c r="A305" i="2"/>
  <c r="B104" i="5" s="1"/>
  <c r="B282" i="2"/>
  <c r="B283" i="2" s="1"/>
  <c r="A283" i="2" s="1"/>
  <c r="A281" i="2"/>
  <c r="B96" i="5" s="1"/>
  <c r="B258" i="2"/>
  <c r="B259" i="2" s="1"/>
  <c r="A259" i="2" s="1"/>
  <c r="A257" i="2"/>
  <c r="B88" i="5" s="1"/>
  <c r="B231" i="2"/>
  <c r="B232" i="2" s="1"/>
  <c r="A232" i="2" s="1"/>
  <c r="A230" i="2"/>
  <c r="B79" i="5" s="1"/>
  <c r="A571" i="2"/>
  <c r="A570" i="2"/>
  <c r="A569" i="2"/>
  <c r="B192" i="5" s="1"/>
  <c r="A550" i="2"/>
  <c r="A549" i="2"/>
  <c r="A548" i="2"/>
  <c r="B185" i="5" s="1"/>
  <c r="A526" i="2"/>
  <c r="A525" i="2"/>
  <c r="A524" i="2"/>
  <c r="B177" i="5" s="1"/>
  <c r="A505" i="2"/>
  <c r="A504" i="2"/>
  <c r="A503" i="2"/>
  <c r="B170" i="5" s="1"/>
  <c r="A499" i="2"/>
  <c r="A498" i="2"/>
  <c r="A497" i="2"/>
  <c r="B168" i="5" s="1"/>
  <c r="A127" i="6" l="1"/>
  <c r="A109" i="6"/>
  <c r="A75" i="6"/>
  <c r="A141" i="7"/>
  <c r="A123" i="7"/>
  <c r="A105" i="7"/>
  <c r="A97" i="7"/>
  <c r="A89" i="7"/>
  <c r="D212" i="6"/>
  <c r="D160" i="6"/>
  <c r="D148" i="6"/>
  <c r="D74" i="6"/>
  <c r="D64" i="6"/>
  <c r="D12" i="6"/>
  <c r="D161" i="7"/>
  <c r="D156" i="7"/>
  <c r="D76" i="7"/>
  <c r="D62" i="7"/>
  <c r="D57" i="7"/>
  <c r="D43" i="7"/>
  <c r="D29" i="7"/>
  <c r="D21" i="7"/>
  <c r="D13" i="7"/>
  <c r="A136" i="6"/>
  <c r="A118" i="6"/>
  <c r="A100" i="6"/>
  <c r="A92" i="6"/>
  <c r="A84" i="6"/>
  <c r="A132" i="7"/>
  <c r="A114" i="7"/>
  <c r="A80" i="7"/>
  <c r="D153" i="6"/>
  <c r="D39" i="6"/>
  <c r="D27" i="6"/>
  <c r="D220" i="7"/>
  <c r="D162" i="7"/>
  <c r="D155" i="7"/>
  <c r="D151" i="7"/>
  <c r="D77" i="7"/>
  <c r="D66" i="7"/>
  <c r="D42" i="7"/>
  <c r="D28" i="7"/>
  <c r="D14" i="7"/>
  <c r="D12" i="7"/>
  <c r="C486" i="2"/>
  <c r="B162" i="7" s="1"/>
  <c r="F40" i="2"/>
  <c r="C450" i="2"/>
  <c r="B151" i="7" s="1"/>
  <c r="C123" i="2"/>
  <c r="B43" i="7" s="1"/>
  <c r="C228" i="2"/>
  <c r="B77" i="7" s="1"/>
  <c r="C87" i="2"/>
  <c r="B29" i="7" s="1"/>
  <c r="C198" i="2"/>
  <c r="B66" i="7" s="1"/>
  <c r="C642" i="2"/>
  <c r="B220" i="7" s="1"/>
  <c r="C465" i="2"/>
  <c r="B156" i="7" s="1"/>
  <c r="C42" i="2"/>
  <c r="B14" i="7" s="1"/>
  <c r="A231" i="2"/>
  <c r="A258" i="2"/>
  <c r="A282" i="2"/>
  <c r="A306" i="2"/>
  <c r="A333" i="2"/>
  <c r="A360" i="2"/>
  <c r="A387" i="2"/>
  <c r="A414" i="2"/>
  <c r="C40" i="2" l="1"/>
  <c r="B11" i="6" s="1"/>
  <c r="D11" i="6"/>
  <c r="A2" i="2"/>
  <c r="A159" i="2"/>
  <c r="A160" i="2"/>
  <c r="A173" i="2"/>
  <c r="B60" i="5" s="1"/>
  <c r="A174" i="2"/>
  <c r="A175" i="2"/>
  <c r="A185" i="2"/>
  <c r="B64" i="5" s="1"/>
  <c r="A186" i="2"/>
  <c r="A187" i="2"/>
  <c r="A209" i="2"/>
  <c r="B72" i="5" s="1"/>
  <c r="A210" i="2"/>
  <c r="A211" i="2"/>
  <c r="A23" i="2"/>
  <c r="B10" i="5" s="1"/>
  <c r="A24" i="2"/>
  <c r="A25" i="2"/>
  <c r="A50" i="2"/>
  <c r="B19" i="5" s="1"/>
  <c r="A51" i="2"/>
  <c r="A52" i="2"/>
  <c r="A71" i="2"/>
  <c r="B26" i="5" s="1"/>
  <c r="A72" i="2"/>
  <c r="A73" i="2"/>
  <c r="A98" i="2"/>
  <c r="B35" i="5" s="1"/>
  <c r="A99" i="2"/>
  <c r="A100" i="2"/>
  <c r="A113" i="2"/>
  <c r="B40" i="5" s="1"/>
  <c r="A114" i="2"/>
  <c r="A115" i="2"/>
  <c r="A134" i="2"/>
  <c r="B47" i="5" s="1"/>
  <c r="A135" i="2"/>
  <c r="A136" i="2"/>
  <c r="A137" i="2"/>
  <c r="B48" i="5" s="1"/>
  <c r="A138" i="2"/>
  <c r="A139" i="2"/>
  <c r="A158" i="2"/>
  <c r="B55" i="5" s="1"/>
  <c r="A212" i="2"/>
  <c r="B73" i="5" s="1"/>
  <c r="A215" i="2"/>
  <c r="B74" i="5" s="1"/>
  <c r="A221" i="2"/>
  <c r="B78" i="5" s="1"/>
  <c r="A443" i="2"/>
  <c r="B153" i="5" s="1"/>
  <c r="A455" i="2"/>
  <c r="B158" i="5" s="1"/>
  <c r="A458" i="2"/>
  <c r="B159" i="5" s="1"/>
  <c r="A476" i="2"/>
  <c r="B166" i="5" s="1"/>
  <c r="A473" i="2"/>
  <c r="B165" i="5" s="1"/>
  <c r="A479" i="2"/>
  <c r="B167" i="5" s="1"/>
  <c r="A188" i="2"/>
  <c r="B69" i="5" s="1"/>
  <c r="A191" i="2"/>
  <c r="B70" i="5" s="1"/>
  <c r="A194" i="2"/>
  <c r="B71" i="5" s="1"/>
  <c r="A164" i="2"/>
  <c r="B58" i="5" s="1"/>
  <c r="A167" i="2"/>
  <c r="B59" i="5" s="1"/>
  <c r="A176" i="2"/>
  <c r="B62" i="5" s="1"/>
  <c r="A179" i="2"/>
  <c r="B63" i="5" s="1"/>
  <c r="A80" i="2"/>
  <c r="B34" i="5" s="1"/>
  <c r="A116" i="2"/>
  <c r="B46" i="5" s="1"/>
  <c r="A161" i="2"/>
  <c r="B57" i="5" s="1"/>
  <c r="A59" i="2"/>
  <c r="B25" i="5" s="1"/>
  <c r="A74" i="2"/>
  <c r="B32" i="5" s="1"/>
  <c r="A77" i="2"/>
  <c r="B33" i="5" s="1"/>
  <c r="A32" i="2"/>
  <c r="B18" i="5" s="1"/>
  <c r="A53" i="2"/>
  <c r="B23" i="5" s="1"/>
  <c r="A56" i="2"/>
  <c r="B24" i="5" s="1"/>
  <c r="A29" i="2"/>
  <c r="B17" i="5" s="1"/>
  <c r="A30" i="2"/>
  <c r="A31" i="2"/>
  <c r="A26" i="2"/>
  <c r="B16" i="5" s="1"/>
  <c r="A5" i="2"/>
  <c r="A140" i="2"/>
  <c r="B54" i="5" s="1"/>
  <c r="A440" i="2"/>
  <c r="B152" i="5" s="1"/>
  <c r="A220" i="2"/>
  <c r="A218" i="2"/>
  <c r="B77" i="5" s="1"/>
  <c r="A219" i="2"/>
  <c r="B6" i="5" l="1"/>
  <c r="J2" i="6" l="1"/>
  <c r="K2" i="6"/>
  <c r="L2" i="6"/>
  <c r="M2" i="6"/>
  <c r="N2" i="6"/>
  <c r="O2" i="6"/>
  <c r="P2" i="6"/>
  <c r="Q2" i="6"/>
  <c r="R2" i="6"/>
  <c r="B2" i="6"/>
  <c r="C2" i="6"/>
  <c r="D2" i="6"/>
  <c r="E2" i="6"/>
  <c r="F2" i="6"/>
  <c r="G2" i="6"/>
  <c r="H2" i="6"/>
  <c r="I2" i="6"/>
  <c r="A8" i="7"/>
  <c r="B8" i="7"/>
  <c r="C8" i="7"/>
  <c r="D8" i="7"/>
  <c r="E8" i="7"/>
  <c r="F8" i="7"/>
  <c r="G8" i="7"/>
  <c r="H8" i="7"/>
  <c r="I8" i="7"/>
  <c r="J8" i="7"/>
  <c r="K8" i="7"/>
  <c r="L8" i="7"/>
  <c r="M8" i="7"/>
  <c r="N8" i="7"/>
  <c r="O8" i="7"/>
  <c r="P8" i="7"/>
  <c r="Q8" i="7"/>
  <c r="R8" i="7"/>
  <c r="J7" i="7"/>
  <c r="K7" i="7"/>
  <c r="L7" i="7"/>
  <c r="M7" i="7"/>
  <c r="N7" i="7"/>
  <c r="O7" i="7"/>
  <c r="P7" i="7"/>
  <c r="Q7" i="7"/>
  <c r="R7" i="7"/>
  <c r="B7" i="7"/>
  <c r="C7" i="7"/>
  <c r="D7" i="7"/>
  <c r="E7" i="7"/>
  <c r="F7" i="7"/>
  <c r="G7" i="7"/>
  <c r="H7" i="7"/>
  <c r="I7" i="7"/>
  <c r="T8" i="7"/>
  <c r="S8" i="7"/>
  <c r="T7" i="7"/>
  <c r="S7" i="7"/>
  <c r="T2" i="6"/>
  <c r="S2" i="6"/>
  <c r="L6" i="5"/>
  <c r="M6" i="5"/>
  <c r="N6" i="5"/>
  <c r="O6" i="5"/>
  <c r="P6" i="5"/>
  <c r="Q6" i="5"/>
  <c r="R6" i="5"/>
  <c r="S6" i="5"/>
  <c r="T6" i="5"/>
  <c r="U6" i="5"/>
  <c r="C6" i="5"/>
  <c r="D6" i="5"/>
  <c r="E6" i="5"/>
  <c r="F6" i="5"/>
  <c r="G6" i="5"/>
  <c r="H6" i="5"/>
  <c r="I6" i="5"/>
  <c r="J6" i="5"/>
  <c r="K6" i="5"/>
  <c r="A6" i="5"/>
  <c r="B441" i="2" l="1"/>
  <c r="B141" i="2"/>
  <c r="A55" i="7" s="1"/>
  <c r="B3" i="2"/>
  <c r="A7" i="7" s="1"/>
  <c r="B6" i="2"/>
  <c r="B27" i="2"/>
  <c r="A17" i="7" s="1"/>
  <c r="B33" i="2"/>
  <c r="A19" i="7" s="1"/>
  <c r="B54" i="2"/>
  <c r="A24" i="7" s="1"/>
  <c r="B57" i="2"/>
  <c r="A25" i="7" s="1"/>
  <c r="B60" i="2"/>
  <c r="A26" i="7" s="1"/>
  <c r="B75" i="2"/>
  <c r="A33" i="7" s="1"/>
  <c r="B78" i="2"/>
  <c r="A34" i="7" s="1"/>
  <c r="B81" i="2"/>
  <c r="A35" i="7" s="1"/>
  <c r="B117" i="2"/>
  <c r="A47" i="7" s="1"/>
  <c r="B162" i="2"/>
  <c r="A58" i="7" s="1"/>
  <c r="B165" i="2"/>
  <c r="A59" i="7" s="1"/>
  <c r="B168" i="2"/>
  <c r="A60" i="7" s="1"/>
  <c r="B177" i="2"/>
  <c r="A63" i="7" s="1"/>
  <c r="B180" i="2"/>
  <c r="A64" i="7" s="1"/>
  <c r="B189" i="2"/>
  <c r="A70" i="7" s="1"/>
  <c r="B192" i="2"/>
  <c r="A71" i="7" s="1"/>
  <c r="B195" i="2"/>
  <c r="A72" i="7" s="1"/>
  <c r="B213" i="2"/>
  <c r="A74" i="7" s="1"/>
  <c r="B216" i="2"/>
  <c r="A75" i="7" s="1"/>
  <c r="B222" i="2"/>
  <c r="A79" i="7" s="1"/>
  <c r="B444" i="2"/>
  <c r="A154" i="7" s="1"/>
  <c r="B456" i="2"/>
  <c r="A159" i="7" s="1"/>
  <c r="B459" i="2"/>
  <c r="A160" i="7" s="1"/>
  <c r="B477" i="2"/>
  <c r="A167" i="7" s="1"/>
  <c r="B474" i="2"/>
  <c r="A166" i="7" s="1"/>
  <c r="B480" i="2"/>
  <c r="A168" i="7" s="1"/>
  <c r="J33" i="1"/>
  <c r="J32" i="1"/>
  <c r="J31" i="1"/>
  <c r="J30" i="1"/>
  <c r="J29" i="1"/>
  <c r="J35" i="1"/>
  <c r="J34" i="1"/>
  <c r="J28" i="1"/>
  <c r="J27" i="1"/>
  <c r="J26" i="1"/>
  <c r="J25" i="1"/>
  <c r="J24" i="1"/>
  <c r="J23" i="1"/>
  <c r="J22" i="1"/>
  <c r="J21" i="1"/>
  <c r="J20" i="1"/>
  <c r="J19" i="1"/>
  <c r="J18" i="1"/>
  <c r="J17" i="1"/>
  <c r="E7" i="4"/>
  <c r="E6" i="4"/>
  <c r="A441" i="2" l="1"/>
  <c r="A153" i="7"/>
  <c r="B478" i="2"/>
  <c r="A157" i="6" s="1"/>
  <c r="A477" i="2"/>
  <c r="B223" i="2"/>
  <c r="A72" i="6" s="1"/>
  <c r="A222" i="2"/>
  <c r="B193" i="2"/>
  <c r="A62" i="6" s="1"/>
  <c r="A192" i="2"/>
  <c r="B169" i="2"/>
  <c r="A54" i="6" s="1"/>
  <c r="A168" i="2"/>
  <c r="B82" i="2"/>
  <c r="A25" i="6" s="1"/>
  <c r="A81" i="2"/>
  <c r="B58" i="2"/>
  <c r="A17" i="6" s="1"/>
  <c r="A57" i="2"/>
  <c r="B7" i="2"/>
  <c r="A6" i="2"/>
  <c r="B460" i="2"/>
  <c r="A151" i="6" s="1"/>
  <c r="A459" i="2"/>
  <c r="B217" i="2"/>
  <c r="A70" i="6" s="1"/>
  <c r="A216" i="2"/>
  <c r="B190" i="2"/>
  <c r="A61" i="6" s="1"/>
  <c r="A189" i="2"/>
  <c r="B166" i="2"/>
  <c r="A53" i="6" s="1"/>
  <c r="A165" i="2"/>
  <c r="B79" i="2"/>
  <c r="A24" i="6" s="1"/>
  <c r="A78" i="2"/>
  <c r="B55" i="2"/>
  <c r="A16" i="6" s="1"/>
  <c r="A54" i="2"/>
  <c r="B481" i="2"/>
  <c r="A158" i="6" s="1"/>
  <c r="A480" i="2"/>
  <c r="B457" i="2"/>
  <c r="A150" i="6" s="1"/>
  <c r="A456" i="2"/>
  <c r="B214" i="2"/>
  <c r="A69" i="6" s="1"/>
  <c r="A213" i="2"/>
  <c r="B181" i="2"/>
  <c r="A58" i="6" s="1"/>
  <c r="A180" i="2"/>
  <c r="B163" i="2"/>
  <c r="A52" i="6" s="1"/>
  <c r="A162" i="2"/>
  <c r="B76" i="2"/>
  <c r="A23" i="6" s="1"/>
  <c r="A75" i="2"/>
  <c r="B34" i="2"/>
  <c r="A9" i="6" s="1"/>
  <c r="A33" i="2"/>
  <c r="B142" i="2"/>
  <c r="A45" i="6" s="1"/>
  <c r="A141" i="2"/>
  <c r="B475" i="2"/>
  <c r="A156" i="6" s="1"/>
  <c r="A474" i="2"/>
  <c r="B445" i="2"/>
  <c r="A146" i="6" s="1"/>
  <c r="A444" i="2"/>
  <c r="B196" i="2"/>
  <c r="A63" i="6" s="1"/>
  <c r="A195" i="2"/>
  <c r="B178" i="2"/>
  <c r="A57" i="6" s="1"/>
  <c r="A177" i="2"/>
  <c r="B118" i="2"/>
  <c r="A37" i="6" s="1"/>
  <c r="A117" i="2"/>
  <c r="B61" i="2"/>
  <c r="A18" i="6" s="1"/>
  <c r="A60" i="2"/>
  <c r="B28" i="2"/>
  <c r="A7" i="6" s="1"/>
  <c r="A27" i="2"/>
  <c r="B4" i="2"/>
  <c r="A2" i="6" s="1"/>
  <c r="A3" i="2"/>
  <c r="B442" i="2"/>
  <c r="A145" i="6" s="1"/>
  <c r="A166" i="2" l="1"/>
  <c r="A28" i="2"/>
  <c r="A196" i="2"/>
  <c r="A34" i="2"/>
  <c r="A214" i="2"/>
  <c r="A79" i="2"/>
  <c r="A460" i="2"/>
  <c r="A169" i="2"/>
  <c r="A61" i="2"/>
  <c r="A76" i="2"/>
  <c r="A178" i="2"/>
  <c r="A142" i="2"/>
  <c r="A181" i="2"/>
  <c r="A55" i="2"/>
  <c r="A217" i="2"/>
  <c r="A82" i="2"/>
  <c r="A478" i="2"/>
  <c r="A445" i="2"/>
  <c r="A457" i="2"/>
  <c r="A7" i="2"/>
  <c r="A193" i="2"/>
  <c r="A442" i="2"/>
  <c r="A118" i="2"/>
  <c r="A475" i="2"/>
  <c r="A163" i="2"/>
  <c r="A481" i="2"/>
  <c r="A190" i="2"/>
  <c r="A58" i="2"/>
  <c r="A223" i="2"/>
  <c r="A4" i="2"/>
</calcChain>
</file>

<file path=xl/sharedStrings.xml><?xml version="1.0" encoding="utf-8"?>
<sst xmlns="http://schemas.openxmlformats.org/spreadsheetml/2006/main" count="8182" uniqueCount="851">
  <si>
    <t>MAKE</t>
  </si>
  <si>
    <t>MODEL</t>
  </si>
  <si>
    <t>CHASSIS</t>
  </si>
  <si>
    <t>NO.PLATE</t>
  </si>
  <si>
    <t>Name</t>
  </si>
  <si>
    <t>Group</t>
  </si>
  <si>
    <t>Comprehensive</t>
  </si>
  <si>
    <t>Number</t>
  </si>
  <si>
    <t>Branch</t>
  </si>
  <si>
    <t>North</t>
  </si>
  <si>
    <t>Mwalye Eric Sam</t>
  </si>
  <si>
    <t>H2GO</t>
  </si>
  <si>
    <t>MD2A18AY6KWB99041</t>
  </si>
  <si>
    <t>KMEW693Z</t>
  </si>
  <si>
    <t>MD2A18AY6HWS7798</t>
  </si>
  <si>
    <t>UEQ158B</t>
  </si>
  <si>
    <t xml:space="preserve">Bwayo Rogers </t>
  </si>
  <si>
    <t>MD2A18A22GWG3632</t>
  </si>
  <si>
    <t>UEN637T</t>
  </si>
  <si>
    <t>MD2A18AY9JWG99760</t>
  </si>
  <si>
    <t>Gibisiwa Benson</t>
  </si>
  <si>
    <t>UET954R</t>
  </si>
  <si>
    <t>UEQ860</t>
  </si>
  <si>
    <t>Semei Mark</t>
  </si>
  <si>
    <t>MDQDDMZZSWH19031</t>
  </si>
  <si>
    <t>UDL006G</t>
  </si>
  <si>
    <t>Mugoya William</t>
  </si>
  <si>
    <t>MD2DDDMZZSWCO3798</t>
  </si>
  <si>
    <t>UDM115R</t>
  </si>
  <si>
    <t>MASELA IVAN</t>
  </si>
  <si>
    <t>Mugoya Ivan</t>
  </si>
  <si>
    <t>MD2A18AZ6HWL37806</t>
  </si>
  <si>
    <t>KMEC363C</t>
  </si>
  <si>
    <t>Nashimolo Sam Festo</t>
  </si>
  <si>
    <t>Control</t>
  </si>
  <si>
    <t>MD2A18AZOHWM75779</t>
  </si>
  <si>
    <t>UEP323G</t>
  </si>
  <si>
    <t>Masaba Paul</t>
  </si>
  <si>
    <t>MD2A18AY8JWK95359</t>
  </si>
  <si>
    <t>UES919N</t>
  </si>
  <si>
    <t>Mutenyo Alex</t>
  </si>
  <si>
    <t>MD2A18AK5JWG86614</t>
  </si>
  <si>
    <t>UEV830P</t>
  </si>
  <si>
    <t>Nashimolo Fred</t>
  </si>
  <si>
    <t>MD2A18AZ9GWE48478</t>
  </si>
  <si>
    <t>UEN705B</t>
  </si>
  <si>
    <t>NABWAMBI MICHEAL</t>
  </si>
  <si>
    <t>Bajaj</t>
  </si>
  <si>
    <t>Boxer BM 100</t>
  </si>
  <si>
    <t>Rider ID</t>
  </si>
  <si>
    <t>Masaba leonard</t>
  </si>
  <si>
    <t>Kissa Brahim</t>
  </si>
  <si>
    <t>South</t>
  </si>
  <si>
    <t>Oil ID</t>
  </si>
  <si>
    <t>Date</t>
  </si>
  <si>
    <t>Service Type</t>
  </si>
  <si>
    <t>UER962V</t>
  </si>
  <si>
    <t>MD2A18AY8HWJ84384</t>
  </si>
  <si>
    <t>UEJ838Z</t>
  </si>
  <si>
    <t>MD2A18AZ8FWE70616</t>
  </si>
  <si>
    <t>MD2A18AY9HWF52459</t>
  </si>
  <si>
    <t>UEQ913W</t>
  </si>
  <si>
    <t>Mulondo Sulaiti</t>
  </si>
  <si>
    <t>UEVC849K</t>
  </si>
  <si>
    <t>MD2A18AZXDWG64318</t>
  </si>
  <si>
    <t>UEM338B</t>
  </si>
  <si>
    <t>MD2A18AZ8GWD38760</t>
  </si>
  <si>
    <t>Mukhwana Moses</t>
  </si>
  <si>
    <t>UEV209Z</t>
  </si>
  <si>
    <t>MD2A18AY8JWH85657</t>
  </si>
  <si>
    <t>Waninda Paul</t>
  </si>
  <si>
    <t>UET044Z</t>
  </si>
  <si>
    <t>MD2A18AY8JWB85107</t>
  </si>
  <si>
    <t>UET134E</t>
  </si>
  <si>
    <t>MAZA18AY3JWM60931</t>
  </si>
  <si>
    <t>H2Go</t>
  </si>
  <si>
    <t>Oil Service</t>
  </si>
  <si>
    <t>Carberator</t>
  </si>
  <si>
    <t>Tappets</t>
  </si>
  <si>
    <t>Air Filter</t>
  </si>
  <si>
    <t>Spark Plug</t>
  </si>
  <si>
    <t>Crankshaft / Magneto</t>
  </si>
  <si>
    <t>Piston and Valves</t>
  </si>
  <si>
    <t>Cylinder Head</t>
  </si>
  <si>
    <t>Oil Filter</t>
  </si>
  <si>
    <t>Has to be changed</t>
  </si>
  <si>
    <t>Changed</t>
  </si>
  <si>
    <t>Entry</t>
  </si>
  <si>
    <t>Damage Observed</t>
  </si>
  <si>
    <t>Recommendation</t>
  </si>
  <si>
    <t>Actions</t>
  </si>
  <si>
    <t>No damage</t>
  </si>
  <si>
    <t>Keep it up</t>
  </si>
  <si>
    <t>Nothing done</t>
  </si>
  <si>
    <t>Well maintained</t>
  </si>
  <si>
    <t>Maintain the care</t>
  </si>
  <si>
    <t>Still good</t>
  </si>
  <si>
    <t>Clean it weekly</t>
  </si>
  <si>
    <t>Has no effect</t>
  </si>
  <si>
    <t>Monitor closely</t>
  </si>
  <si>
    <t>Still in good conditions</t>
  </si>
  <si>
    <t>Observed abnormal sound and smoke</t>
  </si>
  <si>
    <t xml:space="preserve">Still good </t>
  </si>
  <si>
    <t>maintain inspection</t>
  </si>
  <si>
    <t>Abit dirty</t>
  </si>
  <si>
    <t>Clean it once in the while</t>
  </si>
  <si>
    <t>Cleaned</t>
  </si>
  <si>
    <t>Needs replacement on weekly basis</t>
  </si>
  <si>
    <t xml:space="preserve">Very dirty </t>
  </si>
  <si>
    <t>Misalignment</t>
  </si>
  <si>
    <t>Needs setting</t>
  </si>
  <si>
    <t>Very dirty</t>
  </si>
  <si>
    <t>Has to be Cleaned</t>
  </si>
  <si>
    <t>Has damage</t>
  </si>
  <si>
    <t>Not changed</t>
  </si>
  <si>
    <t>In good conditions</t>
  </si>
  <si>
    <t>Maintain</t>
  </si>
  <si>
    <t>It has damage</t>
  </si>
  <si>
    <t>It needs to buy a new one</t>
  </si>
  <si>
    <t>Not damaged</t>
  </si>
  <si>
    <t>Very damaged</t>
  </si>
  <si>
    <t>Needs to be cleaned</t>
  </si>
  <si>
    <t>Dirty</t>
  </si>
  <si>
    <t>Should be changed</t>
  </si>
  <si>
    <t>Oil  replaced</t>
  </si>
  <si>
    <t>Has to be cleaned</t>
  </si>
  <si>
    <t>Did simple cleaning</t>
  </si>
  <si>
    <t>Very clean</t>
  </si>
  <si>
    <t>Damaged plug due to oil leakage</t>
  </si>
  <si>
    <t>Plug needs to be changed and adjust all the oil rings</t>
  </si>
  <si>
    <t>Plug replaced</t>
  </si>
  <si>
    <t>Should maintain the care</t>
  </si>
  <si>
    <t>Has serious defect</t>
  </si>
  <si>
    <t>Needs to be thoroughly changed</t>
  </si>
  <si>
    <t>Keep on</t>
  </si>
  <si>
    <t>No damage observed</t>
  </si>
  <si>
    <t>maintain</t>
  </si>
  <si>
    <t>Loose</t>
  </si>
  <si>
    <t>Did some setting</t>
  </si>
  <si>
    <t>Needs cleaning on daily basis</t>
  </si>
  <si>
    <t>Very okay and well maintained</t>
  </si>
  <si>
    <t xml:space="preserve"> keep observing for any change</t>
  </si>
  <si>
    <t>Needs careful cleaning</t>
  </si>
  <si>
    <t>Not bad</t>
  </si>
  <si>
    <t>Needs to be changed</t>
  </si>
  <si>
    <t>Well aligned</t>
  </si>
  <si>
    <t>Inspect them once in the while</t>
  </si>
  <si>
    <t xml:space="preserve">Dusty </t>
  </si>
  <si>
    <t>Very dirty, Has some particles, Some water</t>
  </si>
  <si>
    <t>Good mechanical condition</t>
  </si>
  <si>
    <t>Functioning well</t>
  </si>
  <si>
    <t>Good</t>
  </si>
  <si>
    <t>Clean and good</t>
  </si>
  <si>
    <t>Service in two weeks at least</t>
  </si>
  <si>
    <t>Clean</t>
  </si>
  <si>
    <t xml:space="preserve">Good </t>
  </si>
  <si>
    <t>Monitor them clearly</t>
  </si>
  <si>
    <t xml:space="preserve">Well maintained </t>
  </si>
  <si>
    <t>Please maintain the cleaning</t>
  </si>
  <si>
    <t>Has no damage</t>
  </si>
  <si>
    <t>Functioning properly</t>
  </si>
  <si>
    <t>No need for replacement</t>
  </si>
  <si>
    <t>Has no defect</t>
  </si>
  <si>
    <t>Keep monitoring</t>
  </si>
  <si>
    <t>Needs to changed</t>
  </si>
  <si>
    <t>Keep monitoring for any looseness</t>
  </si>
  <si>
    <t>Maintain weekly cleaning</t>
  </si>
  <si>
    <t>Keep it on</t>
  </si>
  <si>
    <t>Keep inspecting</t>
  </si>
  <si>
    <t>Change oil rings</t>
  </si>
  <si>
    <t>Needs to be washed</t>
  </si>
  <si>
    <t>Washed</t>
  </si>
  <si>
    <t>They are fine</t>
  </si>
  <si>
    <t>It’s okay</t>
  </si>
  <si>
    <t>Its spoilt</t>
  </si>
  <si>
    <t>Very dry and old</t>
  </si>
  <si>
    <t>Needs to be replaced</t>
  </si>
  <si>
    <t>Replaced</t>
  </si>
  <si>
    <t>Damaged</t>
  </si>
  <si>
    <t>Needs replacement</t>
  </si>
  <si>
    <t xml:space="preserve">Does not receive oil </t>
  </si>
  <si>
    <t>misalignment</t>
  </si>
  <si>
    <t>Needs to be arranged</t>
  </si>
  <si>
    <t>Arranged</t>
  </si>
  <si>
    <t>Its old</t>
  </si>
  <si>
    <t>Has defect</t>
  </si>
  <si>
    <t>Rings have to be replaced</t>
  </si>
  <si>
    <t>No damage  observed</t>
  </si>
  <si>
    <t>monitor closely</t>
  </si>
  <si>
    <t>Has to be thoroughly cleaned</t>
  </si>
  <si>
    <t>Did some simple cleaning</t>
  </si>
  <si>
    <t>Dirty, Has some water</t>
  </si>
  <si>
    <t xml:space="preserve"> Has no defect observed</t>
  </si>
  <si>
    <t xml:space="preserve">Change at least weekly </t>
  </si>
  <si>
    <t>Very dirty with water in it</t>
  </si>
  <si>
    <t>Has to be cleaned once in the while</t>
  </si>
  <si>
    <t>Observed to be loose</t>
  </si>
  <si>
    <t>Aligned</t>
  </si>
  <si>
    <t>Good working conditions</t>
  </si>
  <si>
    <t>Maintain servicing</t>
  </si>
  <si>
    <t>Good conditions</t>
  </si>
  <si>
    <t>Carefully take note</t>
  </si>
  <si>
    <t>Magneto still good, Crankshaft Nut worn out</t>
  </si>
  <si>
    <t>Nut changed</t>
  </si>
  <si>
    <t>Mechanically okay</t>
  </si>
  <si>
    <t>Keep close inspection</t>
  </si>
  <si>
    <t>Looked good</t>
  </si>
  <si>
    <t>Maintain checking</t>
  </si>
  <si>
    <t>Dusty</t>
  </si>
  <si>
    <t>Needs to be cleaned once in the while</t>
  </si>
  <si>
    <t xml:space="preserve">Change at least week </t>
  </si>
  <si>
    <t>Needs cleaning</t>
  </si>
  <si>
    <t>Somehow loose</t>
  </si>
  <si>
    <t>Maintain while monitoring</t>
  </si>
  <si>
    <t>Functioning normally</t>
  </si>
  <si>
    <t>Okay , No defects identified</t>
  </si>
  <si>
    <t>Maintain but needs to changed</t>
  </si>
  <si>
    <t>weekly</t>
  </si>
  <si>
    <t>Change weekly</t>
  </si>
  <si>
    <t>Clean weekly</t>
  </si>
  <si>
    <t>Mechanically sounding good</t>
  </si>
  <si>
    <t>Cleaning it once in the while</t>
  </si>
  <si>
    <t xml:space="preserve">normally functioning </t>
  </si>
  <si>
    <t>Observe closely</t>
  </si>
  <si>
    <t>Good and looking  nornal</t>
  </si>
  <si>
    <t>Inspect closely</t>
  </si>
  <si>
    <t>Kuyiga Benard</t>
  </si>
  <si>
    <t>MD2AI8A</t>
  </si>
  <si>
    <t>HWA76692</t>
  </si>
  <si>
    <t>Change weekly,needs to be filtered</t>
  </si>
  <si>
    <t>Requires timely inspection</t>
  </si>
  <si>
    <t>Requires cleaning periodically</t>
  </si>
  <si>
    <t>Functins normally</t>
  </si>
  <si>
    <t>inspect closely</t>
  </si>
  <si>
    <t>Looks good</t>
  </si>
  <si>
    <t>Inspect periodically</t>
  </si>
  <si>
    <t>comprehensive</t>
  </si>
  <si>
    <t>Still sounding good</t>
  </si>
  <si>
    <t>Nothing observed</t>
  </si>
  <si>
    <t>23/1/2020</t>
  </si>
  <si>
    <t>19/1/2020</t>
  </si>
  <si>
    <t>Requires close inspection</t>
  </si>
  <si>
    <t>Requires regular cleaning</t>
  </si>
  <si>
    <t>18/1/2020</t>
  </si>
  <si>
    <t>keep changing timely</t>
  </si>
  <si>
    <t>Clear</t>
  </si>
  <si>
    <t>Simple dusting done</t>
  </si>
  <si>
    <t>keep a close inspection</t>
  </si>
  <si>
    <t>keep changing weekly</t>
  </si>
  <si>
    <t>keep close inspection</t>
  </si>
  <si>
    <t>Change oil and replace oil rigs</t>
  </si>
  <si>
    <t>oil changed</t>
  </si>
  <si>
    <t>Durty</t>
  </si>
  <si>
    <t>Check and clean atleast after aweelk</t>
  </si>
  <si>
    <t>Needs setting in time</t>
  </si>
  <si>
    <t>Dusted just</t>
  </si>
  <si>
    <t>Maintain the observation</t>
  </si>
  <si>
    <t>Take go0d care</t>
  </si>
  <si>
    <t xml:space="preserve">Always maintain weekly </t>
  </si>
  <si>
    <t>Keep close monitoring</t>
  </si>
  <si>
    <t>Well set no problem</t>
  </si>
  <si>
    <t>Has little dusst</t>
  </si>
  <si>
    <t>Keep cleaning weekly</t>
  </si>
  <si>
    <t>Inspect it after work for any wearing</t>
  </si>
  <si>
    <t xml:space="preserve">Good conditions </t>
  </si>
  <si>
    <t>Well set no damage</t>
  </si>
  <si>
    <t>Fairly clean</t>
  </si>
  <si>
    <t>Did some cleaning</t>
  </si>
  <si>
    <t>It has no problem</t>
  </si>
  <si>
    <t>24/1/2020</t>
  </si>
  <si>
    <t>Has no problem</t>
  </si>
  <si>
    <t>Needs maintainance</t>
  </si>
  <si>
    <t>keep it up</t>
  </si>
  <si>
    <t>Clean wiyh less dust</t>
  </si>
  <si>
    <t>Still functioning</t>
  </si>
  <si>
    <t>Still okay</t>
  </si>
  <si>
    <t>Change</t>
  </si>
  <si>
    <t>they are clean</t>
  </si>
  <si>
    <t>maintain the spirit</t>
  </si>
  <si>
    <t>well functioning</t>
  </si>
  <si>
    <t>Wataka Emma</t>
  </si>
  <si>
    <t>MD2A18A</t>
  </si>
  <si>
    <t>Z7GWG8444</t>
  </si>
  <si>
    <t>Change on weekly basis</t>
  </si>
  <si>
    <t>Had some over flow</t>
  </si>
  <si>
    <t>Maintain closely to avoid the same mistake</t>
  </si>
  <si>
    <t>Cleaned throughly</t>
  </si>
  <si>
    <t>Observe closel for any loosening</t>
  </si>
  <si>
    <t>Good but with some dust</t>
  </si>
  <si>
    <t>Did ssome dusting</t>
  </si>
  <si>
    <t>Still functioning well</t>
  </si>
  <si>
    <t>Still okay but the nut needs replacement very soon</t>
  </si>
  <si>
    <t>Monitor closely before and after work</t>
  </si>
  <si>
    <t>Piston rings are warning</t>
  </si>
  <si>
    <t>Good looking</t>
  </si>
  <si>
    <t>Still functioning well and good looking</t>
  </si>
  <si>
    <t>24/1/12020</t>
  </si>
  <si>
    <t>Monitor periodically</t>
  </si>
  <si>
    <t>Always observe looseness</t>
  </si>
  <si>
    <t>did some dusting</t>
  </si>
  <si>
    <t>Good functioning</t>
  </si>
  <si>
    <t>Has to be changed once in the while</t>
  </si>
  <si>
    <t>Bad conditions</t>
  </si>
  <si>
    <t>Inspect regularly</t>
  </si>
  <si>
    <t>Monitor for any looseness</t>
  </si>
  <si>
    <t>Warn out</t>
  </si>
  <si>
    <t>Wetuma charles</t>
  </si>
  <si>
    <t>clear</t>
  </si>
  <si>
    <t>keep monitoring</t>
  </si>
  <si>
    <t>Has dirty partices</t>
  </si>
  <si>
    <t>Clean at least weekly</t>
  </si>
  <si>
    <t>okay, normally functioning</t>
  </si>
  <si>
    <t>Monitoring either before or after the service</t>
  </si>
  <si>
    <t>Warning</t>
  </si>
  <si>
    <t>Change on time</t>
  </si>
  <si>
    <t>Keep cleaning as usal</t>
  </si>
  <si>
    <t>Well set</t>
  </si>
  <si>
    <t>Clean it on time</t>
  </si>
  <si>
    <t xml:space="preserve">Dusted </t>
  </si>
  <si>
    <t>Okay</t>
  </si>
  <si>
    <t xml:space="preserve">Clean </t>
  </si>
  <si>
    <t>Clean periodically</t>
  </si>
  <si>
    <t>Womaungo Justine</t>
  </si>
  <si>
    <t>ZIFWA48753</t>
  </si>
  <si>
    <t>Observe for abnomality</t>
  </si>
  <si>
    <t>Observe for any abn0mality</t>
  </si>
  <si>
    <t>okay</t>
  </si>
  <si>
    <t>cleaned</t>
  </si>
  <si>
    <t>Change weekly and on time</t>
  </si>
  <si>
    <t>Monitor closely for any unsual functioning</t>
  </si>
  <si>
    <t>Clean after seeing any dirt</t>
  </si>
  <si>
    <t>Not  good ,it has some gas</t>
  </si>
  <si>
    <t>Always check after the service</t>
  </si>
  <si>
    <t>Continue changing in time</t>
  </si>
  <si>
    <t>In good conditins</t>
  </si>
  <si>
    <t>Inspect for unusual functioning</t>
  </si>
  <si>
    <t>Watch closely</t>
  </si>
  <si>
    <t>17/1/2020</t>
  </si>
  <si>
    <t>Clean it when required</t>
  </si>
  <si>
    <t>Inspect for any looseness</t>
  </si>
  <si>
    <t>Very dusty but still okay</t>
  </si>
  <si>
    <t>Nut worn out/eaten up</t>
  </si>
  <si>
    <t>Always be keen while operating</t>
  </si>
  <si>
    <t>MD2A18AY8JWA84049</t>
  </si>
  <si>
    <t>31/1/2020</t>
  </si>
  <si>
    <t>It needs to replace</t>
  </si>
  <si>
    <t>It is good maintain the care</t>
  </si>
  <si>
    <t>It is good</t>
  </si>
  <si>
    <t>Inspect for any abnormal functioning</t>
  </si>
  <si>
    <t>Clean it atleast next week</t>
  </si>
  <si>
    <t>It is okay</t>
  </si>
  <si>
    <t>No wear observed</t>
  </si>
  <si>
    <t>It is still working</t>
  </si>
  <si>
    <t>Inspect for abnormal soke while riding</t>
  </si>
  <si>
    <t>It is still okay</t>
  </si>
  <si>
    <t>functioning well</t>
  </si>
  <si>
    <t>Inpect once in the while</t>
  </si>
  <si>
    <t>Still in good working conditions</t>
  </si>
  <si>
    <t>Clean it next week</t>
  </si>
  <si>
    <t>Still opperating well</t>
  </si>
  <si>
    <t xml:space="preserve">Maintain </t>
  </si>
  <si>
    <t>Clear it once in the while</t>
  </si>
  <si>
    <t>Needs changing weekly</t>
  </si>
  <si>
    <t>Clean it soon</t>
  </si>
  <si>
    <t>Still working well</t>
  </si>
  <si>
    <t>Check after service</t>
  </si>
  <si>
    <t>Watch for any unusual functioning</t>
  </si>
  <si>
    <t>watch it closely</t>
  </si>
  <si>
    <t>Chaned</t>
  </si>
  <si>
    <t>Monitor for abmormal functioning</t>
  </si>
  <si>
    <t>Well cleaned</t>
  </si>
  <si>
    <t>Still good maintain the care</t>
  </si>
  <si>
    <t>Normally functionig</t>
  </si>
  <si>
    <t>Requires changing</t>
  </si>
  <si>
    <t>They are loose</t>
  </si>
  <si>
    <t>Has to be tighteuned</t>
  </si>
  <si>
    <t>Nut is damaged</t>
  </si>
  <si>
    <t>Needsto be changed</t>
  </si>
  <si>
    <t>Working well</t>
  </si>
  <si>
    <t>Normal</t>
  </si>
  <si>
    <t>Replace the nut</t>
  </si>
  <si>
    <t>Clean next week</t>
  </si>
  <si>
    <t>Inspect for any misallignment</t>
  </si>
  <si>
    <t>Watch smoke released closely</t>
  </si>
  <si>
    <t>Stilfunctioning well</t>
  </si>
  <si>
    <t>Inspect for any unusual functioning</t>
  </si>
  <si>
    <t>Clean and functioning well</t>
  </si>
  <si>
    <t>Normally functioning</t>
  </si>
  <si>
    <t>Inspect cloely for any abnormal functioning</t>
  </si>
  <si>
    <t>Needs cleaning on time on daily basis</t>
  </si>
  <si>
    <t>Dusted</t>
  </si>
  <si>
    <t>Still good with out any wear</t>
  </si>
  <si>
    <t>Inspect either after or before the service</t>
  </si>
  <si>
    <t>It is clear</t>
  </si>
  <si>
    <t>Needs a new one</t>
  </si>
  <si>
    <t>Its okay</t>
  </si>
  <si>
    <t>keep close suervision</t>
  </si>
  <si>
    <t xml:space="preserve">Normal </t>
  </si>
  <si>
    <t>Chanrged</t>
  </si>
  <si>
    <t>Inspct closely</t>
  </si>
  <si>
    <t xml:space="preserve">Clear </t>
  </si>
  <si>
    <t>They are all damaged</t>
  </si>
  <si>
    <t>Need to e changed</t>
  </si>
  <si>
    <t>Need to be changed</t>
  </si>
  <si>
    <t xml:space="preserve"> Needs to be cleaned</t>
  </si>
  <si>
    <t>WAFUMBO ROGERS</t>
  </si>
  <si>
    <t>PERFECT</t>
  </si>
  <si>
    <t>needs to be setted</t>
  </si>
  <si>
    <t>GOOD</t>
  </si>
  <si>
    <t>WELL SERVICED</t>
  </si>
  <si>
    <t>NOT IN A GOOD CONDITION</t>
  </si>
  <si>
    <t>change weekly</t>
  </si>
  <si>
    <t>atleast once in a week</t>
  </si>
  <si>
    <t>needs to be changed</t>
  </si>
  <si>
    <t>changed</t>
  </si>
  <si>
    <t>setted</t>
  </si>
  <si>
    <t>well done</t>
  </si>
  <si>
    <t>not changed</t>
  </si>
  <si>
    <t>WANINDA PAUL</t>
  </si>
  <si>
    <t>good</t>
  </si>
  <si>
    <t>MISSED TIMING</t>
  </si>
  <si>
    <t>STILL GOOD</t>
  </si>
  <si>
    <t>IN A GOOD CONDITION</t>
  </si>
  <si>
    <t>FUNCTIONING WELL</t>
  </si>
  <si>
    <t>NORMAL</t>
  </si>
  <si>
    <t>needs to be changed weekly</t>
  </si>
  <si>
    <t>needs setting</t>
  </si>
  <si>
    <t>KEEP IT ON</t>
  </si>
  <si>
    <t>KEEP IT UP</t>
  </si>
  <si>
    <t>MAINTAIN</t>
  </si>
  <si>
    <t>nothing dirty</t>
  </si>
  <si>
    <t>setting done</t>
  </si>
  <si>
    <t>nothing done</t>
  </si>
  <si>
    <t>NOTHING DONE</t>
  </si>
  <si>
    <t>WAMBEDE MUSA</t>
  </si>
  <si>
    <t>NOT BAD</t>
  </si>
  <si>
    <t>WELL MAINTAINED</t>
  </si>
  <si>
    <t>maintain it</t>
  </si>
  <si>
    <t>continue like that</t>
  </si>
  <si>
    <t>keep it on</t>
  </si>
  <si>
    <t>MUKHWANA MOSES</t>
  </si>
  <si>
    <t>IT WAS GOOD</t>
  </si>
  <si>
    <t>DAMAGE OBSERVED</t>
  </si>
  <si>
    <t>NO DAMAGE OBSERVED</t>
  </si>
  <si>
    <t>NEEDS TO BE CHANGED</t>
  </si>
  <si>
    <t>IT WAS OK</t>
  </si>
  <si>
    <t>service needed weekly</t>
  </si>
  <si>
    <t>service needed</t>
  </si>
  <si>
    <t>done</t>
  </si>
  <si>
    <t>not done</t>
  </si>
  <si>
    <t>MULONDO SULAITI</t>
  </si>
  <si>
    <t>NOT WELL SERVICED</t>
  </si>
  <si>
    <t>NEED TO BE SETTED</t>
  </si>
  <si>
    <t>WORN OUT</t>
  </si>
  <si>
    <t>NEEDS TO ATLEAST CHANGE WEEKLY</t>
  </si>
  <si>
    <t>needs to be serviced weekly</t>
  </si>
  <si>
    <t>weekly setting needed</t>
  </si>
  <si>
    <t>needs to be replaced</t>
  </si>
  <si>
    <t>MUSAMALI FRED</t>
  </si>
  <si>
    <t>VERY DIRTY</t>
  </si>
  <si>
    <t>NEEDS TIMING</t>
  </si>
  <si>
    <t>SERVICED VERY WELL</t>
  </si>
  <si>
    <t>needed every weekend</t>
  </si>
  <si>
    <t>MAJEME GEORGE</t>
  </si>
  <si>
    <t>every week needs to be done so</t>
  </si>
  <si>
    <t xml:space="preserve">changed </t>
  </si>
  <si>
    <t>MASINDE SULAITI</t>
  </si>
  <si>
    <t>PERRFECT</t>
  </si>
  <si>
    <t xml:space="preserve">maintain </t>
  </si>
  <si>
    <t>NABENDE AARON</t>
  </si>
  <si>
    <t>NAGOMU LATIFU</t>
  </si>
  <si>
    <t xml:space="preserve">GOOD </t>
  </si>
  <si>
    <t>VERY GOOD</t>
  </si>
  <si>
    <t>WAZENGE SALIMU</t>
  </si>
  <si>
    <t>LUBEGA YUSUF</t>
  </si>
  <si>
    <t>GOOD ATLEAST</t>
  </si>
  <si>
    <t>GOOD IN CONDITION</t>
  </si>
  <si>
    <t>ATLEAST GOOD</t>
  </si>
  <si>
    <t xml:space="preserve"> GOOD</t>
  </si>
  <si>
    <t>WEEKLY</t>
  </si>
  <si>
    <t>NUT WORN OUT</t>
  </si>
  <si>
    <t>piston and rings needed and oil to be changed</t>
  </si>
  <si>
    <t>needs to be atleast checked weekly</t>
  </si>
  <si>
    <t>done( nut and washer replaced)</t>
  </si>
  <si>
    <t xml:space="preserve"> SERVICED VERY WELL</t>
  </si>
  <si>
    <t>WAMIMBI RONALD</t>
  </si>
  <si>
    <t>NEED TO BE TIMED</t>
  </si>
  <si>
    <t>NEEDS TO PUT NEW PISTON AND VALVES</t>
  </si>
  <si>
    <t>NEEDS VALVES SEALS</t>
  </si>
  <si>
    <t>every week</t>
  </si>
  <si>
    <t>check weekly</t>
  </si>
  <si>
    <t>it should be done soon</t>
  </si>
  <si>
    <t>it should be replaced very soon</t>
  </si>
  <si>
    <t>NOT GOOD</t>
  </si>
  <si>
    <t>good service</t>
  </si>
  <si>
    <t>well serviced</t>
  </si>
  <si>
    <t>not yet changed</t>
  </si>
  <si>
    <t>VERY BAD IN CONDITION</t>
  </si>
  <si>
    <t>GOO</t>
  </si>
  <si>
    <t>to be done service weekly</t>
  </si>
  <si>
    <t>VERY BAD</t>
  </si>
  <si>
    <t>needs to be checked weekly</t>
  </si>
  <si>
    <t>very okay</t>
  </si>
  <si>
    <t>checked and done</t>
  </si>
  <si>
    <t xml:space="preserve">ITS GOOD </t>
  </si>
  <si>
    <t>NEEDS TIMING OF TAPPETS</t>
  </si>
  <si>
    <t>it needs to be removed</t>
  </si>
  <si>
    <t>change</t>
  </si>
  <si>
    <t>NOT VERY BAD</t>
  </si>
  <si>
    <t>needs to be checked atleast weekly</t>
  </si>
  <si>
    <t>checked</t>
  </si>
  <si>
    <t>WETONYI TOM</t>
  </si>
  <si>
    <t>SERVICED WELL</t>
  </si>
  <si>
    <t>service needed atleast once in a week</t>
  </si>
  <si>
    <t>Need piston kit and to be changed weekly</t>
  </si>
  <si>
    <t>to be checked atleast once in a week</t>
  </si>
  <si>
    <t>SERVICED BUT IN A BAD CONDITION</t>
  </si>
  <si>
    <t>Needs to be serviced atleast weekly</t>
  </si>
  <si>
    <t>serviced</t>
  </si>
  <si>
    <t>good and keep it up</t>
  </si>
  <si>
    <t>JENGO YAHAYA</t>
  </si>
  <si>
    <t>SERVICED</t>
  </si>
  <si>
    <t>new nut and waher replaced</t>
  </si>
  <si>
    <t>weekly done atleast</t>
  </si>
  <si>
    <t>once in a weak atleast In a month</t>
  </si>
  <si>
    <t>weekly to be checked</t>
  </si>
  <si>
    <t>CHANGE WEEKLY</t>
  </si>
  <si>
    <t>CHECK ONCE IN A MONTH ATLESST</t>
  </si>
  <si>
    <t xml:space="preserve">TO BE CHECKED atleast once in a month                                                                                                                                                            </t>
  </si>
  <si>
    <t>CHNGED</t>
  </si>
  <si>
    <t>DONE</t>
  </si>
  <si>
    <t>done and replace</t>
  </si>
  <si>
    <t>GOOD EVEN IF SERVICED</t>
  </si>
  <si>
    <t>NEEDS TO BE CHANGED WEEKLY, NEW PISTON AND RINGS NEEDED</t>
  </si>
  <si>
    <t>OIL CHANGED</t>
  </si>
  <si>
    <t>NUT REPLACED</t>
  </si>
  <si>
    <t>ONCE IN A MONTH</t>
  </si>
  <si>
    <t>NEEDS TO BE CHECKED ATLEAST ONCE IN A MONTH</t>
  </si>
  <si>
    <t>CHANGE</t>
  </si>
  <si>
    <t>REPLACEMENT DONE</t>
  </si>
  <si>
    <t>atleast to be checked every week</t>
  </si>
  <si>
    <t>nut replacement done</t>
  </si>
  <si>
    <t>ATLEAST ONCE IN A MONTH</t>
  </si>
  <si>
    <t>ATLEAST WEEKLY TO BE CHECKED</t>
  </si>
  <si>
    <t>ATLEAST ONCE IN A WEEK</t>
  </si>
  <si>
    <t>ATLEAST ONCE IN A WEEK CHECK NEEDED</t>
  </si>
  <si>
    <t>CHANGED</t>
  </si>
  <si>
    <t>SERVICE WEEKLY</t>
  </si>
  <si>
    <t>WEEKLY TO BE DONE ATLEAST</t>
  </si>
  <si>
    <t>NEEDS TO BE CHECKED ATLEAST WEEKLY</t>
  </si>
  <si>
    <t>DONE AND CHECKED</t>
  </si>
  <si>
    <t>ATLEAST WEEKLY</t>
  </si>
  <si>
    <t>ATLEAST ONCE IN A WEEK TO BE CHECKED</t>
  </si>
  <si>
    <t>VERY GOOD IN CONDITION</t>
  </si>
  <si>
    <t>TO BE CHECKED ATLEAST WEEKLY</t>
  </si>
  <si>
    <t xml:space="preserve">KEEP IT </t>
  </si>
  <si>
    <t>GO ON</t>
  </si>
  <si>
    <t>WASHER AND NUT REPLACED</t>
  </si>
  <si>
    <t>TO BE CHECKED WEEKLY</t>
  </si>
  <si>
    <t>ATLEAST TO BE CHECKED WEEKLY</t>
  </si>
  <si>
    <t>WASHER AND NUT NEED REPLACEMENT(WORN OUT)</t>
  </si>
  <si>
    <t>CONTROL</t>
  </si>
  <si>
    <t>NOT IN A BAD CONDITION</t>
  </si>
  <si>
    <t>CLEAN</t>
  </si>
  <si>
    <t>PLEASE CHANGE WEEKLY</t>
  </si>
  <si>
    <t>MAINTAINED</t>
  </si>
  <si>
    <t>WASHER AND NUT TO BE REPLACED</t>
  </si>
  <si>
    <t>CLEAN AND GOOD</t>
  </si>
  <si>
    <t>Row Labels</t>
  </si>
  <si>
    <t>Grand Total</t>
  </si>
  <si>
    <t>Count of Service Type</t>
  </si>
  <si>
    <t>Column Labels</t>
  </si>
  <si>
    <t>Weekly</t>
  </si>
  <si>
    <t>Wamimbi Ronald</t>
  </si>
  <si>
    <t>dirty</t>
  </si>
  <si>
    <t>Very Dirty</t>
  </si>
  <si>
    <t>Misaligned</t>
  </si>
  <si>
    <t>Tight</t>
  </si>
  <si>
    <t>Needs to be Changed</t>
  </si>
  <si>
    <t>16/01/2020</t>
  </si>
  <si>
    <t>Date FMT</t>
  </si>
  <si>
    <t>Observations</t>
  </si>
  <si>
    <t>Actions Taken</t>
  </si>
  <si>
    <t>In good Condition</t>
  </si>
  <si>
    <t>Nut and washer worn out</t>
  </si>
  <si>
    <t>Nut and washer showing wear</t>
  </si>
  <si>
    <t>Needs adjustment</t>
  </si>
  <si>
    <t>Needs adjustment, tappets are tight</t>
  </si>
  <si>
    <t>Needs adjustment, tappets are loose</t>
  </si>
  <si>
    <t>Needs to be adjusted</t>
  </si>
  <si>
    <t>Monitor, needs to be serviced soon</t>
  </si>
  <si>
    <t xml:space="preserve">Replace Nut </t>
  </si>
  <si>
    <t>Replace Magneto</t>
  </si>
  <si>
    <t>Nut showing wear, will need to replace soon</t>
  </si>
  <si>
    <t>Chagned</t>
  </si>
  <si>
    <t>Not Changed</t>
  </si>
  <si>
    <t xml:space="preserve">Replaced Nut </t>
  </si>
  <si>
    <t>Replaced Magneto</t>
  </si>
  <si>
    <t>Nothing Done</t>
  </si>
  <si>
    <t>Nothing done, despite recommendation</t>
  </si>
  <si>
    <t>Replaced Spark Plug</t>
  </si>
  <si>
    <t>Cleaned Filter</t>
  </si>
  <si>
    <t>Aligned/adjusted</t>
  </si>
  <si>
    <t>Carberator was cleaned</t>
  </si>
  <si>
    <t>Will need to be cleaned next week</t>
  </si>
  <si>
    <t>Will need to be cleaned in a few days</t>
  </si>
  <si>
    <t>Monitor closely, will need to be changed soon</t>
  </si>
  <si>
    <t>No service needed, looks good, maintain</t>
  </si>
  <si>
    <t>Odometer</t>
  </si>
  <si>
    <t>No adjustment needed, looks good, maintain</t>
  </si>
  <si>
    <t>Nabwambi micheal</t>
  </si>
  <si>
    <t>Makona Lameka</t>
  </si>
  <si>
    <t>Mwambu Denis</t>
  </si>
  <si>
    <t>Wakamweli Agrey</t>
  </si>
  <si>
    <t>Comprehensive @new</t>
  </si>
  <si>
    <t>NOT BAD THOUGH USED UP</t>
  </si>
  <si>
    <t>DIRTY AND FAULTY</t>
  </si>
  <si>
    <t>KEEP IT MAINTAINED</t>
  </si>
  <si>
    <t>KEEP IT SET</t>
  </si>
  <si>
    <t>KEEP IT CLEAN &amp; SERVICED</t>
  </si>
  <si>
    <t>MAGOMU LATIFU</t>
  </si>
  <si>
    <t>Clean(no soot)</t>
  </si>
  <si>
    <t>Keep it clean</t>
  </si>
  <si>
    <t>Good, no damage observed</t>
  </si>
  <si>
    <t>Keep it checked</t>
  </si>
  <si>
    <t>KEEP SERVICING WEEKLY</t>
  </si>
  <si>
    <t>CHECK ONCE IN A WEEK ATLEAST</t>
  </si>
  <si>
    <t>CHECKED</t>
  </si>
  <si>
    <t>KEEP IT CHECKED</t>
  </si>
  <si>
    <t>Very little oil</t>
  </si>
  <si>
    <t>Nut not worn out</t>
  </si>
  <si>
    <t>Need piston replacement &amp; valve seals service</t>
  </si>
  <si>
    <t xml:space="preserve">Needs to be set </t>
  </si>
  <si>
    <t>Changed oil &amp; replaced pistons</t>
  </si>
  <si>
    <t>Set</t>
  </si>
  <si>
    <t>Maintained</t>
  </si>
  <si>
    <t>GOOD &amp; SERVICED</t>
  </si>
  <si>
    <t>KEEP IT SERVICED</t>
  </si>
  <si>
    <t>CHECK WEEKLY</t>
  </si>
  <si>
    <t>TO BE SERVICED WEEKLY</t>
  </si>
  <si>
    <t>KEEP SERVICING</t>
  </si>
  <si>
    <t>NOT SO BAD THOUGH CHANGED</t>
  </si>
  <si>
    <t>NOT BAD THOUGH CHECKED</t>
  </si>
  <si>
    <t>CHECKED BUT GOOD IN CONDITION</t>
  </si>
  <si>
    <t>TO BE DONE EVERY WEEK</t>
  </si>
  <si>
    <t>GOOD IN CONDITION,MAINTAIN</t>
  </si>
  <si>
    <t>WELL DONE</t>
  </si>
  <si>
    <t>DONE THE MAINTENANCE</t>
  </si>
  <si>
    <t>MAINTAIN IT</t>
  </si>
  <si>
    <t>GOOD IN CONDITION THOUGH CHANGED</t>
  </si>
  <si>
    <t>NOT DIRTY</t>
  </si>
  <si>
    <t>TO BE CHANGED WEEKLY</t>
  </si>
  <si>
    <t>MAINTAIN IT UP</t>
  </si>
  <si>
    <t>CHECKED WELL</t>
  </si>
  <si>
    <t>NOT BAD BUT CHANGED</t>
  </si>
  <si>
    <t>IT HAD A PROBLEM(DIRTY INSIDE)</t>
  </si>
  <si>
    <t>GOT LOOSE</t>
  </si>
  <si>
    <t>HAD A PROBLEM(SO DARK)</t>
  </si>
  <si>
    <t>IT HAS NO PROBLEM IN VALVES</t>
  </si>
  <si>
    <t>IT WAS CLEANED AND SERVICED WELL</t>
  </si>
  <si>
    <t>NEEDS SERVICE ONCE A WEEK</t>
  </si>
  <si>
    <t>NEEDS A PLUG</t>
  </si>
  <si>
    <t>MAINTAINED AND SERVICE</t>
  </si>
  <si>
    <t>THEY WERE SET IN A GOOD CONDITION</t>
  </si>
  <si>
    <t>IT WAS CHANGED</t>
  </si>
  <si>
    <t>NOT BAD BUT USED UP</t>
  </si>
  <si>
    <t>THEY ARE LOOSE</t>
  </si>
  <si>
    <t>IT WAS CLEAN</t>
  </si>
  <si>
    <t>IT WAS BLACK SOOTED</t>
  </si>
  <si>
    <t>NUT IS IN GOOD CONDITION NOT WORN OUT</t>
  </si>
  <si>
    <t>NEEDS WEEKLY CHANGING</t>
  </si>
  <si>
    <t>MAINTAINED ALWAYS</t>
  </si>
  <si>
    <t>PLEASE KEEP IT UP</t>
  </si>
  <si>
    <t>NEEDS TO BE CLEANED</t>
  </si>
  <si>
    <t>NEED TO BE CHECKED WEEKLY</t>
  </si>
  <si>
    <t>THEY WERE SET</t>
  </si>
  <si>
    <t>SOOT WAS CLEANED</t>
  </si>
  <si>
    <t>LOOSE SHOCK-ABSORBER &amp; SEALS</t>
  </si>
  <si>
    <t>NEEDS ADJUSTMENT</t>
  </si>
  <si>
    <t>KEEP IT CLEAN</t>
  </si>
  <si>
    <t>ADJUSTED AND REPLACED</t>
  </si>
  <si>
    <t>SET</t>
  </si>
  <si>
    <t>DIRTY</t>
  </si>
  <si>
    <t>TO BE CHANGED &amp; CHECK IN A WEEK</t>
  </si>
  <si>
    <t>FAULTY</t>
  </si>
  <si>
    <t>NEEDS OIL MIRROR REPLACEMENT</t>
  </si>
  <si>
    <t>REPLACED</t>
  </si>
  <si>
    <t>CLEANED</t>
  </si>
  <si>
    <t>VERY LITTLE OIL, DIRTY AND USED UP</t>
  </si>
  <si>
    <t>NEEDS TO REPLACE PISTON RINGS &amp; VALVES</t>
  </si>
  <si>
    <t>NEEDS TO BE SET</t>
  </si>
  <si>
    <t>TO BE WORKED ON TOMORROW</t>
  </si>
  <si>
    <t>KEEP IT CHECKED WEEKLY</t>
  </si>
  <si>
    <t>NEEDS SERVICING</t>
  </si>
  <si>
    <t>DIRTY AND USED UP</t>
  </si>
  <si>
    <t>TIGHT</t>
  </si>
  <si>
    <t>NEEDS TO REPLACE(DIRTY)</t>
  </si>
  <si>
    <t>PLEASE CHANGE</t>
  </si>
  <si>
    <t>NEEDS CLEANING</t>
  </si>
  <si>
    <t>NEED SETTING</t>
  </si>
  <si>
    <t>NEEDS TO CLEAN</t>
  </si>
  <si>
    <t>REPLACE PLUG</t>
  </si>
  <si>
    <t>NEEDS CHECKING WEEKLY</t>
  </si>
  <si>
    <t>TAPPETS WERE SET</t>
  </si>
  <si>
    <t>LOOSE</t>
  </si>
  <si>
    <t>NUT NOT WORN OUT</t>
  </si>
  <si>
    <t>NEEDS CHANGING</t>
  </si>
  <si>
    <t>NEED ADJUSTING</t>
  </si>
  <si>
    <t>NOTHING TO DO</t>
  </si>
  <si>
    <t>DOES NOT NEED CHANGING</t>
  </si>
  <si>
    <t>NO SERVICE NEEDED</t>
  </si>
  <si>
    <t>ADJUSTED</t>
  </si>
  <si>
    <t>MISALIGNED</t>
  </si>
  <si>
    <t>NEEDS TO CHANGE</t>
  </si>
  <si>
    <t>NO SERVICE REQUIRED</t>
  </si>
  <si>
    <t>NOTHOING DONE</t>
  </si>
  <si>
    <t>NOT DONE</t>
  </si>
  <si>
    <t>DIRTY OIL</t>
  </si>
  <si>
    <t>NUT STILL GOOD</t>
  </si>
  <si>
    <t>NO SERVICE NEED</t>
  </si>
  <si>
    <t>NO SERVICE WANTED</t>
  </si>
  <si>
    <t>NO ACTION</t>
  </si>
  <si>
    <t>NO SETTING NEEDED</t>
  </si>
  <si>
    <t>NO SERVICE , MONITOR WEEKLY</t>
  </si>
  <si>
    <t>NOT SET</t>
  </si>
  <si>
    <t>SETTED</t>
  </si>
  <si>
    <t>NAGOMU LATIF</t>
  </si>
  <si>
    <t>Namasoko Joel</t>
  </si>
  <si>
    <t>Nashimolo sam festo</t>
  </si>
  <si>
    <t>The oil is still okay</t>
  </si>
  <si>
    <t>It is clean</t>
  </si>
  <si>
    <t>They are clean</t>
  </si>
  <si>
    <t>Gaood conditions</t>
  </si>
  <si>
    <t>Continue changing weekly</t>
  </si>
  <si>
    <t>Maintain the service</t>
  </si>
  <si>
    <t>Maintain the care for better functioning</t>
  </si>
  <si>
    <t>Continue cleaning</t>
  </si>
  <si>
    <t>Do close observation</t>
  </si>
  <si>
    <t>Oil changed</t>
  </si>
  <si>
    <t>Oil is dirty</t>
  </si>
  <si>
    <t>Loosen</t>
  </si>
  <si>
    <t>Clean, in good conditions</t>
  </si>
  <si>
    <t>Funcyions normally</t>
  </si>
  <si>
    <t>No wearing</t>
  </si>
  <si>
    <t>In good condtions</t>
  </si>
  <si>
    <t>Regular cleaning</t>
  </si>
  <si>
    <t>Requires tightening</t>
  </si>
  <si>
    <t>Regular check up required</t>
  </si>
  <si>
    <t>Check up reqired</t>
  </si>
  <si>
    <t>Regular inspection required</t>
  </si>
  <si>
    <t>Regular check up</t>
  </si>
  <si>
    <t>Check up required</t>
  </si>
  <si>
    <t>Checked</t>
  </si>
  <si>
    <t>Tightened</t>
  </si>
  <si>
    <t>MWALYE ERIC</t>
  </si>
  <si>
    <t>Still okay, has no dirt</t>
  </si>
  <si>
    <t>Still in good condtions</t>
  </si>
  <si>
    <t>Dirty(has dust)</t>
  </si>
  <si>
    <t>Inspect atleast weekly</t>
  </si>
  <si>
    <t>Inspect for any malfunctioning</t>
  </si>
  <si>
    <t>Regular checking</t>
  </si>
  <si>
    <t>Regular inspection</t>
  </si>
  <si>
    <t>Requires checking regularly</t>
  </si>
  <si>
    <t>Inspected</t>
  </si>
  <si>
    <t>MASABA LENARD</t>
  </si>
  <si>
    <t>Oil is dirty,nut is damaged</t>
  </si>
  <si>
    <t>It is normal</t>
  </si>
  <si>
    <t>It is dirty</t>
  </si>
  <si>
    <t>It is not okay,has some rust</t>
  </si>
  <si>
    <t>They are okay</t>
  </si>
  <si>
    <t>Normal state</t>
  </si>
  <si>
    <t>Oil needs to be replaced,oil nut needs to be replaced</t>
  </si>
  <si>
    <t>Take good care</t>
  </si>
  <si>
    <t>Observe for any abnomality</t>
  </si>
  <si>
    <t>Inspect after the service</t>
  </si>
  <si>
    <t>Waashed</t>
  </si>
  <si>
    <t>Bwayo Rogers</t>
  </si>
  <si>
    <t>Thick and dirty(dark)</t>
  </si>
  <si>
    <t>In good state</t>
  </si>
  <si>
    <t>Change engine oil</t>
  </si>
  <si>
    <t>Nothing recommended</t>
  </si>
  <si>
    <t>Requires cleaning</t>
  </si>
  <si>
    <t>Nothing to be done</t>
  </si>
  <si>
    <t>Reguar inspection required</t>
  </si>
  <si>
    <t>Engine oil changed</t>
  </si>
  <si>
    <t>No action taken</t>
  </si>
  <si>
    <t>KISSA BRAHIM</t>
  </si>
  <si>
    <t>Oil is dirty with some particles</t>
  </si>
  <si>
    <t>In normal condition</t>
  </si>
  <si>
    <t>Requires changing oil</t>
  </si>
  <si>
    <t>Check regularly</t>
  </si>
  <si>
    <t>Clean regulariy</t>
  </si>
  <si>
    <t>Check up regularly</t>
  </si>
  <si>
    <t>Check periodically</t>
  </si>
  <si>
    <t>No actio taken</t>
  </si>
  <si>
    <t>NAMASOKO JOEL</t>
  </si>
  <si>
    <t>Dirty(dark) wih some particles</t>
  </si>
  <si>
    <t>Damage observation</t>
  </si>
  <si>
    <t>In normal conditions</t>
  </si>
  <si>
    <t>Normal condition</t>
  </si>
  <si>
    <t>Regular checking of engine oil</t>
  </si>
  <si>
    <t>Regular checking required</t>
  </si>
  <si>
    <t>Requires checking and cleaning</t>
  </si>
  <si>
    <t>Checked and cleaned</t>
  </si>
  <si>
    <t>masaba paul</t>
  </si>
  <si>
    <t>Engine oil is okay, reduced</t>
  </si>
  <si>
    <t>It is clean, normally functioning</t>
  </si>
  <si>
    <t>Theyy are normal</t>
  </si>
  <si>
    <t>Replace the oil rings to avoid oil reduction</t>
  </si>
  <si>
    <t>Keep servicing on time</t>
  </si>
  <si>
    <t>Inspect for any abnormality</t>
  </si>
  <si>
    <t>Clean atleast weekly</t>
  </si>
  <si>
    <t>Inspect the smoke through exhaust</t>
  </si>
  <si>
    <t>Mnitor closely for any damage</t>
  </si>
  <si>
    <t>Oil is dusted, reduced</t>
  </si>
  <si>
    <t>Checked in normal state</t>
  </si>
  <si>
    <t>Keep the maintaince spirit</t>
  </si>
  <si>
    <t>Observe for the misaigment</t>
  </si>
  <si>
    <t>Clean on time</t>
  </si>
  <si>
    <t>Inspect closely before the service</t>
  </si>
  <si>
    <t>Requires regular  check up</t>
  </si>
  <si>
    <t>Dirty with some particles</t>
  </si>
  <si>
    <t>In good status</t>
  </si>
  <si>
    <t>Regular checking is required</t>
  </si>
  <si>
    <t>Regular ceck up required</t>
  </si>
  <si>
    <t>Periodic check up</t>
  </si>
  <si>
    <t>Maiainn</t>
  </si>
  <si>
    <t>Checked and oil changed</t>
  </si>
  <si>
    <t>No action made</t>
  </si>
  <si>
    <t>wetuma charlse</t>
  </si>
  <si>
    <t>Oil has dust</t>
  </si>
  <si>
    <t>It has dust</t>
  </si>
  <si>
    <t>They are good</t>
  </si>
  <si>
    <t>Cange weekly</t>
  </si>
  <si>
    <t>Observe for any misalignment</t>
  </si>
  <si>
    <t>Keep a close look</t>
  </si>
  <si>
    <t>Always inspect after the irrigation service</t>
  </si>
  <si>
    <t>Noyhing done</t>
  </si>
  <si>
    <t>WOMAUNGO JUSTINE</t>
  </si>
  <si>
    <t>It has come down to a level of being a litre and it has some particles</t>
  </si>
  <si>
    <t>It works properly</t>
  </si>
  <si>
    <t>It is still good</t>
  </si>
  <si>
    <t xml:space="preserve">It needs to put more rings or a new piston </t>
  </si>
  <si>
    <t>womaungo justine</t>
  </si>
  <si>
    <t>WETUMA CHARLES</t>
  </si>
  <si>
    <t>MUTENYO ALEX</t>
  </si>
  <si>
    <t>NEED TO CHECK</t>
  </si>
  <si>
    <t>NA</t>
  </si>
  <si>
    <t>asdf</t>
  </si>
  <si>
    <t>sf</t>
  </si>
  <si>
    <t>sdf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</si>
</sst>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000000"/>
      <name val="Calibri"/>
      <family val="2"/>
      <scheme val="minor"/>
    </font>
    <font>
      <b/>
      <sz val="11"/>
      <color theme="1"/>
      <name val="Calibri"/>
      <family val="2"/>
      <scheme val="minor"/>
    </font>
    <font>
      <b/>
      <sz val="11"/>
      <color rgb="FF000000"/>
      <name val="Calibri"/>
      <family val="2"/>
      <scheme val="minor"/>
    </font>
    <font>
      <sz val="10"/>
      <color rgb="FF0A0101"/>
      <name val="Arial"/>
      <family val="2"/>
    </font>
    <font>
      <sz val="8"/>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rgb="FF95B3D7"/>
        <bgColor rgb="FF000000"/>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xf numFmtId="0" fontId="0" fillId="0" borderId="1" xfId="0" applyBorder="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4" fontId="0" fillId="0" borderId="0" xfId="0" applyNumberFormat="1" applyFill="1"/>
    <xf numFmtId="0" fontId="2" fillId="0" borderId="0" xfId="0" applyFont="1"/>
    <xf numFmtId="0" fontId="3" fillId="0" borderId="0" xfId="0" applyFont="1"/>
    <xf numFmtId="14" fontId="0" fillId="0" borderId="0" xfId="0" applyNumberFormat="1"/>
    <xf numFmtId="14" fontId="0" fillId="0" borderId="0" xfId="0" applyNumberFormat="1" applyFill="1" applyAlignment="1">
      <alignment horizontal="right"/>
    </xf>
    <xf numFmtId="14" fontId="4" fillId="0" borderId="0" xfId="0" applyNumberFormat="1" applyFont="1"/>
    <xf numFmtId="0" fontId="0" fillId="2" borderId="0" xfId="0" applyFill="1"/>
    <xf numFmtId="14" fontId="4" fillId="0" borderId="0" xfId="0" applyNumberFormat="1" applyFont="1" applyFill="1"/>
    <xf numFmtId="0" fontId="0" fillId="0" borderId="0" xfId="0" applyFill="1"/>
    <xf numFmtId="0" fontId="2" fillId="0" borderId="1" xfId="0" applyFont="1" applyBorder="1"/>
    <xf numFmtId="0" fontId="3" fillId="0" borderId="1" xfId="0" applyFont="1" applyBorder="1"/>
    <xf numFmtId="0" fontId="0" fillId="3" borderId="0" xfId="0" applyFill="1"/>
    <xf numFmtId="0" fontId="1" fillId="4" borderId="0" xfId="0" applyFont="1"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3866.700318055555" createdVersion="3" refreshedVersion="3" minRefreshableVersion="3" recordCount="261" xr:uid="{00000000-000A-0000-FFFF-FFFF01000000}">
  <cacheSource type="worksheet">
    <worksheetSource ref="C1:T130" sheet="Sheet2"/>
  </cacheSource>
  <cacheFields count="17">
    <cacheField name="Number" numFmtId="0">
      <sharedItems containsSemiMixedTypes="0" containsString="0" containsNumber="1" containsInteger="1" minValue="1" maxValue="34" count="32">
        <n v="11"/>
        <n v="12"/>
        <n v="13"/>
        <n v="14"/>
        <n v="2"/>
        <n v="3"/>
        <n v="4"/>
        <n v="5"/>
        <n v="6"/>
        <n v="7"/>
        <n v="8"/>
        <n v="15"/>
        <n v="24"/>
        <n v="25"/>
        <n v="1"/>
        <n v="26"/>
        <n v="27"/>
        <n v="28"/>
        <n v="29"/>
        <n v="30"/>
        <n v="31"/>
        <n v="32"/>
        <n v="16"/>
        <n v="17"/>
        <n v="18"/>
        <n v="19"/>
        <n v="20"/>
        <n v="21"/>
        <n v="22"/>
        <n v="23"/>
        <n v="33"/>
        <n v="34"/>
      </sharedItems>
    </cacheField>
    <cacheField name="Branch" numFmtId="0">
      <sharedItems count="2">
        <s v="North"/>
        <s v="South"/>
      </sharedItems>
    </cacheField>
    <cacheField name="Name" numFmtId="0">
      <sharedItems containsBlank="1"/>
    </cacheField>
    <cacheField name="Group" numFmtId="0">
      <sharedItems count="2">
        <s v="Control"/>
        <s v="H2Go"/>
      </sharedItems>
    </cacheField>
    <cacheField name="Rider ID" numFmtId="0">
      <sharedItems containsNonDate="0" containsString="0" containsBlank="1"/>
    </cacheField>
    <cacheField name="Service Type" numFmtId="0">
      <sharedItems count="2">
        <s v="Comprehensive"/>
        <s v="weekly"/>
      </sharedItems>
    </cacheField>
    <cacheField name="Oil ID" numFmtId="0">
      <sharedItems containsSemiMixedTypes="0" containsString="0" containsNumber="1" containsInteger="1" minValue="1" maxValue="267"/>
    </cacheField>
    <cacheField name="Entry" numFmtId="0">
      <sharedItems/>
    </cacheField>
    <cacheField name="Oil Service" numFmtId="0">
      <sharedItems containsBlank="1"/>
    </cacheField>
    <cacheField name="Carberator" numFmtId="0">
      <sharedItems containsBlank="1"/>
    </cacheField>
    <cacheField name="Tappets" numFmtId="0">
      <sharedItems containsBlank="1"/>
    </cacheField>
    <cacheField name="Air Filter" numFmtId="0">
      <sharedItems containsBlank="1"/>
    </cacheField>
    <cacheField name="Spark Plug" numFmtId="0">
      <sharedItems containsBlank="1"/>
    </cacheField>
    <cacheField name="Crankshaft / Magneto" numFmtId="0">
      <sharedItems containsBlank="1"/>
    </cacheField>
    <cacheField name="Piston and Valves" numFmtId="0">
      <sharedItems containsBlank="1"/>
    </cacheField>
    <cacheField name="Cylinder Head" numFmtId="0">
      <sharedItems containsBlank="1"/>
    </cacheField>
    <cacheField name="Oil Filter"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1">
  <r>
    <x v="0"/>
    <x v="0"/>
    <m/>
    <x v="0"/>
    <m/>
    <x v="0"/>
    <n v="23"/>
    <s v="Damage Observed"/>
    <s v="Used up but with less particles in it"/>
    <s v="No damage observed"/>
    <s v="Loose"/>
    <s v="Dirty"/>
    <s v="In good conditions"/>
    <s v="Very okay and well maintained"/>
    <s v=" Has no defect observed"/>
    <s v="In good conditions"/>
    <s v="Not bad"/>
  </r>
  <r>
    <x v="0"/>
    <x v="0"/>
    <m/>
    <x v="0"/>
    <m/>
    <x v="0"/>
    <n v="23"/>
    <s v="Recommendation"/>
    <s v=" Change weekly"/>
    <s v="maintain"/>
    <s v="Needs setting"/>
    <s v="Needs cleaning on daily basis"/>
    <s v="Maintain"/>
    <s v="Maintain the care"/>
    <s v=" keep observing for any change"/>
    <s v="Needs careful cleaning"/>
    <s v="Maintain"/>
  </r>
  <r>
    <x v="0"/>
    <x v="0"/>
    <m/>
    <x v="0"/>
    <m/>
    <x v="0"/>
    <n v="23"/>
    <s v="Actions"/>
    <s v="Changed"/>
    <s v="Nothing done"/>
    <s v="Did some setting"/>
    <s v="Cleaned"/>
    <s v="Nothing done"/>
    <s v="Nothing done"/>
    <s v="Nothing done"/>
    <s v="Nothing done"/>
    <s v="Nothing done"/>
  </r>
  <r>
    <x v="1"/>
    <x v="0"/>
    <m/>
    <x v="0"/>
    <m/>
    <x v="0"/>
    <n v="4"/>
    <s v="Damage Observed"/>
    <s v="Clean"/>
    <s v="Still good"/>
    <s v="Good "/>
    <s v="Well maintained "/>
    <s v="Well maintained"/>
    <s v="Has no damage"/>
    <s v="Functioning properly"/>
    <s v="Has no defect"/>
    <s v="Clean"/>
  </r>
  <r>
    <x v="1"/>
    <x v="0"/>
    <m/>
    <x v="0"/>
    <m/>
    <x v="0"/>
    <n v="4"/>
    <s v="Recommendation"/>
    <s v="maintain"/>
    <s v="Clean it once in the while"/>
    <s v="Monitor them clearly"/>
    <s v="Please maintain the cleaning"/>
    <s v="Please maintain the cleaning"/>
    <s v="Maintain"/>
    <s v="No need for replacement"/>
    <s v="Keep monitoring"/>
    <s v="Maintain"/>
  </r>
  <r>
    <x v="1"/>
    <x v="0"/>
    <m/>
    <x v="0"/>
    <m/>
    <x v="0"/>
    <n v="4"/>
    <s v="Actions"/>
    <s v="Nothing done"/>
    <s v="Nothing done"/>
    <s v="Nothing done"/>
    <s v="Nothing done"/>
    <s v="Nothing done"/>
    <s v="Nothing done"/>
    <s v="Nothing done"/>
    <s v="Nothing done"/>
    <s v="Nothing done"/>
  </r>
  <r>
    <x v="2"/>
    <x v="0"/>
    <m/>
    <x v="0"/>
    <m/>
    <x v="0"/>
    <n v="5"/>
    <s v="Damage Observed"/>
    <s v="Used up, has dirty particles"/>
    <s v="Very dirty, Has some particles, Some water"/>
    <s v="Well aligned"/>
    <s v="Dusty "/>
    <s v="Still good"/>
    <s v="Good mechanical condition"/>
    <s v="Functioning well"/>
    <s v="Good"/>
    <s v="Clean and good"/>
  </r>
  <r>
    <x v="2"/>
    <x v="0"/>
    <m/>
    <x v="0"/>
    <m/>
    <x v="0"/>
    <n v="5"/>
    <s v="Recommendation"/>
    <s v="Needs to be changed"/>
    <s v="Has to be cleaned"/>
    <s v="Inspect them once in the while"/>
    <s v="Has to be cleaned"/>
    <s v="Keep on"/>
    <s v="Maintain"/>
    <s v="Maintain"/>
    <s v="Maintain the care"/>
    <s v="Service in two weeks at least"/>
  </r>
  <r>
    <x v="2"/>
    <x v="0"/>
    <m/>
    <x v="0"/>
    <m/>
    <x v="0"/>
    <n v="5"/>
    <s v="Actions"/>
    <s v="Changed"/>
    <s v="Cleaned"/>
    <s v="Nothing done"/>
    <s v="Cleaned"/>
    <s v="Nothing done"/>
    <s v="Nothing done"/>
    <s v="Nothing done"/>
    <s v="Nothing done"/>
    <s v="Nothing done"/>
  </r>
  <r>
    <x v="3"/>
    <x v="0"/>
    <m/>
    <x v="0"/>
    <m/>
    <x v="0"/>
    <n v="26"/>
    <s v="Damage Observed"/>
    <s v="Used up but without foreign particles"/>
    <s v="No damage"/>
    <s v="Well maintained"/>
    <s v="Still good"/>
    <s v="Has no effect"/>
    <s v="Still in good conditions"/>
    <s v="No damage"/>
    <s v="Still good "/>
    <s v="Abit dirty"/>
  </r>
  <r>
    <x v="3"/>
    <x v="0"/>
    <m/>
    <x v="0"/>
    <m/>
    <x v="0"/>
    <n v="26"/>
    <s v="Recommendation"/>
    <s v="Has to be changed"/>
    <s v="Keep it up"/>
    <s v="Maintain the care"/>
    <s v="Clean it weekly"/>
    <s v="Monitor closely"/>
    <s v="Monitor closely"/>
    <s v="Observed abnormal sound and smoke"/>
    <s v="maintain inspection"/>
    <s v="Clean it once in the while"/>
  </r>
  <r>
    <x v="3"/>
    <x v="0"/>
    <m/>
    <x v="0"/>
    <m/>
    <x v="0"/>
    <n v="26"/>
    <s v="Actions"/>
    <s v="Changed"/>
    <s v="Nothing done"/>
    <s v="Nothing done"/>
    <s v="Nothing done"/>
    <s v="Nothing done"/>
    <s v="Nothing done"/>
    <s v="Nothing done"/>
    <s v="Nothing done"/>
    <s v="Cleaned"/>
  </r>
  <r>
    <x v="4"/>
    <x v="0"/>
    <m/>
    <x v="1"/>
    <m/>
    <x v="0"/>
    <n v="30"/>
    <s v="Damage Observed"/>
    <s v="Dirty"/>
    <s v="Dirty"/>
    <s v="Misalignment"/>
    <s v="Very clean"/>
    <s v="Damaged plug due to oil leakage"/>
    <s v="Still good"/>
    <s v="Has serious defect"/>
    <s v="Still in good conditions"/>
    <s v="No damage"/>
  </r>
  <r>
    <x v="4"/>
    <x v="0"/>
    <m/>
    <x v="1"/>
    <m/>
    <x v="0"/>
    <n v="30"/>
    <s v="Recommendation"/>
    <s v="Should be changed"/>
    <s v="Has to be cleaned"/>
    <s v="Needs setting"/>
    <s v="Maintain the care"/>
    <s v="Plug needs to be changed and adjust all the oil rings"/>
    <s v="Should maintain the care"/>
    <s v="Needs to be thoroughly changed"/>
    <s v="Keep on"/>
    <s v="Maintain"/>
  </r>
  <r>
    <x v="4"/>
    <x v="0"/>
    <m/>
    <x v="1"/>
    <m/>
    <x v="0"/>
    <n v="30"/>
    <s v="Actions"/>
    <s v="Oil  replaced"/>
    <s v="Did simple cleaning"/>
    <s v="Nothing done"/>
    <s v="Nothing done"/>
    <s v="Plug replaced"/>
    <s v="Nothing done"/>
    <s v="Nothing done"/>
    <s v="Nothing done"/>
    <s v="Nothing done"/>
  </r>
  <r>
    <x v="5"/>
    <x v="0"/>
    <m/>
    <x v="1"/>
    <m/>
    <x v="0"/>
    <n v="28"/>
    <s v="Damage Observed"/>
    <s v="Used up"/>
    <s v="Very dirty "/>
    <s v="Misalignment"/>
    <s v="Very dirty"/>
    <s v="Has damage"/>
    <s v="In good conditions"/>
    <s v="It has damage"/>
    <s v="Not damaged"/>
    <s v="Very damaged"/>
  </r>
  <r>
    <x v="5"/>
    <x v="0"/>
    <m/>
    <x v="1"/>
    <m/>
    <x v="0"/>
    <n v="28"/>
    <s v="Recommendation"/>
    <s v="Needs replacement on weekly basis"/>
    <s v="Has to be changed"/>
    <s v="Needs setting"/>
    <s v="Has to be cleaned"/>
    <s v="Has to be changed"/>
    <s v="Maintain"/>
    <s v="It needs to buy a new one"/>
    <s v="Maintain"/>
    <s v="Needs to be cleaned"/>
  </r>
  <r>
    <x v="5"/>
    <x v="0"/>
    <m/>
    <x v="1"/>
    <m/>
    <x v="0"/>
    <n v="28"/>
    <s v="Actions"/>
    <s v="Changed"/>
    <s v="Cleaned"/>
    <s v="Nothing done"/>
    <s v="Cleaned"/>
    <s v="Not changed"/>
    <s v="Nothing done"/>
    <s v="Nothing done"/>
    <s v="Nothing done"/>
    <s v="Cleaned"/>
  </r>
  <r>
    <x v="6"/>
    <x v="0"/>
    <m/>
    <x v="1"/>
    <m/>
    <x v="0"/>
    <n v="29"/>
    <s v="Damage Observed"/>
    <s v="Used up but with less particles"/>
    <s v="Dirty, Has some water"/>
    <s v="Good"/>
    <s v="Very clean"/>
    <s v="Good"/>
    <s v="Good"/>
    <s v="Still good"/>
    <s v="Still in good conditions"/>
    <s v="Clean"/>
  </r>
  <r>
    <x v="6"/>
    <x v="0"/>
    <m/>
    <x v="1"/>
    <m/>
    <x v="0"/>
    <n v="29"/>
    <s v="Recommendation"/>
    <s v="Needs to changed"/>
    <s v="Needs to be cleaned"/>
    <s v="Keep monitoring for any looseness"/>
    <s v="Maintain weekly cleaning"/>
    <s v="Keep it on"/>
    <s v="Keep monitoring"/>
    <s v="Keep inspecting"/>
    <s v="Nothing done"/>
    <s v="Change oil rings"/>
  </r>
  <r>
    <x v="6"/>
    <x v="0"/>
    <m/>
    <x v="1"/>
    <m/>
    <x v="0"/>
    <n v="29"/>
    <s v="Actions"/>
    <s v="Changed"/>
    <s v="Cleaned"/>
    <s v="Nothing done"/>
    <s v="Nothing done"/>
    <s v="Nothing done"/>
    <s v="Nothing done"/>
    <s v="Nothing done"/>
    <s v="Nothing done"/>
    <s v="Nothing done"/>
  </r>
  <r>
    <x v="7"/>
    <x v="0"/>
    <m/>
    <x v="1"/>
    <m/>
    <x v="0"/>
    <n v="6"/>
    <s v="Damage Observed"/>
    <s v="Used up , Had some foreign particles"/>
    <s v="Very dirty with water in it"/>
    <s v="Observed to be loose"/>
    <s v="Good working conditions"/>
    <s v="Good conditions"/>
    <s v="Magneto still good, Crankshaft Nut worn out"/>
    <s v="Mechanically okay"/>
    <s v="Looked good"/>
    <s v="Dusty"/>
  </r>
  <r>
    <x v="7"/>
    <x v="0"/>
    <m/>
    <x v="1"/>
    <m/>
    <x v="0"/>
    <n v="6"/>
    <s v="Recommendation"/>
    <s v="Change at least weekly "/>
    <s v="Has to be cleaned once in the while"/>
    <s v="Needs setting"/>
    <s v="Maintain servicing"/>
    <s v="Carefully take note"/>
    <s v="Maintain"/>
    <s v="Keep close inspection"/>
    <s v="Maintain checking"/>
    <s v="Needs to be cleaned once in the while"/>
  </r>
  <r>
    <x v="7"/>
    <x v="0"/>
    <m/>
    <x v="1"/>
    <m/>
    <x v="0"/>
    <n v="6"/>
    <s v="Actions"/>
    <s v="Changed"/>
    <s v="Cleaned"/>
    <s v="Aligned"/>
    <s v="Nothing done"/>
    <s v="Nothing done"/>
    <s v="Nut changed"/>
    <s v="Nothing done"/>
    <s v="Nothing done"/>
    <s v="Cleaned"/>
  </r>
  <r>
    <x v="8"/>
    <x v="0"/>
    <m/>
    <x v="1"/>
    <m/>
    <x v="0"/>
    <n v="8"/>
    <s v="Damage Observed"/>
    <s v="Dirty"/>
    <s v="Dirty"/>
    <s v="Good "/>
    <s v="Good "/>
    <s v="Bad conditions"/>
    <s v="Still good"/>
    <s v="Mechanically okay"/>
    <s v="Good conditions"/>
    <s v="Dusty"/>
  </r>
  <r>
    <x v="8"/>
    <x v="0"/>
    <m/>
    <x v="1"/>
    <m/>
    <x v="0"/>
    <n v="8"/>
    <s v="Recommendation"/>
    <s v="Needs to be changed"/>
    <s v="Has to be changed once in the while"/>
    <s v="Nothing done"/>
    <s v="Nothing done"/>
    <s v="Needs to be changed"/>
    <s v="Maintain"/>
    <s v="Inspect regularly"/>
    <s v="Maintain"/>
    <s v="Needs to be cleaned"/>
  </r>
  <r>
    <x v="8"/>
    <x v="0"/>
    <m/>
    <x v="1"/>
    <m/>
    <x v="0"/>
    <n v="8"/>
    <s v="Actions"/>
    <s v="Changed"/>
    <s v="Cleaned"/>
    <s v="Nothing done"/>
    <s v="Nothing done"/>
    <s v="Changed"/>
    <s v="Nothing done"/>
    <s v="Nothing done"/>
    <s v="Nothing done"/>
    <s v="Cleaned"/>
  </r>
  <r>
    <x v="9"/>
    <x v="0"/>
    <m/>
    <x v="1"/>
    <m/>
    <x v="0"/>
    <n v="3"/>
    <s v="Damage Observed"/>
    <s v="Very dirty"/>
    <s v="Very dirty"/>
    <s v="They are fine"/>
    <s v="It’s okay"/>
    <s v="Its spoilt"/>
    <s v="Very dry and old"/>
    <s v="Damaged"/>
    <s v="Does not receive oil "/>
    <s v="Damaged"/>
  </r>
  <r>
    <x v="9"/>
    <x v="0"/>
    <m/>
    <x v="1"/>
    <m/>
    <x v="0"/>
    <n v="3"/>
    <s v="Recommendation"/>
    <s v="Needs to be changed"/>
    <s v="Needs to be washed"/>
    <s v="Nothing done"/>
    <s v="Nothing done"/>
    <s v="Needs to be changed"/>
    <s v="Needs to be replaced"/>
    <s v="Needs replacement"/>
    <s v="Needs to be washed"/>
    <s v="Needs to be replaced"/>
  </r>
  <r>
    <x v="9"/>
    <x v="0"/>
    <m/>
    <x v="1"/>
    <m/>
    <x v="0"/>
    <n v="3"/>
    <s v="Actions"/>
    <s v="Changed"/>
    <s v="Washed"/>
    <s v="Nothing done"/>
    <s v="Nothing done"/>
    <s v="Changed"/>
    <s v="Replaced"/>
    <s v="Replaced"/>
    <s v="Washed"/>
    <s v="Nothing done"/>
  </r>
  <r>
    <x v="10"/>
    <x v="0"/>
    <m/>
    <x v="1"/>
    <m/>
    <x v="0"/>
    <n v="21"/>
    <s v="Damage Observed"/>
    <s v="Damaged"/>
    <s v="Very dirty"/>
    <s v="Misalignment"/>
    <s v="Very dirty"/>
    <s v="Its old"/>
    <s v="Damaged"/>
    <s v="Has defect"/>
    <s v="No damage  observed"/>
    <s v="Very dirty"/>
  </r>
  <r>
    <x v="10"/>
    <x v="0"/>
    <m/>
    <x v="1"/>
    <m/>
    <x v="0"/>
    <n v="21"/>
    <s v="Recommendation"/>
    <s v="Needs to be changed"/>
    <s v="Needs to be cleaned"/>
    <s v="Needs to be arranged"/>
    <s v="Has to be cleaned"/>
    <s v="Needs replacement"/>
    <s v="Needs to be changed"/>
    <s v="Rings have to be replaced"/>
    <s v="monitor closely"/>
    <s v="Has to be thoroughly cleaned"/>
  </r>
  <r>
    <x v="10"/>
    <x v="0"/>
    <m/>
    <x v="1"/>
    <m/>
    <x v="0"/>
    <n v="21"/>
    <s v="Actions"/>
    <s v="Changed"/>
    <s v="Cleaned"/>
    <s v="Arranged"/>
    <s v="Cleaned"/>
    <s v="Replaced"/>
    <s v="Changed"/>
    <s v="Nothing done"/>
    <s v="Nothing done"/>
    <s v="Did some simple cleaning"/>
  </r>
  <r>
    <x v="11"/>
    <x v="0"/>
    <m/>
    <x v="1"/>
    <m/>
    <x v="0"/>
    <n v="22"/>
    <s v="Damage Observed"/>
    <s v="Used up but with particles"/>
    <s v="Very dirty"/>
    <s v="Somehow loose"/>
    <s v="Very dirty"/>
    <s v="Still in good conditions"/>
    <s v="Good"/>
    <s v="Functioning normally"/>
    <s v="Okay , No defects identified"/>
    <s v="Still good"/>
  </r>
  <r>
    <x v="11"/>
    <x v="0"/>
    <m/>
    <x v="1"/>
    <m/>
    <x v="0"/>
    <n v="22"/>
    <s v="Recommendation"/>
    <s v="Change at least week "/>
    <s v="Needs cleaning"/>
    <s v="Needs setting"/>
    <s v="Has to be cleaned"/>
    <s v="Maintain while monitoring"/>
    <s v="Maintain"/>
    <s v="Keep close inspection"/>
    <s v="Maintain"/>
    <s v="Maintain but needs to changed"/>
  </r>
  <r>
    <x v="11"/>
    <x v="0"/>
    <m/>
    <x v="1"/>
    <m/>
    <x v="0"/>
    <n v="22"/>
    <s v="Actions"/>
    <s v="Changed"/>
    <s v="Cleaned"/>
    <s v="Aligned"/>
    <s v="Cleaned"/>
    <s v="Nothing done"/>
    <s v="Nothing done"/>
    <s v="Nothing done"/>
    <s v="Nothing done"/>
    <s v="Nothing done"/>
  </r>
  <r>
    <x v="12"/>
    <x v="0"/>
    <m/>
    <x v="1"/>
    <m/>
    <x v="0"/>
    <n v="43"/>
    <s v="Damage Observed"/>
    <s v="Dark and sink oil"/>
    <s v="Dirty"/>
    <s v="In good conditions"/>
    <s v="Dirty"/>
    <s v="Functins normally"/>
    <s v="Looks good"/>
    <s v="Still sounding good"/>
    <s v="Nothing observed"/>
    <s v="Clean"/>
  </r>
  <r>
    <x v="12"/>
    <x v="0"/>
    <m/>
    <x v="1"/>
    <m/>
    <x v="0"/>
    <n v="43"/>
    <s v="Recommendation"/>
    <s v="Change weekly,needs to be filtered"/>
    <s v="Clean weekly"/>
    <s v="Requires timely inspection"/>
    <s v="Requires cleaning periodically"/>
    <s v="inspect closely"/>
    <s v="Inspect periodically"/>
    <s v="Keep close inspection"/>
    <s v="Requires close inspection"/>
    <s v="Requires regular cleaning"/>
  </r>
  <r>
    <x v="12"/>
    <x v="0"/>
    <m/>
    <x v="1"/>
    <m/>
    <x v="0"/>
    <n v="43"/>
    <s v="Actions"/>
    <s v="Changed"/>
    <s v="Cleaned"/>
    <s v="Nothing done"/>
    <s v="Cleaned"/>
    <s v="Nothing done"/>
    <s v="Nothing done"/>
    <s v="Nothing done"/>
    <s v="Nothing done"/>
    <s v="Nothing done"/>
  </r>
  <r>
    <x v="13"/>
    <x v="0"/>
    <m/>
    <x v="1"/>
    <m/>
    <x v="0"/>
    <n v="14"/>
    <s v="Damage Observed"/>
    <s v="Oil was dirty and looking very dark"/>
    <s v="Had some over flow"/>
    <s v="In good conditions"/>
    <s v="Good but with some dust"/>
    <s v="Still functioning well"/>
    <s v="Still okay but the nut needs replacement very soon"/>
    <s v="Piston rings are warning"/>
    <s v="Good looking"/>
    <s v="Still functioning well and good looking"/>
  </r>
  <r>
    <x v="13"/>
    <x v="0"/>
    <m/>
    <x v="1"/>
    <m/>
    <x v="0"/>
    <n v="14"/>
    <s v="Recommendation"/>
    <s v="Change on weekly basis"/>
    <s v="Maintain closely to avoid the same mistake"/>
    <s v="Observe closel for any loosening"/>
    <s v="Clean it weekly"/>
    <s v="Maintain the care"/>
    <s v="Monitor closely before and after work"/>
    <s v="Needs replacement"/>
    <s v="Maintain"/>
    <s v="Keep monitoring"/>
  </r>
  <r>
    <x v="13"/>
    <x v="0"/>
    <m/>
    <x v="1"/>
    <m/>
    <x v="0"/>
    <n v="14"/>
    <s v="Actions"/>
    <s v="Changed"/>
    <s v="Cleaned throughly"/>
    <s v="Nothing done"/>
    <s v="Did ssome dusting"/>
    <s v="Nothing done"/>
    <s v="Nothing done"/>
    <s v="Nothing done"/>
    <s v="Nothing done"/>
    <s v="Nothing done"/>
  </r>
  <r>
    <x v="14"/>
    <x v="0"/>
    <m/>
    <x v="1"/>
    <m/>
    <x v="1"/>
    <n v="2"/>
    <s v="Damage Observed"/>
    <s v="Still fair"/>
    <s v="Good working conditions"/>
    <s v="Well set no problem"/>
    <s v="Has little dusst"/>
    <s v="Good conditions"/>
    <s v="Still good"/>
    <m/>
    <m/>
    <m/>
  </r>
  <r>
    <x v="14"/>
    <x v="0"/>
    <m/>
    <x v="1"/>
    <m/>
    <x v="1"/>
    <n v="2"/>
    <s v="Recommendation"/>
    <s v="Always maintain weekly "/>
    <s v="Keep close monitoring"/>
    <s v="Inspect closely"/>
    <s v="Keep cleaning weekly"/>
    <s v="Maintain"/>
    <s v="Inspect it after work for any wearing"/>
    <m/>
    <m/>
    <m/>
  </r>
  <r>
    <x v="14"/>
    <x v="0"/>
    <m/>
    <x v="1"/>
    <m/>
    <x v="1"/>
    <n v="2"/>
    <s v="Actions"/>
    <s v="Changed"/>
    <s v="Nothing done"/>
    <s v="Nothing done"/>
    <s v="Cleaned"/>
    <s v="Nothing done"/>
    <s v="Nothing done"/>
    <m/>
    <m/>
    <m/>
  </r>
  <r>
    <x v="14"/>
    <x v="0"/>
    <m/>
    <x v="1"/>
    <m/>
    <x v="1"/>
    <n v="1"/>
    <s v="Damage Observed"/>
    <s v="Still fair but the nut has particles"/>
    <s v="Clean"/>
    <s v="They are fine"/>
    <s v="they are clean"/>
    <s v="Has no damage"/>
    <s v="well functioning"/>
    <m/>
    <m/>
    <m/>
  </r>
  <r>
    <x v="14"/>
    <x v="0"/>
    <m/>
    <x v="1"/>
    <m/>
    <x v="1"/>
    <n v="1"/>
    <s v="Recommendation"/>
    <s v="Clean weekly"/>
    <s v="maintain"/>
    <s v="keep it up"/>
    <s v="Maintain"/>
    <s v="maintain the spirit"/>
    <s v="Maintain"/>
    <m/>
    <m/>
    <m/>
  </r>
  <r>
    <x v="14"/>
    <x v="0"/>
    <m/>
    <x v="1"/>
    <m/>
    <x v="1"/>
    <n v="1"/>
    <s v="Actions"/>
    <s v="Change"/>
    <s v="Nothing done"/>
    <s v="Nothing done"/>
    <s v="Nothing done"/>
    <s v="Nothing done"/>
    <s v="Nothing done"/>
    <m/>
    <m/>
    <m/>
  </r>
  <r>
    <x v="4"/>
    <x v="0"/>
    <m/>
    <x v="1"/>
    <m/>
    <x v="1"/>
    <n v="44"/>
    <s v="Damage Observed"/>
    <s v="Used  up with some few particles"/>
    <s v="Has dirty partices"/>
    <s v="Still okay"/>
    <s v="Clean"/>
    <s v="okay, normally functioning"/>
    <s v="Still good"/>
    <s v="Warning"/>
    <s v="Has no problem"/>
    <s v="Still okay"/>
  </r>
  <r>
    <x v="4"/>
    <x v="0"/>
    <m/>
    <x v="1"/>
    <m/>
    <x v="1"/>
    <n v="44"/>
    <s v="Recommendation"/>
    <s v="Change weekly"/>
    <s v="Needs cleaning"/>
    <s v="Maintain the care"/>
    <s v="Clean at least weekly"/>
    <s v="keep monitoring"/>
    <s v="Monitoring either before or after the service"/>
    <s v="Needs to be replaced"/>
    <s v="Maintain"/>
    <s v="Maintain"/>
  </r>
  <r>
    <x v="4"/>
    <x v="0"/>
    <m/>
    <x v="1"/>
    <m/>
    <x v="1"/>
    <n v="44"/>
    <s v="Actions"/>
    <s v="Changed"/>
    <s v="Cleaned"/>
    <s v="Nothing done"/>
    <s v="Nothing done"/>
    <s v="Nothing done"/>
    <s v="Nothing done"/>
    <s v="Nothing done"/>
    <s v="Nothing done"/>
    <s v="Nothing done"/>
  </r>
  <r>
    <x v="4"/>
    <x v="0"/>
    <m/>
    <x v="1"/>
    <m/>
    <x v="1"/>
    <n v="49"/>
    <s v="Damage Observed"/>
    <s v="Has dirty particles and oil still fair"/>
    <s v="Durty"/>
    <s v="Loose"/>
    <s v="Dirty"/>
    <s v="Good"/>
    <s v="In good conditions"/>
    <m/>
    <m/>
    <m/>
  </r>
  <r>
    <x v="4"/>
    <x v="0"/>
    <m/>
    <x v="1"/>
    <m/>
    <x v="1"/>
    <n v="49"/>
    <s v="Recommendation"/>
    <s v="Change oil and replace oil rigs"/>
    <s v="Check and clean atleast after aweelk"/>
    <s v="Needs setting in time"/>
    <s v="Clean weekly"/>
    <s v="Maintain the observation"/>
    <s v="Take go0d care"/>
    <m/>
    <m/>
    <m/>
  </r>
  <r>
    <x v="4"/>
    <x v="0"/>
    <m/>
    <x v="1"/>
    <m/>
    <x v="1"/>
    <n v="49"/>
    <s v="Actions"/>
    <s v="oil changed"/>
    <s v="Cleaned"/>
    <s v="Aligned"/>
    <s v="Dusted just"/>
    <s v="Nothing done"/>
    <s v="Nothing done"/>
    <m/>
    <m/>
    <m/>
  </r>
  <r>
    <x v="4"/>
    <x v="0"/>
    <m/>
    <x v="1"/>
    <m/>
    <x v="1"/>
    <n v="267"/>
    <s v="Damage Observed"/>
    <s v="Very dirty"/>
    <s v="Dirty"/>
    <s v="Well aligned"/>
    <s v="Clear "/>
    <s v="normally functioning "/>
    <s v="Functioning well"/>
    <s v="They are all damaged"/>
    <s v="Damaged"/>
    <s v="Dirty"/>
  </r>
  <r>
    <x v="4"/>
    <x v="0"/>
    <m/>
    <x v="1"/>
    <m/>
    <x v="1"/>
    <n v="267"/>
    <s v="Recommendation"/>
    <s v="Needs to be changed"/>
    <s v="Needs to be cleaned"/>
    <s v="Inspct closely"/>
    <s v="keep it up"/>
    <s v="Maintain"/>
    <s v="Maintain"/>
    <s v="Need to e changed"/>
    <s v="Need to be changed"/>
    <s v=" Needs to be cleaned"/>
  </r>
  <r>
    <x v="4"/>
    <x v="0"/>
    <m/>
    <x v="1"/>
    <m/>
    <x v="1"/>
    <n v="267"/>
    <s v="Actions"/>
    <s v="Chanrged"/>
    <s v="Cleaned"/>
    <s v="Nothing done"/>
    <s v="Nothing done"/>
    <s v="Nothing done"/>
    <s v="Nothing done"/>
    <s v="Nothing done"/>
    <s v="Changed"/>
    <s v="Cleaned"/>
  </r>
  <r>
    <x v="5"/>
    <x v="0"/>
    <m/>
    <x v="1"/>
    <m/>
    <x v="1"/>
    <n v="42"/>
    <s v="Damage Observed"/>
    <s v="Damaged"/>
    <s v="Good conditions "/>
    <s v="Well set no damage"/>
    <s v="Fairly clean"/>
    <s v="It has no problem"/>
    <s v="Still good"/>
    <m/>
    <m/>
    <m/>
  </r>
  <r>
    <x v="5"/>
    <x v="0"/>
    <m/>
    <x v="1"/>
    <m/>
    <x v="1"/>
    <n v="42"/>
    <s v="Recommendation"/>
    <s v="Has to be changed"/>
    <s v="Keep close monitoring"/>
    <s v="Keep monitoring for any looseness"/>
    <s v="Clean it weekly"/>
    <s v="Keep close inspection"/>
    <s v="Maintain the care"/>
    <m/>
    <m/>
    <m/>
  </r>
  <r>
    <x v="5"/>
    <x v="0"/>
    <m/>
    <x v="1"/>
    <m/>
    <x v="1"/>
    <n v="42"/>
    <s v="Actions"/>
    <s v="Changed"/>
    <s v="Nothing done"/>
    <s v="Nothing done"/>
    <s v="Did some cleaning"/>
    <s v="Nothing done"/>
    <s v="Nothing done"/>
    <m/>
    <m/>
    <m/>
  </r>
  <r>
    <x v="5"/>
    <x v="0"/>
    <m/>
    <x v="1"/>
    <m/>
    <x v="1"/>
    <n v="11"/>
    <s v="Damage Observed"/>
    <s v="Used up"/>
    <s v="Has no problem"/>
    <s v="Has no problem"/>
    <s v="Not damaged"/>
    <s v="Good conditions"/>
    <s v="Damaged"/>
    <m/>
    <m/>
    <m/>
  </r>
  <r>
    <x v="5"/>
    <x v="0"/>
    <m/>
    <x v="1"/>
    <m/>
    <x v="1"/>
    <n v="11"/>
    <s v="Recommendation"/>
    <s v="Has to be changed"/>
    <s v="Needs maintainance"/>
    <s v="Maintain the care"/>
    <s v="Maintain"/>
    <s v="keep it up"/>
    <s v="Needs to be changed"/>
    <m/>
    <m/>
    <m/>
  </r>
  <r>
    <x v="5"/>
    <x v="0"/>
    <m/>
    <x v="1"/>
    <m/>
    <x v="1"/>
    <n v="11"/>
    <s v="Actions"/>
    <s v="Changed"/>
    <s v="Nothing done"/>
    <s v="Nothing done"/>
    <s v="Nothing done"/>
    <s v="Nothing done"/>
    <m/>
    <m/>
    <m/>
    <m/>
  </r>
  <r>
    <x v="5"/>
    <x v="0"/>
    <m/>
    <x v="1"/>
    <m/>
    <x v="1"/>
    <n v="54"/>
    <s v="Damage Observed"/>
    <s v="Dark and dirty"/>
    <s v="Has no problem"/>
    <s v="They are loose"/>
    <s v="Very dirty"/>
    <s v="Still in good conditions"/>
    <s v="Nut is damaged"/>
    <s v="Normally functionig"/>
    <s v="Working well"/>
    <s v="Normal"/>
  </r>
  <r>
    <x v="5"/>
    <x v="0"/>
    <m/>
    <x v="1"/>
    <m/>
    <x v="1"/>
    <n v="54"/>
    <s v="Recommendation"/>
    <s v="Requires changing"/>
    <s v="Needs maintainance"/>
    <s v="Has to be tighteuned"/>
    <s v="Needs to be cleaned"/>
    <s v="Maintain"/>
    <s v="Needsto be changed"/>
    <s v="Maintain"/>
    <s v="monitor closely"/>
    <s v="watch it closely"/>
  </r>
  <r>
    <x v="5"/>
    <x v="0"/>
    <m/>
    <x v="1"/>
    <m/>
    <x v="1"/>
    <n v="54"/>
    <s v="Actions"/>
    <s v="Changed"/>
    <s v="Nothing done"/>
    <s v="Nothing done"/>
    <s v="Cleaned"/>
    <s v="Nothing done"/>
    <s v="Changed"/>
    <s v="Nothing done"/>
    <s v="Nothing done"/>
    <s v="Nothing done"/>
  </r>
  <r>
    <x v="6"/>
    <x v="0"/>
    <m/>
    <x v="1"/>
    <m/>
    <x v="1"/>
    <n v="12"/>
    <s v="Damage Observed"/>
    <s v="quatity reduced,still fair, no damage"/>
    <s v="Clean"/>
    <s v="Mechanically sounding good"/>
    <s v="Still good"/>
    <s v="normally functioning "/>
    <s v="Good and looking  nornal"/>
    <m/>
    <m/>
    <m/>
  </r>
  <r>
    <x v="6"/>
    <x v="0"/>
    <m/>
    <x v="1"/>
    <m/>
    <x v="1"/>
    <n v="12"/>
    <s v="Recommendation"/>
    <s v="Change weekly"/>
    <s v="Clean weekly"/>
    <s v="Keep monitoring for any looseness"/>
    <s v="Cleaning it once in the while"/>
    <s v="Observe closely"/>
    <s v="Inspect closely"/>
    <m/>
    <m/>
    <m/>
  </r>
  <r>
    <x v="6"/>
    <x v="0"/>
    <m/>
    <x v="1"/>
    <m/>
    <x v="1"/>
    <n v="12"/>
    <s v="Actions"/>
    <s v="Changed"/>
    <s v="Nothing done"/>
    <s v="Nothing done"/>
    <s v="Nothing done"/>
    <s v="Nothing done"/>
    <s v="Nothing done"/>
    <m/>
    <m/>
    <m/>
  </r>
  <r>
    <x v="6"/>
    <x v="0"/>
    <m/>
    <x v="1"/>
    <m/>
    <x v="1"/>
    <n v="19"/>
    <s v="Damage Observed"/>
    <s v="Dirty"/>
    <s v="Well maintained"/>
    <s v="Clear"/>
    <s v="Clean"/>
    <s v="Good conditions"/>
    <s v="Warn out"/>
    <m/>
    <m/>
    <m/>
  </r>
  <r>
    <x v="6"/>
    <x v="0"/>
    <m/>
    <x v="1"/>
    <m/>
    <x v="1"/>
    <n v="19"/>
    <s v="Recommendation"/>
    <s v="Change weekly"/>
    <s v="Maintain the care"/>
    <s v="Monitor for any looseness"/>
    <s v="Clean weekly"/>
    <s v="Maintain"/>
    <s v="Needs replacement"/>
    <m/>
    <m/>
    <m/>
  </r>
  <r>
    <x v="6"/>
    <x v="0"/>
    <m/>
    <x v="1"/>
    <m/>
    <x v="1"/>
    <n v="19"/>
    <s v="Actions"/>
    <s v="Changed"/>
    <s v="Nothing done"/>
    <s v="Nothing done"/>
    <s v="Nothing done"/>
    <s v="Nothing done"/>
    <s v="Nothing done"/>
    <m/>
    <m/>
    <m/>
  </r>
  <r>
    <x v="6"/>
    <x v="0"/>
    <m/>
    <x v="1"/>
    <m/>
    <x v="1"/>
    <n v="262"/>
    <s v="Damage Observed"/>
    <s v="Dark and dirty"/>
    <s v="Clean and functioning well"/>
    <s v="Normally functioning"/>
    <s v="Dusty "/>
    <s v="Good"/>
    <s v="Still good with out any wear"/>
    <s v="Normally functionig"/>
    <s v="Normal"/>
    <s v="Still okay"/>
  </r>
  <r>
    <x v="6"/>
    <x v="0"/>
    <m/>
    <x v="1"/>
    <m/>
    <x v="1"/>
    <n v="262"/>
    <s v="Recommendation"/>
    <s v="Requires changing"/>
    <s v="Maintain"/>
    <s v="Inspect cloely for any abnormal functioning"/>
    <s v="Needs cleaning on time on daily basis"/>
    <s v="Maintain"/>
    <s v="Inspect either after or before the service"/>
    <s v="Maintain"/>
    <s v="Maintain"/>
    <s v="Inpect once in the while"/>
  </r>
  <r>
    <x v="6"/>
    <x v="0"/>
    <m/>
    <x v="1"/>
    <m/>
    <x v="1"/>
    <n v="262"/>
    <s v="Actions"/>
    <s v="Changed"/>
    <s v="Nothing done"/>
    <s v="Nothing done"/>
    <s v="Dusted"/>
    <s v="Nothing done"/>
    <s v="Nothing done"/>
    <s v="Nothing done"/>
    <s v="Nothing done"/>
    <s v="Nothing done"/>
  </r>
  <r>
    <x v="8"/>
    <x v="0"/>
    <m/>
    <x v="1"/>
    <m/>
    <x v="1"/>
    <n v="53"/>
    <s v="Damage Observed"/>
    <s v="Its dirty with particles"/>
    <s v="Good "/>
    <s v="Well set no damage"/>
    <s v="Good"/>
    <s v="Not  good ,it has some gas"/>
    <s v="Good"/>
    <m/>
    <m/>
    <m/>
  </r>
  <r>
    <x v="8"/>
    <x v="0"/>
    <m/>
    <x v="1"/>
    <m/>
    <x v="1"/>
    <n v="53"/>
    <s v="Recommendation"/>
    <s v="Change weekly and on time"/>
    <s v="Maintain"/>
    <s v="Monitor closely for any unsual functioning"/>
    <s v="Clean after seeing any dirt"/>
    <s v="Needs replacement"/>
    <s v="Always check after the service"/>
    <m/>
    <m/>
    <m/>
  </r>
  <r>
    <x v="8"/>
    <x v="0"/>
    <m/>
    <x v="1"/>
    <m/>
    <x v="1"/>
    <n v="53"/>
    <s v="Actions"/>
    <s v="Changed"/>
    <s v="Nothing done"/>
    <s v="Nothing done"/>
    <s v="Nothing done"/>
    <s v="Nothing done"/>
    <s v="Nothing done"/>
    <m/>
    <m/>
    <m/>
  </r>
  <r>
    <x v="0"/>
    <x v="0"/>
    <m/>
    <x v="0"/>
    <m/>
    <x v="1"/>
    <n v="48"/>
    <s v="Damage Observed"/>
    <s v="Still fair"/>
    <s v="Good "/>
    <s v="Clear"/>
    <s v="Clean"/>
    <s v="Good"/>
    <s v="Good "/>
    <m/>
    <m/>
    <m/>
  </r>
  <r>
    <x v="0"/>
    <x v="0"/>
    <m/>
    <x v="0"/>
    <m/>
    <x v="1"/>
    <n v="48"/>
    <s v="Recommendation"/>
    <s v="keep changing timely"/>
    <s v="maintain"/>
    <s v="Monitor closely"/>
    <s v="Clean it weekly"/>
    <s v="Maintain"/>
    <s v="keep a close inspection"/>
    <m/>
    <m/>
    <m/>
  </r>
  <r>
    <x v="0"/>
    <x v="0"/>
    <m/>
    <x v="0"/>
    <m/>
    <x v="1"/>
    <n v="48"/>
    <s v="Actions"/>
    <s v="Changed"/>
    <s v="Nothing done"/>
    <s v="Nothing done"/>
    <s v="Simple dusting done"/>
    <s v="Nothing done"/>
    <s v="Nothing done"/>
    <m/>
    <m/>
    <m/>
  </r>
  <r>
    <x v="0"/>
    <x v="0"/>
    <m/>
    <x v="0"/>
    <m/>
    <x v="1"/>
    <n v="41"/>
    <s v="Damage Observed"/>
    <s v="Still fair"/>
    <s v="Still good"/>
    <s v="Good conditions"/>
    <s v="Good but with some dust"/>
    <s v="In good conditions"/>
    <s v="Good functioning"/>
    <m/>
    <m/>
    <m/>
  </r>
  <r>
    <x v="0"/>
    <x v="0"/>
    <m/>
    <x v="0"/>
    <m/>
    <x v="1"/>
    <n v="41"/>
    <s v="Recommendation"/>
    <s v="Change weekly"/>
    <s v="Monitor periodically"/>
    <s v="Always observe looseness"/>
    <s v="Clean weekly"/>
    <s v="Maintain"/>
    <s v="Maintain"/>
    <m/>
    <m/>
    <m/>
  </r>
  <r>
    <x v="0"/>
    <x v="0"/>
    <m/>
    <x v="0"/>
    <m/>
    <x v="1"/>
    <n v="41"/>
    <s v="Actions"/>
    <s v="Changed"/>
    <s v="Nothing done"/>
    <s v="Nothing done"/>
    <s v="did some dusting"/>
    <s v="Nothing done"/>
    <s v="Nothing done"/>
    <m/>
    <m/>
    <m/>
  </r>
  <r>
    <x v="0"/>
    <x v="0"/>
    <m/>
    <x v="0"/>
    <m/>
    <x v="1"/>
    <n v="59"/>
    <s v="Damage Observed"/>
    <s v="Used up"/>
    <s v="Good"/>
    <s v="Well set"/>
    <s v="Well cleaned"/>
    <s v="Still good maintain the care"/>
    <s v="Clear"/>
    <s v="Normally functionig"/>
    <s v="Good "/>
    <s v="Clear"/>
  </r>
  <r>
    <x v="0"/>
    <x v="0"/>
    <m/>
    <x v="0"/>
    <m/>
    <x v="1"/>
    <n v="59"/>
    <s v="Recommendation"/>
    <s v="Change on time"/>
    <s v="Clean it soon"/>
    <s v="Monitor for abmormal functioning"/>
    <s v="Clean it next week"/>
    <s v="Maintain the care"/>
    <s v="Keep it up"/>
    <s v="Nothing done"/>
    <s v="Maintain"/>
    <s v="watch it closely"/>
  </r>
  <r>
    <x v="0"/>
    <x v="0"/>
    <m/>
    <x v="0"/>
    <m/>
    <x v="1"/>
    <n v="59"/>
    <s v="Actions"/>
    <s v="Chaned"/>
    <s v="Nothing done"/>
    <s v="Nothing done"/>
    <s v="Nothing done"/>
    <s v="Nothing done"/>
    <s v="Nothing done"/>
    <s v="Nothing done"/>
    <s v="Nothing done"/>
    <s v="Nothing done"/>
  </r>
  <r>
    <x v="1"/>
    <x v="0"/>
    <m/>
    <x v="0"/>
    <m/>
    <x v="1"/>
    <n v="15"/>
    <s v="Damage Observed"/>
    <s v="Used up"/>
    <s v="Clean"/>
    <s v="Well set"/>
    <s v="Clean"/>
    <s v="Good conditions"/>
    <s v="Clear"/>
    <m/>
    <m/>
    <m/>
  </r>
  <r>
    <x v="1"/>
    <x v="0"/>
    <m/>
    <x v="0"/>
    <m/>
    <x v="1"/>
    <n v="15"/>
    <s v="Recommendation"/>
    <s v="Change on time"/>
    <s v="Keep cleaning as usal"/>
    <s v="Monitor closely"/>
    <s v="Clean it on time"/>
    <s v="Maintain the care"/>
    <s v="Monitor closely"/>
    <m/>
    <m/>
    <m/>
  </r>
  <r>
    <x v="1"/>
    <x v="0"/>
    <m/>
    <x v="0"/>
    <m/>
    <x v="1"/>
    <n v="15"/>
    <s v="Actions"/>
    <s v="Changed"/>
    <s v="Nothing done"/>
    <s v="Nothing done"/>
    <s v="Dusted "/>
    <s v="Nothing done"/>
    <s v="Nothing done"/>
    <m/>
    <m/>
    <m/>
  </r>
  <r>
    <x v="1"/>
    <x v="0"/>
    <m/>
    <x v="0"/>
    <m/>
    <x v="1"/>
    <n v="57"/>
    <s v="Damage Observed"/>
    <s v="It is still fair"/>
    <s v="Still in good working conditions"/>
    <s v="Still functioning well"/>
    <s v="It is good"/>
    <s v="Good conditions"/>
    <s v="Still opperating well"/>
    <s v="Still in good conditions"/>
    <s v="Good conditions"/>
    <s v="Good conditions"/>
  </r>
  <r>
    <x v="1"/>
    <x v="0"/>
    <m/>
    <x v="0"/>
    <m/>
    <x v="1"/>
    <n v="57"/>
    <s v="Recommendation"/>
    <s v="Needs to be changed"/>
    <s v="Maintain the care"/>
    <s v="Inspect for any abnormal functioning"/>
    <s v="Clean it next week"/>
    <s v="Maintain the care"/>
    <s v="Watch closely"/>
    <s v="Maintain"/>
    <s v="Maintain "/>
    <s v="Clear it once in the while"/>
  </r>
  <r>
    <x v="1"/>
    <x v="0"/>
    <m/>
    <x v="0"/>
    <m/>
    <x v="1"/>
    <n v="57"/>
    <s v="Actions"/>
    <s v="Changed"/>
    <s v="Nothing done"/>
    <s v="Nothing done"/>
    <s v="Nothing done"/>
    <s v="Nothing done"/>
    <s v="Nothing done"/>
    <s v="Nothing done"/>
    <s v="Nothing done"/>
    <s v="Nothing done"/>
  </r>
  <r>
    <x v="2"/>
    <x v="0"/>
    <m/>
    <x v="0"/>
    <m/>
    <x v="1"/>
    <n v="50"/>
    <s v="Damage Observed"/>
    <s v="Fair with out particles"/>
    <s v="Good "/>
    <s v="Clear"/>
    <s v="Clean"/>
    <s v="Good"/>
    <s v="Good"/>
    <m/>
    <m/>
    <m/>
  </r>
  <r>
    <x v="2"/>
    <x v="0"/>
    <m/>
    <x v="0"/>
    <m/>
    <x v="1"/>
    <n v="50"/>
    <s v="Recommendation"/>
    <s v="keep changing weekly"/>
    <s v="maintain"/>
    <s v="Monitor closely"/>
    <s v="Clean it weekly"/>
    <s v="maintain"/>
    <s v="keep close inspection"/>
    <m/>
    <m/>
    <m/>
  </r>
  <r>
    <x v="2"/>
    <x v="0"/>
    <m/>
    <x v="0"/>
    <m/>
    <x v="1"/>
    <n v="50"/>
    <s v="Actions"/>
    <s v="Changed"/>
    <s v="Nothing done"/>
    <s v="Nothing done"/>
    <s v="Nothing done"/>
    <s v="Nothing done"/>
    <s v="Nothing done"/>
    <m/>
    <m/>
    <m/>
  </r>
  <r>
    <x v="2"/>
    <x v="0"/>
    <m/>
    <x v="0"/>
    <m/>
    <x v="1"/>
    <n v="17"/>
    <s v="Damage Observed"/>
    <s v="Very dirty"/>
    <s v="In good conditins"/>
    <s v="Still okay"/>
    <s v="Clean"/>
    <s v="In good conditions"/>
    <s v="Still okay"/>
    <m/>
    <m/>
    <m/>
  </r>
  <r>
    <x v="2"/>
    <x v="0"/>
    <m/>
    <x v="0"/>
    <m/>
    <x v="1"/>
    <n v="17"/>
    <s v="Recommendation"/>
    <s v="Continue changing in time"/>
    <s v="Inspect for unusual functioning"/>
    <s v="Maintain the care"/>
    <s v="Keep cleaning weekly"/>
    <m/>
    <s v="Maintain"/>
    <m/>
    <m/>
    <m/>
  </r>
  <r>
    <x v="2"/>
    <x v="0"/>
    <m/>
    <x v="0"/>
    <m/>
    <x v="1"/>
    <n v="17"/>
    <s v="Actions"/>
    <s v="Changed"/>
    <s v="Nothing done"/>
    <s v="Nothing done"/>
    <s v="Nothing done"/>
    <s v="Watch closely"/>
    <s v="Nothing done"/>
    <m/>
    <m/>
    <m/>
  </r>
  <r>
    <x v="2"/>
    <x v="0"/>
    <m/>
    <x v="0"/>
    <m/>
    <x v="1"/>
    <n v="263"/>
    <s v="Damage Observed"/>
    <s v="It has reduced and it has some particles"/>
    <s v="It is good maintain the care"/>
    <s v="It is good"/>
    <s v="It is good"/>
    <s v="It is okay"/>
    <s v="No wear observed"/>
    <s v="It is still working"/>
    <s v="It is still okay"/>
    <s v="functioning well"/>
  </r>
  <r>
    <x v="2"/>
    <x v="0"/>
    <m/>
    <x v="0"/>
    <m/>
    <x v="1"/>
    <n v="263"/>
    <s v="Recommendation"/>
    <s v="It needs to replace"/>
    <s v="Maintain the care"/>
    <s v="Inspect for any abnormal functioning"/>
    <s v="Clean it atleast next week"/>
    <s v="Maintain"/>
    <s v="keep a close inspection"/>
    <s v="Inspect for abnormal soke while riding"/>
    <s v="Keep it up"/>
    <s v="Inpect once in the while"/>
  </r>
  <r>
    <x v="2"/>
    <x v="0"/>
    <m/>
    <x v="0"/>
    <m/>
    <x v="1"/>
    <n v="263"/>
    <s v="Actions"/>
    <s v="Changed"/>
    <s v="Nothing done"/>
    <s v="Nothing done"/>
    <s v="Nothing done"/>
    <s v="Nothing done"/>
    <s v="Nothing done"/>
    <s v="Nothing done"/>
    <s v="Nothing done"/>
    <s v="Nothing done"/>
  </r>
  <r>
    <x v="3"/>
    <x v="0"/>
    <m/>
    <x v="0"/>
    <m/>
    <x v="1"/>
    <n v="18"/>
    <s v="Damage Observed"/>
    <s v="Has particles"/>
    <s v="Okay"/>
    <s v="Still okay"/>
    <s v="Clean "/>
    <s v="Good conditions"/>
    <s v="Clear"/>
    <m/>
    <m/>
    <m/>
  </r>
  <r>
    <x v="3"/>
    <x v="0"/>
    <m/>
    <x v="0"/>
    <m/>
    <x v="1"/>
    <n v="18"/>
    <s v="Recommendation"/>
    <s v="Change at least weekly "/>
    <s v="Keep monitoring"/>
    <s v="Monitor for any looseness"/>
    <s v="Clean periodically"/>
    <s v="Monitor closely"/>
    <s v="Maintain"/>
    <m/>
    <m/>
    <m/>
  </r>
  <r>
    <x v="3"/>
    <x v="0"/>
    <m/>
    <x v="0"/>
    <m/>
    <x v="1"/>
    <n v="18"/>
    <s v="Actions"/>
    <s v="Changed"/>
    <s v="Nothing done"/>
    <s v="Nothing done"/>
    <s v="Nothing done"/>
    <s v="Nothing done"/>
    <s v="Nothing done"/>
    <m/>
    <m/>
    <m/>
  </r>
  <r>
    <x v="3"/>
    <x v="0"/>
    <m/>
    <x v="0"/>
    <m/>
    <x v="1"/>
    <n v="60"/>
    <s v="Damage Observed"/>
    <s v="Fairly good"/>
    <s v="Stilfunctioning well"/>
    <s v="Well set"/>
    <s v="Dusty "/>
    <s v="Still working well"/>
    <s v="Still okay"/>
    <s v="Normally functionig"/>
    <s v="Good working conditions"/>
    <s v="Well maintained "/>
  </r>
  <r>
    <x v="3"/>
    <x v="0"/>
    <m/>
    <x v="0"/>
    <m/>
    <x v="1"/>
    <n v="60"/>
    <s v="Recommendation"/>
    <s v="Needs to be changed"/>
    <s v="Monitor closely"/>
    <s v="Inspect for any unusual functioning"/>
    <s v="Clean weekly"/>
    <s v="Watch closely"/>
    <s v="Maintain"/>
    <s v="Keep close inspection"/>
    <s v="monitor closely"/>
    <s v="Keep it up"/>
  </r>
  <r>
    <x v="3"/>
    <x v="0"/>
    <m/>
    <x v="0"/>
    <m/>
    <x v="1"/>
    <n v="60"/>
    <s v="Actions"/>
    <s v="Changed"/>
    <s v="Nothing done"/>
    <s v="Nothing done"/>
    <s v="Cleaned"/>
    <s v="Nothing done"/>
    <s v="Nothing done"/>
    <s v="Nothing done"/>
    <s v="Nothing done"/>
    <s v="Nothing done"/>
  </r>
  <r>
    <x v="11"/>
    <x v="0"/>
    <m/>
    <x v="1"/>
    <m/>
    <x v="1"/>
    <n v="15"/>
    <s v="Damage Observed"/>
    <s v="Has no particles but used up"/>
    <s v="Still good"/>
    <s v="Loose"/>
    <s v="Clean wiyh less dust"/>
    <s v="Still functioning"/>
    <s v="Still okay"/>
    <m/>
    <m/>
    <m/>
  </r>
  <r>
    <x v="11"/>
    <x v="0"/>
    <m/>
    <x v="1"/>
    <m/>
    <x v="1"/>
    <n v="15"/>
    <s v="Recommendation"/>
    <s v="Change weekly"/>
    <s v="Monitor closely"/>
    <s v="Needs setting"/>
    <s v="Maintain"/>
    <s v="Needs to be changed"/>
    <s v="Maintain"/>
    <m/>
    <m/>
    <m/>
  </r>
  <r>
    <x v="11"/>
    <x v="0"/>
    <m/>
    <x v="1"/>
    <m/>
    <x v="1"/>
    <n v="15"/>
    <s v="Actions"/>
    <s v="Changed"/>
    <s v="Nothing done"/>
    <s v="Nothing done"/>
    <s v="Nothing done"/>
    <s v="Nothing done"/>
    <s v="Nothing done"/>
    <m/>
    <m/>
    <m/>
  </r>
  <r>
    <x v="12"/>
    <x v="0"/>
    <m/>
    <x v="1"/>
    <m/>
    <x v="1"/>
    <n v="266"/>
    <s v="Damage Observed"/>
    <s v="Nut is damaged,oil is very dirty and used up"/>
    <s v="Dirty"/>
    <s v="Well set"/>
    <s v="Dusty "/>
    <s v="It is clear"/>
    <s v="Nut is damaged"/>
    <s v="Its okay"/>
    <s v="Still functioning well"/>
    <s v="Normal "/>
  </r>
  <r>
    <x v="12"/>
    <x v="0"/>
    <m/>
    <x v="1"/>
    <m/>
    <x v="1"/>
    <n v="266"/>
    <s v="Recommendation"/>
    <s v="Needs to be changed"/>
    <s v="Needs to be cleaned"/>
    <s v="Maintain the care"/>
    <s v="Needs to be cleaned"/>
    <s v="Maintain"/>
    <s v="Needs a new one"/>
    <s v="Keep close inspection"/>
    <s v="keep close suervision"/>
    <s v="Maintain"/>
  </r>
  <r>
    <x v="12"/>
    <x v="0"/>
    <m/>
    <x v="1"/>
    <m/>
    <x v="1"/>
    <n v="266"/>
    <s v="Actions"/>
    <s v="Changed"/>
    <s v="Cleaned"/>
    <s v="Nothing done"/>
    <s v="Dusted"/>
    <s v="Nothing done"/>
    <s v="Changed"/>
    <s v="Nothing done"/>
    <s v="Nothing done"/>
    <s v="Nothing done"/>
  </r>
  <r>
    <x v="15"/>
    <x v="0"/>
    <m/>
    <x v="1"/>
    <m/>
    <x v="1"/>
    <n v="45"/>
    <s v="Damage Observed"/>
    <s v="Used up"/>
    <s v="Has no problem"/>
    <s v="Clear"/>
    <s v="clear"/>
    <s v="Has no problem"/>
    <s v="Damaged"/>
    <m/>
    <m/>
    <m/>
  </r>
  <r>
    <x v="15"/>
    <x v="0"/>
    <m/>
    <x v="1"/>
    <m/>
    <x v="1"/>
    <n v="45"/>
    <s v="Recommendation"/>
    <s v="Needs to be changed"/>
    <s v="Needs maintainance"/>
    <s v="Monitor closely"/>
    <s v="Clean weekly"/>
    <s v="keep monitoring"/>
    <s v="Needs to be changed"/>
    <m/>
    <m/>
    <m/>
  </r>
  <r>
    <x v="15"/>
    <x v="0"/>
    <m/>
    <x v="1"/>
    <m/>
    <x v="1"/>
    <n v="45"/>
    <s v="Actions"/>
    <s v="Changed"/>
    <s v="Nothing done"/>
    <s v="Nothing done"/>
    <s v="Nothing done"/>
    <s v="Nothing done"/>
    <s v="Changed"/>
    <m/>
    <m/>
    <m/>
  </r>
  <r>
    <x v="15"/>
    <x v="0"/>
    <m/>
    <x v="1"/>
    <m/>
    <x v="1"/>
    <n v="58"/>
    <s v="Damage Observed"/>
    <s v="Fairly good"/>
    <s v="Still functioning well"/>
    <s v="Well set"/>
    <s v="Dusty "/>
    <s v="Still working well"/>
    <s v="Still good"/>
    <s v="Still functioning well"/>
    <s v="Still good "/>
    <s v="Good conditions"/>
  </r>
  <r>
    <x v="15"/>
    <x v="0"/>
    <m/>
    <x v="1"/>
    <m/>
    <x v="1"/>
    <n v="58"/>
    <s v="Recommendation"/>
    <s v="Needs changing weekly"/>
    <s v="Watch closely"/>
    <s v="Maintain the care"/>
    <s v="Clean it soon"/>
    <s v="Watch closely"/>
    <s v="Check after service"/>
    <s v="Watch for any unusual functioning"/>
    <s v="Maintain"/>
    <s v="watch it closely"/>
  </r>
  <r>
    <x v="15"/>
    <x v="0"/>
    <m/>
    <x v="1"/>
    <m/>
    <x v="1"/>
    <n v="58"/>
    <s v="Actions"/>
    <s v="Changed"/>
    <s v="Nothing done"/>
    <s v="Nothing done"/>
    <s v="Nothing done"/>
    <s v="Nothing done"/>
    <s v="Nothing done"/>
    <s v="Nothing done"/>
    <s v="Nothing done"/>
    <s v="Nothing done"/>
  </r>
  <r>
    <x v="16"/>
    <x v="0"/>
    <m/>
    <x v="1"/>
    <m/>
    <x v="1"/>
    <n v="13"/>
    <s v="Damage Observed"/>
    <s v="Used up"/>
    <s v="Still good"/>
    <s v="clear"/>
    <s v="okay"/>
    <s v="Good conditions"/>
    <s v="well functioning"/>
    <m/>
    <m/>
    <m/>
  </r>
  <r>
    <x v="16"/>
    <x v="0"/>
    <m/>
    <x v="1"/>
    <m/>
    <x v="1"/>
    <n v="13"/>
    <s v="Recommendation"/>
    <s v="Change weekly"/>
    <s v="Observe for abnomality"/>
    <s v="Observe for any abn0mality"/>
    <s v="Clean weekly"/>
    <s v="Maintain the care"/>
    <s v="Inspect it after work for any wearing"/>
    <m/>
    <m/>
    <m/>
  </r>
  <r>
    <x v="16"/>
    <x v="0"/>
    <m/>
    <x v="1"/>
    <m/>
    <x v="1"/>
    <n v="13"/>
    <s v="Actions"/>
    <s v="Changed"/>
    <s v="Nothing done"/>
    <s v="Nothing done"/>
    <s v="cleaned"/>
    <s v="Nothing done"/>
    <m/>
    <m/>
    <m/>
    <m/>
  </r>
  <r>
    <x v="16"/>
    <x v="0"/>
    <m/>
    <x v="1"/>
    <m/>
    <x v="1"/>
    <n v="24"/>
    <s v="Damage Observed"/>
    <s v="Oil has reduced and used up"/>
    <s v="Dirty"/>
    <s v="Well set no damage"/>
    <s v="Very dusty but still okay"/>
    <s v="Has no defect"/>
    <s v="Nut worn out/eaten up"/>
    <m/>
    <m/>
    <m/>
  </r>
  <r>
    <x v="16"/>
    <x v="0"/>
    <m/>
    <x v="1"/>
    <m/>
    <x v="1"/>
    <n v="24"/>
    <s v="Recommendation"/>
    <s v="Change on time"/>
    <s v="Clean it when required"/>
    <s v="Inspect for any looseness"/>
    <s v="Cleaning it once in the while"/>
    <s v="Watch closely"/>
    <s v="Always be keen while operating"/>
    <m/>
    <m/>
    <m/>
  </r>
  <r>
    <x v="16"/>
    <x v="0"/>
    <m/>
    <x v="1"/>
    <m/>
    <x v="1"/>
    <n v="24"/>
    <s v="Actions"/>
    <s v="Changed"/>
    <s v="Cleaned"/>
    <s v="Nothing done"/>
    <s v="Cleaned"/>
    <s v="Nothing done"/>
    <m/>
    <m/>
    <m/>
    <m/>
  </r>
  <r>
    <x v="16"/>
    <x v="0"/>
    <m/>
    <x v="1"/>
    <m/>
    <x v="1"/>
    <n v="56"/>
    <s v="Damage Observed"/>
    <s v="It has reduced and fair"/>
    <s v="Still okay"/>
    <s v="Good conditions"/>
    <s v="Still working well"/>
    <s v="Functins normally"/>
    <s v="Functioning well"/>
    <s v="Still functioning well"/>
    <s v="Normal"/>
    <s v="functioning well"/>
  </r>
  <r>
    <x v="16"/>
    <x v="0"/>
    <m/>
    <x v="1"/>
    <m/>
    <x v="1"/>
    <n v="56"/>
    <s v="Recommendation"/>
    <s v="Replace the nut"/>
    <s v="Clean next week"/>
    <s v="Inspect for any misallignment"/>
    <s v="Clean it next week"/>
    <s v="Maintain the care"/>
    <s v="Maintain the care"/>
    <s v="Watch smoke released closely"/>
    <s v="Maintain"/>
    <s v="Maintain"/>
  </r>
  <r>
    <x v="16"/>
    <x v="0"/>
    <m/>
    <x v="1"/>
    <m/>
    <x v="1"/>
    <n v="56"/>
    <s v="Actions"/>
    <s v="oil changed"/>
    <s v="Nothing done"/>
    <s v="Nothing done"/>
    <s v="Nothing done"/>
    <s v="Nothing done"/>
    <s v="Nothing done"/>
    <s v="Nothing done"/>
    <s v="Nothing done"/>
    <s v="Nothing done"/>
  </r>
  <r>
    <x v="17"/>
    <x v="1"/>
    <s v="NAGOMU LATIFU"/>
    <x v="0"/>
    <m/>
    <x v="0"/>
    <n v="37"/>
    <s v="Damage Observed"/>
    <s v="NOT BAD THOUGH USED UP"/>
    <s v="GOOD"/>
    <s v="GOOD "/>
    <s v="GOOD"/>
    <s v="GOOD"/>
    <s v="GOOD"/>
    <s v="VERY GOOD"/>
    <s v="VERY GOOD"/>
    <s v="GOOD"/>
  </r>
  <r>
    <x v="17"/>
    <x v="1"/>
    <m/>
    <x v="0"/>
    <m/>
    <x v="0"/>
    <n v="37"/>
    <s v="Recommendation"/>
    <s v="change weekly"/>
    <s v="good"/>
    <s v="good"/>
    <s v="good"/>
    <s v="good"/>
    <s v="good"/>
    <s v="good"/>
    <s v="good"/>
    <s v="good"/>
  </r>
  <r>
    <x v="17"/>
    <x v="1"/>
    <m/>
    <x v="0"/>
    <m/>
    <x v="0"/>
    <n v="37"/>
    <s v="Actions"/>
    <s v="changed"/>
    <s v="Keep it up"/>
    <s v="keep it up"/>
    <s v="keep it on"/>
    <s v="keep it on"/>
    <s v="keep it on"/>
    <s v="keep it on"/>
    <s v="keep it on"/>
    <s v="keep it on"/>
  </r>
  <r>
    <x v="18"/>
    <x v="1"/>
    <s v="WAZENGE SALIMU"/>
    <x v="0"/>
    <m/>
    <x v="0"/>
    <n v="36"/>
    <s v="Damage Observed"/>
    <s v="NOT BAD THOUGH USED UP"/>
    <s v="IN A GOOD CONDITION"/>
    <s v="GOOD"/>
    <s v="GOOD"/>
    <s v="GOOD"/>
    <s v="WELL SERVICED"/>
    <s v="VERY GOOD"/>
    <s v="VERY GOOD"/>
    <s v="GOOD"/>
  </r>
  <r>
    <x v="18"/>
    <x v="1"/>
    <m/>
    <x v="0"/>
    <m/>
    <x v="0"/>
    <n v="36"/>
    <s v="Recommendation"/>
    <s v="change weekly"/>
    <s v="good"/>
    <s v="good"/>
    <s v="good"/>
    <s v="good"/>
    <s v="good"/>
    <s v="good"/>
    <s v="good"/>
    <s v="good"/>
  </r>
  <r>
    <x v="18"/>
    <x v="1"/>
    <m/>
    <x v="0"/>
    <m/>
    <x v="0"/>
    <n v="36"/>
    <s v="Actions"/>
    <s v="changed"/>
    <s v="Keep it up"/>
    <s v="keep it up"/>
    <s v="keep it on"/>
    <s v="keep it on"/>
    <s v="keep it on"/>
    <s v="keep it up"/>
    <s v="keep it on"/>
    <s v="keep it on"/>
  </r>
  <r>
    <x v="19"/>
    <x v="1"/>
    <s v="NABENDE AARON"/>
    <x v="0"/>
    <m/>
    <x v="0"/>
    <n v="40"/>
    <s v="Damage Observed"/>
    <s v="NOT BAD THOUGH USED UP"/>
    <s v="GOOD"/>
    <s v="GOOD"/>
    <s v="GOOD"/>
    <s v="GOOD"/>
    <s v="GOOD"/>
    <m/>
    <m/>
    <m/>
  </r>
  <r>
    <x v="19"/>
    <x v="1"/>
    <m/>
    <x v="0"/>
    <m/>
    <x v="0"/>
    <n v="40"/>
    <s v="Recommendation"/>
    <s v="change weekly"/>
    <s v="good"/>
    <s v="good"/>
    <s v="good"/>
    <s v="good"/>
    <s v="good"/>
    <m/>
    <m/>
    <m/>
  </r>
  <r>
    <x v="19"/>
    <x v="1"/>
    <m/>
    <x v="0"/>
    <m/>
    <x v="0"/>
    <n v="40"/>
    <s v="Actions"/>
    <s v="changed"/>
    <s v="Keep it up"/>
    <s v="keep it on"/>
    <s v="keep it up"/>
    <s v="keep it up"/>
    <s v="keep it on"/>
    <m/>
    <m/>
    <m/>
  </r>
  <r>
    <x v="20"/>
    <x v="1"/>
    <s v="JENGO YAHAYA"/>
    <x v="0"/>
    <m/>
    <x v="0"/>
    <n v="65"/>
    <s v="Damage Observed"/>
    <s v="NOT BAD THOUGH USED UP"/>
    <s v="SERVICED"/>
    <s v="SERVICED"/>
    <s v="GOOD"/>
    <s v="GOOD"/>
    <s v="new nut and waher replaced"/>
    <m/>
    <m/>
    <m/>
  </r>
  <r>
    <x v="20"/>
    <x v="1"/>
    <m/>
    <x v="0"/>
    <m/>
    <x v="0"/>
    <n v="65"/>
    <s v="Recommendation"/>
    <s v="change weekly"/>
    <s v="weekly done atleast"/>
    <s v="once in a weak atleast In a month"/>
    <s v="good"/>
    <s v="good"/>
    <s v="weekly to be checked"/>
    <m/>
    <m/>
    <m/>
  </r>
  <r>
    <x v="20"/>
    <x v="1"/>
    <m/>
    <x v="0"/>
    <m/>
    <x v="0"/>
    <n v="65"/>
    <s v="Actions"/>
    <s v="changed"/>
    <s v="done"/>
    <s v="done"/>
    <s v="keep it on"/>
    <s v="Keep it on"/>
    <s v="done"/>
    <m/>
    <m/>
    <m/>
  </r>
  <r>
    <x v="21"/>
    <x v="1"/>
    <s v="LUBEGA YUSUF"/>
    <x v="0"/>
    <m/>
    <x v="0"/>
    <n v="61"/>
    <s v="Damage Observed"/>
    <s v="OIL GOOD THOUGH USED UP"/>
    <s v="GOOD ATLEAST"/>
    <s v="GOOD"/>
    <s v="GOOD"/>
    <s v="GOOD IN CONDITION"/>
    <s v="GOOD"/>
    <s v="ATLEAST GOOD"/>
    <s v="GOOD"/>
    <s v=" GOOD"/>
  </r>
  <r>
    <x v="21"/>
    <x v="1"/>
    <m/>
    <x v="0"/>
    <m/>
    <x v="0"/>
    <n v="61"/>
    <s v="Recommendation"/>
    <m/>
    <m/>
    <m/>
    <m/>
    <m/>
    <m/>
    <m/>
    <m/>
    <m/>
  </r>
  <r>
    <x v="21"/>
    <x v="1"/>
    <m/>
    <x v="0"/>
    <m/>
    <x v="0"/>
    <n v="61"/>
    <s v="Actions"/>
    <m/>
    <m/>
    <m/>
    <m/>
    <m/>
    <m/>
    <m/>
    <m/>
    <m/>
  </r>
  <r>
    <x v="22"/>
    <x v="1"/>
    <s v="MASINDE SULAITI"/>
    <x v="1"/>
    <m/>
    <x v="0"/>
    <n v="93"/>
    <s v="Damage Observed"/>
    <s v="NOT SO BAD THOUGH USED UP"/>
    <s v="IT WAS GOOD"/>
    <s v="PERFECT"/>
    <s v="PERRFECT"/>
    <s v="IN A GOOD CONDITION"/>
    <s v="IN A GOOD CONDITION"/>
    <s v="PERFECT"/>
    <s v="PERFECT"/>
    <s v="GOOD"/>
  </r>
  <r>
    <x v="22"/>
    <x v="1"/>
    <m/>
    <x v="1"/>
    <m/>
    <x v="0"/>
    <n v="93"/>
    <s v="Recommendation"/>
    <s v="needs to be changed weekly"/>
    <s v="maintain"/>
    <s v="maintain"/>
    <s v="maintain"/>
    <s v="maintain"/>
    <s v="maintain "/>
    <s v="maintain"/>
    <s v="maintain"/>
    <s v="maintain"/>
  </r>
  <r>
    <x v="22"/>
    <x v="1"/>
    <m/>
    <x v="1"/>
    <m/>
    <x v="0"/>
    <n v="93"/>
    <s v="Actions"/>
    <s v="changed"/>
    <s v="keep it up"/>
    <s v="keep it up"/>
    <s v="keep it on"/>
    <s v="keep it on"/>
    <s v="keep it up"/>
    <s v="keep it up"/>
    <s v="good"/>
    <s v="well done"/>
  </r>
  <r>
    <x v="23"/>
    <x v="1"/>
    <s v="MAJEME GEORGE"/>
    <x v="1"/>
    <m/>
    <x v="0"/>
    <n v="96"/>
    <s v="Damage Observed"/>
    <s v="VERY DIRTY"/>
    <s v="GOOD"/>
    <s v="NEED TO BE SETTED"/>
    <s v="GOOD"/>
    <s v="IN A GOOD CONDITION"/>
    <s v="WELL SERVICED"/>
    <s v="PERFECT"/>
    <s v="GOOD"/>
    <s v="GOOD"/>
  </r>
  <r>
    <x v="23"/>
    <x v="1"/>
    <m/>
    <x v="1"/>
    <m/>
    <x v="0"/>
    <n v="96"/>
    <s v="Recommendation"/>
    <s v="needs to be changed weekly"/>
    <s v="maintain"/>
    <s v="every week needs to be done so"/>
    <s v="maintain"/>
    <s v="maintain"/>
    <s v="maintain"/>
    <s v="Maintain"/>
    <s v="maintain"/>
    <s v="maintain"/>
  </r>
  <r>
    <x v="23"/>
    <x v="1"/>
    <m/>
    <x v="1"/>
    <m/>
    <x v="0"/>
    <n v="96"/>
    <s v="Actions"/>
    <s v="changed "/>
    <s v="Keep it up"/>
    <s v="done"/>
    <s v="well done"/>
    <s v="keep it up"/>
    <s v="keep it up"/>
    <s v="keep it up"/>
    <s v="keep it on"/>
    <s v="well done"/>
  </r>
  <r>
    <x v="24"/>
    <x v="1"/>
    <s v="MUSAMALI FRED"/>
    <x v="1"/>
    <m/>
    <x v="0"/>
    <n v="98"/>
    <s v="Damage Observed"/>
    <s v="VERY DIRTY"/>
    <s v="GOOD"/>
    <s v="NEEDS TIMING"/>
    <s v="GOOD"/>
    <s v="IN A GOOD CONDITION"/>
    <s v="SERVICED VERY WELL"/>
    <s v="NOT IN A GOOD CONDITION"/>
    <s v="GOOD"/>
    <s v="GOOD"/>
  </r>
  <r>
    <x v="24"/>
    <x v="1"/>
    <m/>
    <x v="1"/>
    <m/>
    <x v="0"/>
    <n v="98"/>
    <s v="Recommendation"/>
    <s v="change weekly"/>
    <s v="maintain"/>
    <s v="needed every weekend"/>
    <s v="maintain"/>
    <s v="maintain"/>
    <s v="maintain it"/>
    <s v="needs to be changed"/>
    <s v="maintain"/>
    <s v="maintain"/>
  </r>
  <r>
    <x v="24"/>
    <x v="1"/>
    <m/>
    <x v="1"/>
    <m/>
    <x v="0"/>
    <n v="98"/>
    <s v="Actions"/>
    <s v="changed"/>
    <s v="Keep it up"/>
    <s v="done"/>
    <s v="keep it up"/>
    <s v="well done"/>
    <s v="keep it on"/>
    <s v="not changed"/>
    <s v="keep it up"/>
    <s v="well done"/>
  </r>
  <r>
    <x v="25"/>
    <x v="1"/>
    <s v="MULONDO SULAITI"/>
    <x v="1"/>
    <m/>
    <x v="0"/>
    <n v="92"/>
    <s v="Damage Observed"/>
    <s v="LITTLE OIL AND USED UP"/>
    <s v="NOT WELL SERVICED"/>
    <s v="NEED TO BE SETTED"/>
    <s v="GOOD"/>
    <s v="NEEDS TO BE CHANGED"/>
    <s v="WELL SERVICED"/>
    <s v="WORN OUT"/>
    <s v="Still good "/>
    <s v="IN A GOOD CONDITION"/>
  </r>
  <r>
    <x v="25"/>
    <x v="1"/>
    <m/>
    <x v="1"/>
    <m/>
    <x v="0"/>
    <n v="92"/>
    <s v="Recommendation"/>
    <s v="NEEDS TO ATLEAST CHANGE WEEKLY"/>
    <s v="needs to be serviced weekly"/>
    <s v="weekly setting needed"/>
    <s v="maintain"/>
    <s v="Not changed"/>
    <s v="maintain"/>
    <s v="needs to be replaced"/>
    <s v="maintain"/>
    <s v="maintain"/>
  </r>
  <r>
    <x v="25"/>
    <x v="1"/>
    <m/>
    <x v="1"/>
    <m/>
    <x v="0"/>
    <n v="92"/>
    <s v="Actions"/>
    <s v="changed"/>
    <s v="done"/>
    <s v="done"/>
    <s v="keep it up"/>
    <s v="not done"/>
    <s v="keep it up"/>
    <s v="Replaced"/>
    <s v="nothing done"/>
    <s v="keep it up"/>
  </r>
  <r>
    <x v="26"/>
    <x v="1"/>
    <s v="MUKHWANA MOSES"/>
    <x v="1"/>
    <m/>
    <x v="0"/>
    <n v="95"/>
    <s v="Damage Observed"/>
    <s v="IT WAS GOOD"/>
    <s v="DAMAGE OBSERVED"/>
    <s v="DAMAGE OBSERVED"/>
    <s v="NO DAMAGE OBSERVED"/>
    <s v="NO DAMAGE OBSERVED"/>
    <s v="IT WAS GOOD"/>
    <s v="NEEDS TO BE CHANGED"/>
    <s v="IT WAS OK"/>
    <s v="GOOD"/>
  </r>
  <r>
    <x v="26"/>
    <x v="1"/>
    <m/>
    <x v="1"/>
    <m/>
    <x v="0"/>
    <n v="95"/>
    <s v="Recommendation"/>
    <s v="change weekly"/>
    <s v="service needed weekly"/>
    <s v="service needed"/>
    <s v="maintain"/>
    <s v="maintain"/>
    <s v="maintain"/>
    <s v="not changed"/>
    <s v="maintain"/>
    <s v="maintain"/>
  </r>
  <r>
    <x v="26"/>
    <x v="1"/>
    <m/>
    <x v="1"/>
    <m/>
    <x v="0"/>
    <n v="95"/>
    <s v="Actions"/>
    <s v="changed"/>
    <s v="done"/>
    <s v="done"/>
    <s v="keep it up"/>
    <s v="keep it up"/>
    <s v="keep it up"/>
    <s v="not done"/>
    <s v="good"/>
    <m/>
  </r>
  <r>
    <x v="27"/>
    <x v="1"/>
    <s v="WAMBEDE MUSA"/>
    <x v="1"/>
    <m/>
    <x v="0"/>
    <n v="91"/>
    <s v="Damage Observed"/>
    <s v="NOT SO BAD"/>
    <s v="PERFECT"/>
    <s v="GOOD"/>
    <s v="NOT BAD"/>
    <s v="IN A GOOD CONDITION"/>
    <s v="GOOD"/>
    <s v="PERFECT"/>
    <s v="WELL MAINTAINED"/>
    <s v="GOOD"/>
  </r>
  <r>
    <x v="27"/>
    <x v="1"/>
    <m/>
    <x v="1"/>
    <m/>
    <x v="0"/>
    <n v="91"/>
    <s v="Recommendation"/>
    <s v="needs to be changed weekly"/>
    <s v="maintain"/>
    <s v="maintain"/>
    <s v="maintain"/>
    <s v="maintain"/>
    <s v="maintain"/>
    <s v="maintain"/>
    <s v="maintain it"/>
    <s v="maintain it"/>
  </r>
  <r>
    <x v="27"/>
    <x v="1"/>
    <m/>
    <x v="1"/>
    <m/>
    <x v="0"/>
    <n v="91"/>
    <s v="Actions"/>
    <s v="changed"/>
    <s v="Keep it up"/>
    <s v="keep it up"/>
    <s v="keep it up"/>
    <s v="keep it up"/>
    <s v="keep it up"/>
    <s v="continue like that"/>
    <s v="keep it up"/>
    <s v="keep it on"/>
  </r>
  <r>
    <x v="28"/>
    <x v="1"/>
    <s v="WANINDA PAUL"/>
    <x v="1"/>
    <m/>
    <x v="0"/>
    <n v="94"/>
    <s v="Damage Observed"/>
    <s v="NOT BAD THOUGH USED UP"/>
    <s v="good"/>
    <s v="MISSED TIMING"/>
    <s v="STILL GOOD"/>
    <s v="IN A GOOD CONDITION"/>
    <s v="WELL SERVICED"/>
    <s v="FUNCTIONING WELL"/>
    <s v="NORMAL"/>
    <s v="NORMAL"/>
  </r>
  <r>
    <x v="28"/>
    <x v="1"/>
    <m/>
    <x v="1"/>
    <m/>
    <x v="0"/>
    <n v="94"/>
    <s v="Recommendation"/>
    <s v="needs to be changed weekly"/>
    <s v="maintain"/>
    <s v="needs setting"/>
    <s v="KEEP IT ON"/>
    <s v="KEEP IT ON"/>
    <s v="KEEP IT UP"/>
    <s v="Maintain"/>
    <s v="MAINTAIN"/>
    <s v="MAINTAIN"/>
  </r>
  <r>
    <x v="28"/>
    <x v="1"/>
    <m/>
    <x v="1"/>
    <m/>
    <x v="0"/>
    <n v="94"/>
    <s v="Actions"/>
    <s v="changed"/>
    <s v="nothing dirty"/>
    <s v="setting done"/>
    <s v="nothing done"/>
    <s v="Nothing done"/>
    <s v="NOTHING DONE"/>
    <s v="Nothing done"/>
    <s v="Nothing done"/>
    <s v="Nothing done"/>
  </r>
  <r>
    <x v="29"/>
    <x v="1"/>
    <s v="WAFUMBO ROGERS"/>
    <x v="1"/>
    <m/>
    <x v="0"/>
    <n v="97"/>
    <s v="Damage Observed"/>
    <s v="NOT BAD THOUGH USED UP"/>
    <s v="PERFECT"/>
    <s v="needs to be setted"/>
    <s v="GOOD"/>
    <s v="Good conditions"/>
    <s v="WELL SERVICED"/>
    <s v="NOT IN A GOOD CONDITION"/>
    <s v="GOOD"/>
    <s v="GOOD"/>
  </r>
  <r>
    <x v="29"/>
    <x v="1"/>
    <m/>
    <x v="1"/>
    <m/>
    <x v="0"/>
    <n v="97"/>
    <s v="Recommendation"/>
    <s v="change weekly"/>
    <s v="maintain"/>
    <s v="atleast once in a week"/>
    <s v="maintain"/>
    <s v="maintain"/>
    <s v="maintain"/>
    <s v="needs to be changed"/>
    <s v="maintain"/>
    <s v="maintain"/>
  </r>
  <r>
    <x v="29"/>
    <x v="1"/>
    <m/>
    <x v="1"/>
    <m/>
    <x v="0"/>
    <n v="97"/>
    <s v="Actions"/>
    <s v="changed"/>
    <s v="Keep it up"/>
    <s v="setted"/>
    <s v="well done"/>
    <s v="keep it up"/>
    <s v="keep it up"/>
    <s v="not changed"/>
    <s v="keep it up"/>
    <s v="well done"/>
  </r>
  <r>
    <x v="30"/>
    <x v="1"/>
    <s v="WETONYI TOM"/>
    <x v="1"/>
    <m/>
    <x v="0"/>
    <n v="39"/>
    <s v="Damage Observed"/>
    <s v="VERY DIRTY AND USED UP"/>
    <s v="VERY DIRTY"/>
    <s v="GOOD"/>
    <s v="GOOD"/>
    <s v="IN A GOOD CONDITION"/>
    <s v="SERVICED WELL"/>
    <s v="IN A GOOD CONDITION"/>
    <s v="GOOD"/>
    <s v="GOOD"/>
  </r>
  <r>
    <x v="30"/>
    <x v="1"/>
    <m/>
    <x v="1"/>
    <m/>
    <x v="0"/>
    <n v="39"/>
    <s v="Recommendation"/>
    <s v="change weekly"/>
    <s v="service needed atleast once in a week"/>
    <s v="good"/>
    <s v="good"/>
    <s v="good"/>
    <s v="good"/>
    <s v="good"/>
    <s v="good"/>
    <s v="good"/>
  </r>
  <r>
    <x v="30"/>
    <x v="1"/>
    <m/>
    <x v="1"/>
    <m/>
    <x v="0"/>
    <n v="39"/>
    <s v="Actions"/>
    <s v="changed"/>
    <s v="done"/>
    <s v="keep it up"/>
    <s v="keep it on"/>
    <s v="keep it up"/>
    <s v="keep it on"/>
    <s v="keep it up"/>
    <s v="keep it up"/>
    <s v="keep it on"/>
  </r>
  <r>
    <x v="31"/>
    <x v="1"/>
    <s v="WAMIMBI RONALD"/>
    <x v="1"/>
    <m/>
    <x v="0"/>
    <n v="35"/>
    <s v="Damage Observed"/>
    <s v="VERY LITTLE OIL AND DIRTY"/>
    <s v="GOOD"/>
    <s v="NEED TO BE TIMED"/>
    <s v="GOOD"/>
    <s v="GOOD"/>
    <s v="SERVICED VERY WELL"/>
    <s v="NEEDS TO PUT NEW PISTON AND VALVES"/>
    <s v="NEEDS VALVES SEALS"/>
    <s v="VERY GOOD"/>
  </r>
  <r>
    <x v="31"/>
    <x v="1"/>
    <m/>
    <x v="1"/>
    <m/>
    <x v="0"/>
    <n v="35"/>
    <s v="Recommendation"/>
    <s v="needs to be changed weekly"/>
    <s v="good"/>
    <s v="every week"/>
    <s v="good"/>
    <s v="good"/>
    <s v="check weekly"/>
    <s v="it should be done soon"/>
    <s v="it should be replaced very soon"/>
    <s v="good"/>
  </r>
  <r>
    <x v="31"/>
    <x v="1"/>
    <m/>
    <x v="1"/>
    <m/>
    <x v="0"/>
    <n v="35"/>
    <s v="Actions"/>
    <s v="changed"/>
    <s v="Keep it up"/>
    <s v="done"/>
    <s v="keep it up"/>
    <s v="keep it on"/>
    <s v="done"/>
    <s v="not done"/>
    <s v="not done"/>
    <s v="keep it up"/>
  </r>
  <r>
    <x v="19"/>
    <x v="1"/>
    <s v="NABENDE AARON"/>
    <x v="0"/>
    <m/>
    <x v="1"/>
    <n v="69"/>
    <s v="Damage Observed"/>
    <s v="NOT BAD THOUGH USED UP"/>
    <s v="GOOD "/>
    <s v="GOOD"/>
    <s v="GOOD "/>
    <s v="GOOD"/>
    <s v="NUT WORN OUT"/>
    <m/>
    <m/>
    <m/>
  </r>
  <r>
    <x v="19"/>
    <x v="1"/>
    <m/>
    <x v="0"/>
    <m/>
    <x v="1"/>
    <n v="69"/>
    <s v="Recommendation"/>
    <s v="change weekly"/>
    <s v="GOOD"/>
    <s v="GOOD"/>
    <s v="GOOD"/>
    <s v="GOOD"/>
    <s v="SERVICE WEEKLY"/>
    <m/>
    <m/>
    <m/>
  </r>
  <r>
    <x v="19"/>
    <x v="1"/>
    <m/>
    <x v="0"/>
    <m/>
    <x v="1"/>
    <n v="69"/>
    <s v="Actions"/>
    <s v="CHANGED"/>
    <s v="Keep it up"/>
    <s v="KEEP IT ON"/>
    <s v="KEEP IT ON"/>
    <s v="KEEP IT UP"/>
    <s v="DONE"/>
    <m/>
    <m/>
    <m/>
  </r>
  <r>
    <x v="19"/>
    <x v="1"/>
    <s v="NABENDE AARON"/>
    <x v="0"/>
    <m/>
    <x v="1"/>
    <n v="90"/>
    <s v="Damage Observed"/>
    <s v="OIL NOT DIRTY"/>
    <s v="NOT IN A BAD CONDITION"/>
    <s v="GOOD"/>
    <s v="CLEAN"/>
    <s v="GOOD"/>
    <s v="NOT BAD"/>
    <m/>
    <m/>
    <m/>
  </r>
  <r>
    <x v="19"/>
    <x v="1"/>
    <m/>
    <x v="0"/>
    <m/>
    <x v="1"/>
    <n v="90"/>
    <s v="Recommendation"/>
    <s v="CHANGE WEEKLY"/>
    <s v="SERVICE WEEKLY"/>
    <s v="GOOD"/>
    <s v="GOOD"/>
    <s v="GOOD"/>
    <s v="GOOD"/>
    <m/>
    <m/>
    <m/>
  </r>
  <r>
    <x v="19"/>
    <x v="1"/>
    <m/>
    <x v="0"/>
    <m/>
    <x v="1"/>
    <n v="90"/>
    <s v="Actions"/>
    <s v="CHANGED"/>
    <s v="SERVICED"/>
    <s v="KEEP IT UP"/>
    <s v="KEEP IT UP"/>
    <s v="KEEP IT UP"/>
    <s v="KEEP IT UP"/>
    <m/>
    <m/>
    <m/>
  </r>
  <r>
    <x v="21"/>
    <x v="1"/>
    <s v="LUBEGA YUSUF"/>
    <x v="0"/>
    <m/>
    <x v="1"/>
    <n v="64"/>
    <s v="Damage Observed"/>
    <s v="GOOD THOUGH USED UP"/>
    <s v="SERVICED BUT IN A BAD CONDITION"/>
    <s v="GOOD"/>
    <s v="GOOD"/>
    <s v="GOOD IN CONDITION"/>
    <s v="good"/>
    <m/>
    <m/>
    <m/>
  </r>
  <r>
    <x v="21"/>
    <x v="1"/>
    <m/>
    <x v="0"/>
    <m/>
    <x v="1"/>
    <n v="64"/>
    <s v="Recommendation"/>
    <s v="change weekly"/>
    <s v="Needs to be serviced atleast weekly"/>
    <s v="good"/>
    <s v="good"/>
    <s v="good"/>
    <s v="good"/>
    <m/>
    <m/>
    <m/>
  </r>
  <r>
    <x v="21"/>
    <x v="1"/>
    <m/>
    <x v="0"/>
    <m/>
    <x v="1"/>
    <n v="64"/>
    <s v="Actions"/>
    <s v="changed"/>
    <s v="serviced"/>
    <s v="keep it up"/>
    <s v="keep it on"/>
    <s v="keep it up"/>
    <s v="good and keep it up"/>
    <m/>
    <m/>
    <m/>
  </r>
  <r>
    <x v="22"/>
    <x v="1"/>
    <s v="MASINDE SULAITI"/>
    <x v="1"/>
    <m/>
    <x v="1"/>
    <n v="63"/>
    <s v="Damage Observed"/>
    <s v="NOT BAD THOUGH USED UP"/>
    <s v="SERVICED"/>
    <s v="GOOD"/>
    <s v="GOOD"/>
    <s v="GOOD"/>
    <s v="NUT WORN OUT"/>
    <m/>
    <m/>
    <m/>
  </r>
  <r>
    <x v="22"/>
    <x v="1"/>
    <m/>
    <x v="1"/>
    <m/>
    <x v="1"/>
    <n v="63"/>
    <s v="Recommendation"/>
    <s v="change weekly"/>
    <s v="WEEKLY TO BE DONE ATLEAST"/>
    <s v="GOOD"/>
    <s v="GOOD"/>
    <s v="GOOD"/>
    <s v="NEEDS TO BE CHECKED ATLEAST WEEKLY"/>
    <m/>
    <m/>
    <m/>
  </r>
  <r>
    <x v="22"/>
    <x v="1"/>
    <m/>
    <x v="1"/>
    <m/>
    <x v="1"/>
    <n v="63"/>
    <s v="Actions"/>
    <s v="CHANGED"/>
    <s v="DONE"/>
    <s v="KEEP IT ON"/>
    <s v="KEEP IT ON"/>
    <s v="KEEP IT UP"/>
    <s v="DONE AND CHECKED"/>
    <m/>
    <m/>
    <m/>
  </r>
  <r>
    <x v="22"/>
    <x v="1"/>
    <s v="MASINDE SULAITI"/>
    <x v="1"/>
    <m/>
    <x v="1"/>
    <n v="89"/>
    <s v="Damage Observed"/>
    <s v="GOOD THOUGH USED UP"/>
    <s v="GOOD"/>
    <s v="GOOD"/>
    <s v="GOOD"/>
    <s v="GOOD"/>
    <s v="VERY GOOD IN CONDITION"/>
    <m/>
    <m/>
    <m/>
  </r>
  <r>
    <x v="22"/>
    <x v="1"/>
    <m/>
    <x v="1"/>
    <m/>
    <x v="1"/>
    <n v="89"/>
    <s v="Recommendation"/>
    <s v="CHANGE WEEKLY"/>
    <s v="GOOD"/>
    <s v="GOOD"/>
    <s v="GOOD"/>
    <s v="GOOD"/>
    <s v="TO BE CHECKED ATLEAST WEEKLY"/>
    <m/>
    <m/>
    <m/>
  </r>
  <r>
    <x v="22"/>
    <x v="1"/>
    <m/>
    <x v="1"/>
    <m/>
    <x v="1"/>
    <n v="89"/>
    <s v="Actions"/>
    <s v="DONE"/>
    <s v="KEEP IT UP"/>
    <s v="KEEP IT ON"/>
    <s v="KEEP IT "/>
    <s v="GO ON"/>
    <s v="DONE"/>
    <m/>
    <m/>
    <m/>
  </r>
  <r>
    <x v="22"/>
    <x v="1"/>
    <s v="MASINDE SULAITI"/>
    <x v="1"/>
    <m/>
    <x v="1"/>
    <n v="34"/>
    <s v="Damage Observed"/>
    <s v="NOT BAD THOUGH USED UP"/>
    <s v="IN A GOOD CONDITION"/>
    <s v="GOOD"/>
    <s v="GOOD"/>
    <s v="NOT GOOD"/>
    <s v="IN A GOOD CONDITION"/>
    <m/>
    <m/>
    <m/>
  </r>
  <r>
    <x v="22"/>
    <x v="1"/>
    <m/>
    <x v="1"/>
    <m/>
    <x v="1"/>
    <n v="34"/>
    <s v="Recommendation"/>
    <s v="change weekly"/>
    <s v="good service"/>
    <s v="good"/>
    <s v="good"/>
    <s v="NEEDS TO BE CHANGED"/>
    <s v="well serviced"/>
    <m/>
    <m/>
    <m/>
  </r>
  <r>
    <x v="22"/>
    <x v="1"/>
    <m/>
    <x v="1"/>
    <m/>
    <x v="1"/>
    <n v="34"/>
    <s v="Actions"/>
    <s v="changed"/>
    <s v="keep it up"/>
    <s v="keep it on"/>
    <s v="keep it up"/>
    <s v="not yet changed"/>
    <s v="keep it up"/>
    <m/>
    <m/>
    <m/>
  </r>
  <r>
    <x v="23"/>
    <x v="1"/>
    <s v="MAJEME GEORGE"/>
    <x v="1"/>
    <m/>
    <x v="1"/>
    <n v="67"/>
    <s v="Damage Observed"/>
    <s v="NO OIL AT ALL"/>
    <s v="GOOD"/>
    <s v="GOOD"/>
    <s v="GOOD"/>
    <s v="GOOD"/>
    <s v="NUT WORN OUT"/>
    <m/>
    <m/>
    <m/>
  </r>
  <r>
    <x v="23"/>
    <x v="1"/>
    <m/>
    <x v="1"/>
    <m/>
    <x v="1"/>
    <n v="67"/>
    <s v="Recommendation"/>
    <s v="piston and rings needed and oil to be changed"/>
    <s v="needs to be changed weekly"/>
    <s v="good"/>
    <s v="good"/>
    <s v="good"/>
    <s v="needs to be atleast checked weekly"/>
    <m/>
    <m/>
    <m/>
  </r>
  <r>
    <x v="23"/>
    <x v="1"/>
    <m/>
    <x v="1"/>
    <m/>
    <x v="1"/>
    <n v="67"/>
    <s v="Actions"/>
    <s v="changed"/>
    <s v="done"/>
    <s v="keep it on"/>
    <s v="keep it on"/>
    <s v="keep it up"/>
    <s v="done( nut and washer replaced)"/>
    <m/>
    <m/>
    <m/>
  </r>
  <r>
    <x v="23"/>
    <x v="1"/>
    <s v="MAJEME GEORGE"/>
    <x v="1"/>
    <m/>
    <x v="1"/>
    <n v="68"/>
    <s v="Damage Observed"/>
    <s v="NO OIL AT ALL"/>
    <s v="GOOD EVEN IF SERVICED"/>
    <s v="GOOD"/>
    <s v="GOOD"/>
    <s v="GOOD"/>
    <s v="NUT WORN OUT"/>
    <m/>
    <m/>
    <m/>
  </r>
  <r>
    <x v="23"/>
    <x v="1"/>
    <m/>
    <x v="1"/>
    <m/>
    <x v="1"/>
    <n v="68"/>
    <s v="Recommendation"/>
    <s v="NEEDS TO BE CHANGED WEEKLY, NEW PISTON AND RINGS NEEDED"/>
    <s v="GOOD"/>
    <s v="GOOD"/>
    <s v="GOOD"/>
    <s v="GOOD"/>
    <s v="GOOD"/>
    <m/>
    <m/>
    <m/>
  </r>
  <r>
    <x v="23"/>
    <x v="1"/>
    <m/>
    <x v="1"/>
    <m/>
    <x v="1"/>
    <n v="68"/>
    <s v="Actions"/>
    <s v="OIL CHANGED"/>
    <s v="KEEP IT ON"/>
    <s v="KEEP IT ON"/>
    <s v="KEEP IT ON"/>
    <s v="KEEP IT ON"/>
    <s v="NUT REPLACED"/>
    <m/>
    <m/>
    <m/>
  </r>
  <r>
    <x v="23"/>
    <x v="1"/>
    <s v="MAJEME GEORGE"/>
    <x v="1"/>
    <m/>
    <x v="1"/>
    <n v="82"/>
    <s v="Damage Observed"/>
    <s v="GOOD THOUGH USED UP"/>
    <s v="GOOD"/>
    <s v="GOOD"/>
    <s v="GOOD"/>
    <s v="GOOD"/>
    <s v="WASHER AND NUT REPLACED"/>
    <m/>
    <m/>
    <m/>
  </r>
  <r>
    <x v="23"/>
    <x v="1"/>
    <m/>
    <x v="1"/>
    <m/>
    <x v="1"/>
    <n v="82"/>
    <s v="Recommendation"/>
    <s v="CHANGE WEEKLY"/>
    <s v="GOOD"/>
    <s v="GOOD"/>
    <s v="GOOD"/>
    <s v="GOOD"/>
    <s v="TO BE CHECKED WEEKLY"/>
    <m/>
    <m/>
    <m/>
  </r>
  <r>
    <x v="23"/>
    <x v="1"/>
    <m/>
    <x v="1"/>
    <m/>
    <x v="1"/>
    <n v="82"/>
    <s v="Actions"/>
    <s v="DONE"/>
    <s v="KEEP IT UP"/>
    <s v="KEEP IT ON"/>
    <s v="GO ON"/>
    <s v="GO ON"/>
    <s v="DONE"/>
    <m/>
    <m/>
    <m/>
  </r>
  <r>
    <x v="24"/>
    <x v="1"/>
    <s v="MUSAMALI FRED"/>
    <x v="1"/>
    <m/>
    <x v="1"/>
    <n v="83"/>
    <s v="Damage Observed"/>
    <s v="very dark and dirty"/>
    <s v="good"/>
    <s v="good"/>
    <s v="good"/>
    <s v="good"/>
    <s v="NUT WORN OUT"/>
    <m/>
    <m/>
    <m/>
  </r>
  <r>
    <x v="24"/>
    <x v="1"/>
    <m/>
    <x v="1"/>
    <m/>
    <x v="1"/>
    <n v="83"/>
    <s v="Recommendation"/>
    <s v="change weekly"/>
    <s v="good"/>
    <s v="good"/>
    <s v="good"/>
    <s v="good"/>
    <s v="atleast to be checked every week"/>
    <m/>
    <m/>
    <m/>
  </r>
  <r>
    <x v="24"/>
    <x v="1"/>
    <m/>
    <x v="1"/>
    <m/>
    <x v="1"/>
    <n v="83"/>
    <s v="Actions"/>
    <s v="done"/>
    <s v="keep it up"/>
    <s v="keep it on"/>
    <s v="keep it up"/>
    <s v="keep it on"/>
    <s v="nut replacement done"/>
    <m/>
    <m/>
    <m/>
  </r>
  <r>
    <x v="24"/>
    <x v="1"/>
    <s v="MUSAMALI FRED"/>
    <x v="1"/>
    <m/>
    <x v="1"/>
    <n v="76"/>
    <s v="Damage Observed"/>
    <s v="NOT BAD THOUGH USED UP"/>
    <s v="GOOD"/>
    <s v="GOOD"/>
    <s v="CLEAN AND GOOD"/>
    <s v="GOOD"/>
    <s v="NOT BAD"/>
    <m/>
    <m/>
    <m/>
  </r>
  <r>
    <x v="24"/>
    <x v="1"/>
    <m/>
    <x v="1"/>
    <m/>
    <x v="1"/>
    <n v="76"/>
    <s v="Recommendation"/>
    <s v="CHANGE WEEKLY"/>
    <s v="GOOD"/>
    <s v="GOOD"/>
    <s v="GOOD"/>
    <s v="GOOD"/>
    <s v="TO BE CHECKED WEEKLY"/>
    <m/>
    <m/>
    <m/>
  </r>
  <r>
    <x v="24"/>
    <x v="1"/>
    <m/>
    <x v="1"/>
    <m/>
    <x v="1"/>
    <n v="76"/>
    <s v="Actions"/>
    <s v="CHANGED"/>
    <s v="KEEP IT UP"/>
    <s v="KEEP IT UP"/>
    <s v="KEEP IT UP"/>
    <s v="KEEP IT UP"/>
    <s v="DONE"/>
    <m/>
    <m/>
    <m/>
  </r>
  <r>
    <x v="25"/>
    <x v="1"/>
    <s v="MULONDO SULAITI"/>
    <x v="1"/>
    <m/>
    <x v="1"/>
    <n v="38"/>
    <s v="Damage Observed"/>
    <s v="NOT BAD THOUGH USED UP"/>
    <s v="GOOD"/>
    <s v="GOOD"/>
    <s v="GOOD"/>
    <s v="IN A GOOD CONDITION"/>
    <s v=" SERVICED VERY WELL"/>
    <m/>
    <m/>
    <m/>
  </r>
  <r>
    <x v="25"/>
    <x v="1"/>
    <m/>
    <x v="1"/>
    <m/>
    <x v="1"/>
    <n v="38"/>
    <s v="Recommendation"/>
    <s v="change weekly"/>
    <s v="good"/>
    <s v="good"/>
    <s v="good"/>
    <s v="good"/>
    <s v="IN A GOOD CONDITION"/>
    <m/>
    <m/>
    <m/>
  </r>
  <r>
    <x v="25"/>
    <x v="1"/>
    <m/>
    <x v="1"/>
    <m/>
    <x v="1"/>
    <n v="38"/>
    <s v="Actions"/>
    <s v="changed"/>
    <s v="Keep it up"/>
    <s v="keep it on"/>
    <s v="keep it up"/>
    <s v="keep it up"/>
    <s v="keep it on"/>
    <m/>
    <m/>
    <m/>
  </r>
  <r>
    <x v="25"/>
    <x v="1"/>
    <s v="MULONDO SULAITI"/>
    <x v="1"/>
    <m/>
    <x v="1"/>
    <n v="62"/>
    <s v="Damage Observed"/>
    <s v="NOT BAD THOUGH USED UP"/>
    <s v="GOOD"/>
    <s v="SERVICED"/>
    <s v="GOOD"/>
    <s v="GOOD"/>
    <s v="NUT WORN OUT"/>
    <m/>
    <m/>
    <m/>
  </r>
  <r>
    <x v="25"/>
    <x v="1"/>
    <m/>
    <x v="1"/>
    <m/>
    <x v="1"/>
    <n v="62"/>
    <s v="Recommendation"/>
    <s v="CHANGE WEEKLY"/>
    <s v="GOOD"/>
    <s v="ONCE IN A MONTH"/>
    <s v="GOOD"/>
    <s v="GOOD"/>
    <s v="NEEDS TO BE CHECKED ATLEAST ONCE IN A MONTH"/>
    <m/>
    <m/>
    <m/>
  </r>
  <r>
    <x v="25"/>
    <x v="1"/>
    <m/>
    <x v="1"/>
    <m/>
    <x v="1"/>
    <n v="62"/>
    <s v="Actions"/>
    <s v="CHANGE"/>
    <s v="KEEP IT ON"/>
    <s v="DONE"/>
    <s v="KEEP IT ON"/>
    <s v="KEEP IT UP"/>
    <s v="REPLACEMENT DONE"/>
    <m/>
    <m/>
    <m/>
  </r>
  <r>
    <x v="25"/>
    <x v="1"/>
    <s v="MULONDO SULAITI"/>
    <x v="1"/>
    <m/>
    <x v="1"/>
    <n v="88"/>
    <s v="Damage Observed"/>
    <s v="DIRTY AND USED UP"/>
    <s v="CLEAN"/>
    <s v="GOOD"/>
    <s v="GOOD"/>
    <s v="GOOD IN CONDITION"/>
    <s v="NOT BAD"/>
    <m/>
    <m/>
    <m/>
  </r>
  <r>
    <x v="25"/>
    <x v="1"/>
    <m/>
    <x v="1"/>
    <m/>
    <x v="1"/>
    <n v="88"/>
    <s v="Recommendation"/>
    <s v="CHANGE WEEKLY"/>
    <s v="KEEP IT UP"/>
    <s v="GOOD"/>
    <s v="GOOD"/>
    <s v="GOOD"/>
    <s v="GOOD"/>
    <m/>
    <m/>
    <m/>
  </r>
  <r>
    <x v="25"/>
    <x v="1"/>
    <m/>
    <x v="1"/>
    <m/>
    <x v="1"/>
    <n v="88"/>
    <s v="Actions"/>
    <s v="CHANGED"/>
    <s v="MAINTAINED"/>
    <s v="MAINTAINED"/>
    <s v="KEEP IT UP"/>
    <s v="KEEP IT UP"/>
    <s v="KEEP IT UP"/>
    <m/>
    <m/>
    <m/>
  </r>
  <r>
    <x v="26"/>
    <x v="1"/>
    <s v="MUKHWANA MOSES"/>
    <x v="1"/>
    <m/>
    <x v="1"/>
    <n v="33"/>
    <s v="Damage Observed"/>
    <s v="NOT BAD THOUGH USED UP"/>
    <s v="NOT VERY BAD"/>
    <s v="GOOD"/>
    <s v="NOT BAD"/>
    <s v="GOOD"/>
    <s v="GOOD IN CONDITION"/>
    <m/>
    <m/>
    <m/>
  </r>
  <r>
    <x v="26"/>
    <x v="1"/>
    <m/>
    <x v="1"/>
    <m/>
    <x v="1"/>
    <n v="33"/>
    <s v="Recommendation"/>
    <s v="change weekly"/>
    <s v="needs to be checked weekly"/>
    <s v="good"/>
    <s v="needs to be checked atleast weekly"/>
    <s v="good"/>
    <s v="good"/>
    <m/>
    <m/>
    <m/>
  </r>
  <r>
    <x v="26"/>
    <x v="1"/>
    <m/>
    <x v="1"/>
    <m/>
    <x v="1"/>
    <n v="33"/>
    <s v="Actions"/>
    <s v="changed"/>
    <s v="checked"/>
    <s v="keep it up"/>
    <s v="checked"/>
    <s v="keep it on"/>
    <s v="keep it up"/>
    <m/>
    <m/>
    <m/>
  </r>
  <r>
    <x v="26"/>
    <x v="1"/>
    <s v="MUKHWANA MOSES"/>
    <x v="1"/>
    <m/>
    <x v="1"/>
    <n v="70"/>
    <s v="Damage Observed"/>
    <s v="NOT BAD THOUGH USED UP"/>
    <s v="GOOD"/>
    <s v="GOOD"/>
    <s v="SERVICED"/>
    <s v="GOOD"/>
    <s v="NUT WORN OUT"/>
    <m/>
    <m/>
    <m/>
  </r>
  <r>
    <x v="26"/>
    <x v="1"/>
    <m/>
    <x v="1"/>
    <m/>
    <x v="1"/>
    <n v="70"/>
    <s v="Recommendation"/>
    <s v="change weekly"/>
    <s v="GOOD"/>
    <s v="GOOD"/>
    <s v="ATLEAST WEEKLY"/>
    <s v="GOOD"/>
    <s v="ATLEAST ONCE IN A WEEK TO BE CHECKED"/>
    <m/>
    <m/>
    <m/>
  </r>
  <r>
    <x v="26"/>
    <x v="1"/>
    <m/>
    <x v="1"/>
    <m/>
    <x v="1"/>
    <n v="70"/>
    <s v="Actions"/>
    <s v="CHANGED"/>
    <s v="Keep it up"/>
    <s v="keep it up"/>
    <s v="DONE"/>
    <s v="keep it up"/>
    <s v="DONE"/>
    <m/>
    <m/>
    <m/>
  </r>
  <r>
    <x v="26"/>
    <x v="1"/>
    <s v="MUKHWANA MOSES"/>
    <x v="1"/>
    <m/>
    <x v="1"/>
    <n v="80"/>
    <s v="Damage Observed"/>
    <s v="GOOD THOUGH USED UP"/>
    <s v="GOOD"/>
    <s v="SERVICED"/>
    <s v="GOOD"/>
    <s v="GOOD"/>
    <s v="GOOD"/>
    <m/>
    <m/>
    <m/>
  </r>
  <r>
    <x v="26"/>
    <x v="1"/>
    <m/>
    <x v="1"/>
    <m/>
    <x v="1"/>
    <n v="80"/>
    <s v="Recommendation"/>
    <s v="change weekly"/>
    <s v="GOOD"/>
    <s v="ATLEAST TO BE CHECKED WEEKLY"/>
    <s v="GOOD"/>
    <s v="GOOD"/>
    <s v="GOOD"/>
    <m/>
    <m/>
    <m/>
  </r>
  <r>
    <x v="26"/>
    <x v="1"/>
    <m/>
    <x v="1"/>
    <m/>
    <x v="1"/>
    <n v="80"/>
    <s v="Actions"/>
    <s v="DONE"/>
    <s v="KEEP IT UP"/>
    <s v="DONE"/>
    <s v="KEEP IT ON"/>
    <s v="KEEP IT UP"/>
    <s v="KEEP IT UP"/>
    <m/>
    <m/>
    <m/>
  </r>
  <r>
    <x v="27"/>
    <x v="1"/>
    <s v="WAMBEDE MUSA"/>
    <x v="1"/>
    <m/>
    <x v="1"/>
    <n v="99"/>
    <s v="Damage Observed"/>
    <s v="NOT  BAD THOUGH USED UP"/>
    <s v="ITS GOOD "/>
    <s v="NEEDS TIMING OF TAPPETS"/>
    <s v="GOOD"/>
    <s v="WORN OUT"/>
    <s v="NOT BAD"/>
    <m/>
    <m/>
    <m/>
  </r>
  <r>
    <x v="27"/>
    <x v="1"/>
    <m/>
    <x v="1"/>
    <m/>
    <x v="1"/>
    <n v="99"/>
    <s v="Recommendation"/>
    <s v="change weekly"/>
    <s v="good"/>
    <s v="service needed weekly"/>
    <s v="good"/>
    <s v="it needs to be removed"/>
    <s v="needs to be checked weekly"/>
    <m/>
    <m/>
    <m/>
  </r>
  <r>
    <x v="27"/>
    <x v="1"/>
    <m/>
    <x v="1"/>
    <m/>
    <x v="1"/>
    <n v="99"/>
    <s v="Actions"/>
    <s v="change"/>
    <s v="Keep it up"/>
    <s v="done"/>
    <s v="keep it up"/>
    <s v="changed"/>
    <s v="keep it up"/>
    <m/>
    <m/>
    <m/>
  </r>
  <r>
    <x v="27"/>
    <x v="1"/>
    <s v="WAMBEDE MUSA"/>
    <x v="1"/>
    <m/>
    <x v="1"/>
    <n v="31"/>
    <s v="Damage Observed"/>
    <s v="NOT BAD THOUGH USED UP"/>
    <s v="SERVICED"/>
    <s v="SERVICED"/>
    <s v="GOOD"/>
    <s v="GOOD"/>
    <s v="NUT WORN OUT"/>
    <m/>
    <m/>
    <m/>
  </r>
  <r>
    <x v="27"/>
    <x v="1"/>
    <m/>
    <x v="1"/>
    <m/>
    <x v="1"/>
    <n v="31"/>
    <s v="Recommendation"/>
    <s v="CHANGE WEEKLY"/>
    <s v="CHECK ONCE IN A MONTH ATLESST"/>
    <s v="CHECK ONCE IN A MONTH ATLESST"/>
    <s v="GOOD"/>
    <s v="GOOD"/>
    <s v="TO BE CHECKED atleast once in a month                                                                                                                                                            "/>
    <m/>
    <m/>
    <m/>
  </r>
  <r>
    <x v="27"/>
    <x v="1"/>
    <m/>
    <x v="1"/>
    <m/>
    <x v="1"/>
    <n v="31"/>
    <s v="Actions"/>
    <s v="CHNGED"/>
    <s v="DONE"/>
    <s v="DONE"/>
    <s v="KEEP IT ON"/>
    <s v="KEEP IT UP"/>
    <s v="done and replace"/>
    <m/>
    <m/>
    <m/>
  </r>
  <r>
    <x v="27"/>
    <x v="1"/>
    <s v="WAMBEDE MUSA"/>
    <x v="1"/>
    <m/>
    <x v="1"/>
    <n v="81"/>
    <s v="Damage Observed"/>
    <s v="GOOD THOUGH USED UP"/>
    <s v="GOOD"/>
    <s v="GOOD"/>
    <s v="GOOD"/>
    <s v="GOOD"/>
    <s v="NUT WORN OUT"/>
    <m/>
    <m/>
    <m/>
  </r>
  <r>
    <x v="27"/>
    <x v="1"/>
    <m/>
    <x v="1"/>
    <m/>
    <x v="1"/>
    <n v="81"/>
    <s v="Recommendation"/>
    <s v="change weekly"/>
    <s v="GOOD"/>
    <s v="GOOD"/>
    <s v="GOOD"/>
    <s v="GOOD"/>
    <s v="TO BE CHECKED WEEKLY"/>
    <m/>
    <m/>
    <m/>
  </r>
  <r>
    <x v="27"/>
    <x v="1"/>
    <m/>
    <x v="1"/>
    <m/>
    <x v="1"/>
    <n v="81"/>
    <s v="Actions"/>
    <s v="DONE"/>
    <s v="KEEP IT UP"/>
    <s v="KEEP IT ON"/>
    <s v="KEEP IT UP"/>
    <s v="KEEP IT UP"/>
    <s v="DONE"/>
    <m/>
    <m/>
    <m/>
  </r>
  <r>
    <x v="28"/>
    <x v="1"/>
    <s v="WANINDA PAUL"/>
    <x v="1"/>
    <m/>
    <x v="1"/>
    <n v="100"/>
    <s v="Damage Observed"/>
    <s v="NOT BAD THOUGH USED UP"/>
    <s v="VERY BAD"/>
    <s v="GOOD"/>
    <s v="GOOD"/>
    <s v="GOOD"/>
    <s v="SERVICED VERY WELL"/>
    <m/>
    <m/>
    <m/>
  </r>
  <r>
    <x v="28"/>
    <x v="1"/>
    <m/>
    <x v="1"/>
    <m/>
    <x v="1"/>
    <n v="100"/>
    <s v="Recommendation"/>
    <s v="change weekly"/>
    <s v="needs to be checked weekly"/>
    <s v="very okay"/>
    <s v="good"/>
    <s v="good"/>
    <s v="good"/>
    <m/>
    <m/>
    <m/>
  </r>
  <r>
    <x v="28"/>
    <x v="1"/>
    <m/>
    <x v="1"/>
    <m/>
    <x v="1"/>
    <n v="100"/>
    <s v="Actions"/>
    <s v="changed"/>
    <s v="checked and done"/>
    <s v="keep it up"/>
    <s v="keep it on"/>
    <s v="keep it on"/>
    <s v="keep it up"/>
    <m/>
    <m/>
    <m/>
  </r>
  <r>
    <x v="28"/>
    <x v="1"/>
    <s v="WANINDA PAUL"/>
    <x v="1"/>
    <m/>
    <x v="1"/>
    <n v="66"/>
    <s v="Damage Observed"/>
    <s v="NOT BAD THOUGH USED UP"/>
    <s v="SERVICED"/>
    <s v="GOOD"/>
    <s v="GOOD"/>
    <s v="GOOD"/>
    <s v="NUT WORN OUT"/>
    <m/>
    <m/>
    <m/>
  </r>
  <r>
    <x v="28"/>
    <x v="1"/>
    <m/>
    <x v="1"/>
    <m/>
    <x v="1"/>
    <n v="66"/>
    <s v="Recommendation"/>
    <s v="CHANGE WEEKLY"/>
    <s v="ATLEAST ONCE IN A WEEK"/>
    <s v="GOOD"/>
    <s v="GOOD"/>
    <s v="GOOD"/>
    <s v="ATLEAST ONCE IN A WEEK CHECK NEEDED"/>
    <m/>
    <m/>
    <m/>
  </r>
  <r>
    <x v="28"/>
    <x v="1"/>
    <m/>
    <x v="1"/>
    <m/>
    <x v="1"/>
    <n v="66"/>
    <s v="Actions"/>
    <s v="CHANGED"/>
    <s v="DONE"/>
    <s v="KEEP IT UP"/>
    <s v="KEEP IT UP"/>
    <s v="KEEP IT UP"/>
    <s v="DONE"/>
    <m/>
    <m/>
    <m/>
  </r>
  <r>
    <x v="28"/>
    <x v="1"/>
    <s v="WANINDA PAUL"/>
    <x v="1"/>
    <m/>
    <x v="1"/>
    <n v="87"/>
    <s v="Damage Observed"/>
    <s v="GOOD THOUGH USED UP"/>
    <s v="GOOD"/>
    <s v="GOOD"/>
    <s v="GOOD"/>
    <s v="GOOD"/>
    <s v="WASHER AND NUT NEED REPLACEMENT(WORN OUT)"/>
    <m/>
    <m/>
    <m/>
  </r>
  <r>
    <x v="28"/>
    <x v="1"/>
    <m/>
    <x v="1"/>
    <m/>
    <x v="1"/>
    <n v="87"/>
    <s v="Recommendation"/>
    <s v="change weekly"/>
    <s v="GOOD"/>
    <s v="GOOD"/>
    <s v="GOOD"/>
    <s v="GOOD"/>
    <s v="TO BE CHECKED WEEKLY"/>
    <m/>
    <m/>
    <m/>
  </r>
  <r>
    <x v="28"/>
    <x v="1"/>
    <m/>
    <x v="1"/>
    <m/>
    <x v="1"/>
    <n v="87"/>
    <s v="Actions"/>
    <s v="DONE"/>
    <s v="GO ON"/>
    <s v="KEEP IT UP"/>
    <s v="KEEP IT ON"/>
    <s v="KEEP IT UP"/>
    <s v="DONE"/>
    <m/>
    <m/>
    <m/>
  </r>
  <r>
    <x v="29"/>
    <x v="1"/>
    <s v="WAFUMBO ROGERS"/>
    <x v="1"/>
    <m/>
    <x v="1"/>
    <n v="32"/>
    <s v="Damage Observed"/>
    <s v="VERY DIRTY OIL"/>
    <s v="VERY BAD IN CONDITION"/>
    <s v="GOOD"/>
    <s v="GOO"/>
    <s v="GOOD"/>
    <s v="SERVICED VERY WELL"/>
    <m/>
    <m/>
    <m/>
  </r>
  <r>
    <x v="29"/>
    <x v="1"/>
    <m/>
    <x v="1"/>
    <m/>
    <x v="1"/>
    <n v="32"/>
    <s v="Recommendation"/>
    <s v="change weekly"/>
    <s v="to be done service weekly"/>
    <s v="good"/>
    <s v="good"/>
    <s v="GOOD IN CONDITION"/>
    <s v="good"/>
    <m/>
    <m/>
    <m/>
  </r>
  <r>
    <x v="29"/>
    <x v="1"/>
    <m/>
    <x v="1"/>
    <m/>
    <x v="1"/>
    <n v="32"/>
    <s v="Actions"/>
    <s v="changed"/>
    <s v="done"/>
    <s v="keep it up"/>
    <s v="keep it up"/>
    <s v="keep it on"/>
    <s v="keep it up"/>
    <m/>
    <m/>
    <m/>
  </r>
  <r>
    <x v="29"/>
    <x v="1"/>
    <s v="WAFUMBO ROGERS"/>
    <x v="1"/>
    <m/>
    <x v="1"/>
    <n v="74"/>
    <s v="Damage Observed"/>
    <s v="VERY LITTLE OIL"/>
    <s v="GOOD"/>
    <s v="GOOD"/>
    <s v="GOOD"/>
    <s v="GOOD IN CONDITION"/>
    <s v="NOT BAD"/>
    <m/>
    <m/>
    <m/>
  </r>
  <r>
    <x v="29"/>
    <x v="1"/>
    <m/>
    <x v="1"/>
    <m/>
    <x v="1"/>
    <n v="74"/>
    <s v="Recommendation"/>
    <s v="PLEASE CHANGE WEEKLY"/>
    <s v="SERVICE WEEKLY"/>
    <s v="GOOD"/>
    <s v="GOOD"/>
    <s v="GOOD"/>
    <s v="GOOD"/>
    <m/>
    <m/>
    <m/>
  </r>
  <r>
    <x v="29"/>
    <x v="1"/>
    <m/>
    <x v="1"/>
    <m/>
    <x v="1"/>
    <n v="74"/>
    <s v="Actions"/>
    <s v="CHANGED"/>
    <s v="KEEP IT UP"/>
    <s v="MAINTAINED"/>
    <s v="KEEP IT UP"/>
    <s v="KEEP IT UP"/>
    <s v="KEEP IT UP"/>
    <m/>
    <m/>
    <m/>
  </r>
  <r>
    <x v="30"/>
    <x v="1"/>
    <s v="WETONYI TOM"/>
    <x v="1"/>
    <m/>
    <x v="1"/>
    <n v="85"/>
    <s v="Damage Observed"/>
    <s v="GOOD THOUGH USED UP"/>
    <s v="GOOD"/>
    <s v="SERVICED"/>
    <s v="GOOD"/>
    <s v="GOOD"/>
    <s v="NUT WORN OUT"/>
    <m/>
    <m/>
    <m/>
  </r>
  <r>
    <x v="30"/>
    <x v="1"/>
    <m/>
    <x v="1"/>
    <m/>
    <x v="1"/>
    <n v="85"/>
    <s v="Recommendation"/>
    <s v="change weekly"/>
    <s v="GOOD"/>
    <s v="ATLEAST ONCE IN A MONTH"/>
    <s v="GOOD"/>
    <s v="GOOD"/>
    <s v="ATLEAST WEEKLY TO BE CHECKED"/>
    <m/>
    <m/>
    <m/>
  </r>
  <r>
    <x v="30"/>
    <x v="1"/>
    <m/>
    <x v="1"/>
    <m/>
    <x v="1"/>
    <n v="85"/>
    <s v="Actions"/>
    <s v="DONE"/>
    <s v="keep it up"/>
    <s v="DONE"/>
    <s v="KEEP IT UP"/>
    <s v="KEEP IT ON"/>
    <s v="DONE"/>
    <m/>
    <m/>
    <m/>
  </r>
  <r>
    <x v="30"/>
    <x v="1"/>
    <s v="WETONYI TOM"/>
    <x v="1"/>
    <m/>
    <x v="1"/>
    <n v="71"/>
    <s v="Damage Observed"/>
    <s v="GOOD THOUGH USED UP"/>
    <s v="GOOD"/>
    <s v="SERVICED"/>
    <s v="GOOD"/>
    <s v="GOOD"/>
    <s v="WASHER AND NUT TO BE REPLACED"/>
    <m/>
    <m/>
    <m/>
  </r>
  <r>
    <x v="30"/>
    <x v="1"/>
    <m/>
    <x v="1"/>
    <m/>
    <x v="1"/>
    <n v="71"/>
    <s v="Recommendation"/>
    <s v="change weekly"/>
    <s v="GOOD"/>
    <s v="ATLEAST ONCE IN A MONTH"/>
    <s v="GOOD"/>
    <s v="GOOD"/>
    <s v="ATLEAST TO BE CHECKED WEEKLY"/>
    <m/>
    <m/>
    <m/>
  </r>
  <r>
    <x v="30"/>
    <x v="1"/>
    <m/>
    <x v="1"/>
    <m/>
    <x v="1"/>
    <n v="71"/>
    <s v="Actions"/>
    <s v="DONE"/>
    <s v="GO ON"/>
    <s v="DONE"/>
    <s v="KEEP IT UP"/>
    <s v="KEEP IT ON"/>
    <s v="DONE"/>
    <m/>
    <m/>
    <m/>
  </r>
  <r>
    <x v="31"/>
    <x v="1"/>
    <s v="WAMIMBI RONALD"/>
    <x v="1"/>
    <m/>
    <x v="1"/>
    <n v="78"/>
    <s v="Damage Observed"/>
    <s v="VERY LITTLE OIL IN THE ENGINE"/>
    <s v="GOOD"/>
    <s v="GOOD"/>
    <s v="GOOD"/>
    <s v="GOOD"/>
    <s v="NUT WORN OUT"/>
    <m/>
    <m/>
    <m/>
  </r>
  <r>
    <x v="31"/>
    <x v="1"/>
    <m/>
    <x v="1"/>
    <m/>
    <x v="1"/>
    <n v="78"/>
    <s v="Recommendation"/>
    <s v="Need piston kit and to be changed weekly"/>
    <s v="good"/>
    <s v="good"/>
    <s v="good"/>
    <s v="good"/>
    <s v="to be checked atleast once in a week"/>
    <m/>
    <m/>
    <m/>
  </r>
  <r>
    <x v="31"/>
    <x v="1"/>
    <m/>
    <x v="1"/>
    <m/>
    <x v="1"/>
    <n v="78"/>
    <s v="Actions"/>
    <s v="done"/>
    <s v="keep it up"/>
    <s v="keep it up"/>
    <s v="keep it up"/>
    <s v="done"/>
    <s v="done"/>
    <m/>
    <m/>
    <m/>
  </r>
  <r>
    <x v="31"/>
    <x v="1"/>
    <s v="WAMIMBI RONALD"/>
    <x v="1"/>
    <m/>
    <x v="1"/>
    <n v="84"/>
    <s v="Damage Observed"/>
    <s v="GOOD THOUGH USED UP"/>
    <s v="GOOD"/>
    <s v="GOOD"/>
    <s v="GOOD"/>
    <s v="GOOD"/>
    <s v="WASHER AND NUT REPLACED"/>
    <m/>
    <m/>
    <m/>
  </r>
  <r>
    <x v="31"/>
    <x v="1"/>
    <m/>
    <x v="1"/>
    <m/>
    <x v="1"/>
    <n v="84"/>
    <s v="Recommendation"/>
    <s v="change weekly"/>
    <s v="GOOD"/>
    <s v="GOOD"/>
    <s v="GOOD"/>
    <s v="GOOD"/>
    <s v="TO BE CHECKED WEEKLY"/>
    <m/>
    <m/>
    <m/>
  </r>
  <r>
    <x v="31"/>
    <x v="1"/>
    <m/>
    <x v="1"/>
    <m/>
    <x v="1"/>
    <n v="84"/>
    <s v="Actions"/>
    <s v="DONE"/>
    <s v="KEEP IT ON"/>
    <s v="KEEP IT UP"/>
    <s v="KEEP IT UP"/>
    <s v="KEEP IT ON"/>
    <s v="DONE"/>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A3:D43" firstHeaderRow="1" firstDataRow="2" firstDataCol="1"/>
  <pivotFields count="17">
    <pivotField axis="axisRow" showAll="0">
      <items count="33">
        <item x="14"/>
        <item x="4"/>
        <item x="5"/>
        <item x="6"/>
        <item x="7"/>
        <item x="8"/>
        <item x="9"/>
        <item x="10"/>
        <item x="0"/>
        <item x="1"/>
        <item x="2"/>
        <item x="3"/>
        <item x="11"/>
        <item x="22"/>
        <item x="23"/>
        <item x="24"/>
        <item x="25"/>
        <item x="26"/>
        <item x="27"/>
        <item x="28"/>
        <item x="29"/>
        <item x="12"/>
        <item x="13"/>
        <item x="15"/>
        <item x="16"/>
        <item x="17"/>
        <item x="18"/>
        <item x="19"/>
        <item x="20"/>
        <item x="21"/>
        <item x="30"/>
        <item x="31"/>
        <item t="default"/>
      </items>
    </pivotField>
    <pivotField axis="axisRow" showAll="0">
      <items count="3">
        <item x="0"/>
        <item x="1"/>
        <item t="default"/>
      </items>
    </pivotField>
    <pivotField showAll="0"/>
    <pivotField axis="axisRow" showAll="0">
      <items count="3">
        <item x="0"/>
        <item x="1"/>
        <item t="default"/>
      </items>
    </pivotField>
    <pivotField showAll="0"/>
    <pivotField axis="axisCol"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s>
  <rowFields count="3">
    <field x="1"/>
    <field x="3"/>
    <field x="0"/>
  </rowFields>
  <rowItems count="39">
    <i>
      <x/>
    </i>
    <i r="1">
      <x/>
    </i>
    <i r="2">
      <x v="8"/>
    </i>
    <i r="2">
      <x v="9"/>
    </i>
    <i r="2">
      <x v="10"/>
    </i>
    <i r="2">
      <x v="11"/>
    </i>
    <i r="1">
      <x v="1"/>
    </i>
    <i r="2">
      <x/>
    </i>
    <i r="2">
      <x v="1"/>
    </i>
    <i r="2">
      <x v="2"/>
    </i>
    <i r="2">
      <x v="3"/>
    </i>
    <i r="2">
      <x v="4"/>
    </i>
    <i r="2">
      <x v="5"/>
    </i>
    <i r="2">
      <x v="6"/>
    </i>
    <i r="2">
      <x v="7"/>
    </i>
    <i r="2">
      <x v="12"/>
    </i>
    <i r="2">
      <x v="21"/>
    </i>
    <i r="2">
      <x v="22"/>
    </i>
    <i r="2">
      <x v="23"/>
    </i>
    <i r="2">
      <x v="24"/>
    </i>
    <i>
      <x v="1"/>
    </i>
    <i r="1">
      <x/>
    </i>
    <i r="2">
      <x v="25"/>
    </i>
    <i r="2">
      <x v="26"/>
    </i>
    <i r="2">
      <x v="27"/>
    </i>
    <i r="2">
      <x v="28"/>
    </i>
    <i r="2">
      <x v="29"/>
    </i>
    <i r="1">
      <x v="1"/>
    </i>
    <i r="2">
      <x v="13"/>
    </i>
    <i r="2">
      <x v="14"/>
    </i>
    <i r="2">
      <x v="15"/>
    </i>
    <i r="2">
      <x v="16"/>
    </i>
    <i r="2">
      <x v="17"/>
    </i>
    <i r="2">
      <x v="18"/>
    </i>
    <i r="2">
      <x v="19"/>
    </i>
    <i r="2">
      <x v="20"/>
    </i>
    <i r="2">
      <x v="30"/>
    </i>
    <i r="2">
      <x v="31"/>
    </i>
    <i t="grand">
      <x/>
    </i>
  </rowItems>
  <colFields count="1">
    <field x="5"/>
  </colFields>
  <colItems count="3">
    <i>
      <x/>
    </i>
    <i>
      <x v="1"/>
    </i>
    <i t="grand">
      <x/>
    </i>
  </colItems>
  <dataFields count="1">
    <dataField name="Count of Service Type" fld="5"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43"/>
  <sheetViews>
    <sheetView tabSelected="1" workbookViewId="0">
      <selection activeCell="I30" sqref="I30"/>
    </sheetView>
  </sheetViews>
  <sheetFormatPr defaultRowHeight="14.5" x14ac:dyDescent="0.35"/>
  <cols>
    <col min="3" max="3" width="19.7265625" customWidth="1"/>
    <col min="9" max="9" width="19.08984375" customWidth="1"/>
  </cols>
  <sheetData>
    <row r="1" spans="1:12" x14ac:dyDescent="0.35">
      <c r="A1" s="1" t="s">
        <v>7</v>
      </c>
      <c r="B1" t="s">
        <v>8</v>
      </c>
      <c r="C1" t="s">
        <v>4</v>
      </c>
      <c r="D1" t="s">
        <v>5</v>
      </c>
      <c r="E1" t="s">
        <v>49</v>
      </c>
      <c r="F1" t="s">
        <v>0</v>
      </c>
      <c r="G1" t="s">
        <v>1</v>
      </c>
      <c r="H1" t="s">
        <v>2</v>
      </c>
      <c r="I1" t="s">
        <v>3</v>
      </c>
      <c r="J1" t="s">
        <v>6</v>
      </c>
      <c r="L1" s="1" t="s">
        <v>7</v>
      </c>
    </row>
    <row r="2" spans="1:12" x14ac:dyDescent="0.35">
      <c r="A2" s="1">
        <v>1</v>
      </c>
      <c r="B2" t="s">
        <v>9</v>
      </c>
      <c r="C2" t="s">
        <v>10</v>
      </c>
      <c r="D2" t="s">
        <v>11</v>
      </c>
      <c r="E2" s="2">
        <v>55385</v>
      </c>
      <c r="F2" t="s">
        <v>47</v>
      </c>
      <c r="G2" t="s">
        <v>48</v>
      </c>
      <c r="H2" t="s">
        <v>12</v>
      </c>
      <c r="I2" t="s">
        <v>13</v>
      </c>
      <c r="L2" s="1">
        <v>1</v>
      </c>
    </row>
    <row r="3" spans="1:12" x14ac:dyDescent="0.35">
      <c r="A3" s="1">
        <v>2</v>
      </c>
      <c r="B3" t="s">
        <v>9</v>
      </c>
      <c r="C3" t="s">
        <v>50</v>
      </c>
      <c r="D3" t="s">
        <v>11</v>
      </c>
      <c r="E3" s="2">
        <v>17157</v>
      </c>
      <c r="F3" t="s">
        <v>47</v>
      </c>
      <c r="G3" t="s">
        <v>48</v>
      </c>
      <c r="H3" t="s">
        <v>14</v>
      </c>
      <c r="I3" t="s">
        <v>15</v>
      </c>
      <c r="L3" s="1">
        <v>2</v>
      </c>
    </row>
    <row r="4" spans="1:12" x14ac:dyDescent="0.35">
      <c r="A4" s="1">
        <v>3</v>
      </c>
      <c r="B4" t="s">
        <v>9</v>
      </c>
      <c r="C4" t="s">
        <v>16</v>
      </c>
      <c r="D4" t="s">
        <v>11</v>
      </c>
      <c r="E4">
        <v>84837</v>
      </c>
      <c r="F4" t="s">
        <v>47</v>
      </c>
      <c r="G4" t="s">
        <v>48</v>
      </c>
      <c r="H4" t="s">
        <v>17</v>
      </c>
      <c r="I4" t="s">
        <v>18</v>
      </c>
      <c r="L4" s="1">
        <v>3</v>
      </c>
    </row>
    <row r="5" spans="1:12" x14ac:dyDescent="0.35">
      <c r="A5" s="1">
        <v>4</v>
      </c>
      <c r="B5" t="s">
        <v>9</v>
      </c>
      <c r="C5" t="s">
        <v>51</v>
      </c>
      <c r="D5" t="s">
        <v>11</v>
      </c>
      <c r="E5">
        <v>71094</v>
      </c>
      <c r="F5" t="s">
        <v>47</v>
      </c>
      <c r="G5" t="s">
        <v>48</v>
      </c>
      <c r="H5" t="s">
        <v>19</v>
      </c>
      <c r="L5" s="1">
        <v>4</v>
      </c>
    </row>
    <row r="6" spans="1:12" x14ac:dyDescent="0.35">
      <c r="A6" s="1">
        <v>5</v>
      </c>
      <c r="B6" t="s">
        <v>9</v>
      </c>
      <c r="C6" t="s">
        <v>20</v>
      </c>
      <c r="D6" t="s">
        <v>11</v>
      </c>
      <c r="E6">
        <v>57613</v>
      </c>
      <c r="F6" t="s">
        <v>47</v>
      </c>
      <c r="G6" t="s">
        <v>48</v>
      </c>
      <c r="H6" t="s">
        <v>343</v>
      </c>
      <c r="I6" t="s">
        <v>21</v>
      </c>
      <c r="L6" s="1">
        <v>5</v>
      </c>
    </row>
    <row r="7" spans="1:12" x14ac:dyDescent="0.35">
      <c r="A7" s="1">
        <v>6</v>
      </c>
      <c r="B7" t="s">
        <v>9</v>
      </c>
      <c r="C7" t="s">
        <v>727</v>
      </c>
      <c r="D7" t="s">
        <v>11</v>
      </c>
      <c r="E7">
        <v>44867</v>
      </c>
      <c r="F7" t="s">
        <v>47</v>
      </c>
      <c r="G7" t="s">
        <v>48</v>
      </c>
      <c r="I7" t="s">
        <v>22</v>
      </c>
      <c r="L7" s="1">
        <v>6</v>
      </c>
    </row>
    <row r="8" spans="1:12" x14ac:dyDescent="0.35">
      <c r="A8" s="1">
        <v>7</v>
      </c>
      <c r="B8" t="s">
        <v>9</v>
      </c>
      <c r="C8" t="s">
        <v>23</v>
      </c>
      <c r="D8" t="s">
        <v>11</v>
      </c>
      <c r="E8">
        <v>0</v>
      </c>
      <c r="F8" t="s">
        <v>47</v>
      </c>
      <c r="G8" t="s">
        <v>48</v>
      </c>
      <c r="H8" t="s">
        <v>24</v>
      </c>
      <c r="I8" t="s">
        <v>25</v>
      </c>
      <c r="L8" s="1">
        <v>7</v>
      </c>
    </row>
    <row r="9" spans="1:12" x14ac:dyDescent="0.35">
      <c r="A9" s="1">
        <v>8</v>
      </c>
      <c r="B9" t="s">
        <v>9</v>
      </c>
      <c r="C9" t="s">
        <v>26</v>
      </c>
      <c r="D9" t="s">
        <v>11</v>
      </c>
      <c r="E9">
        <v>19808</v>
      </c>
      <c r="F9" t="s">
        <v>47</v>
      </c>
      <c r="G9" t="s">
        <v>48</v>
      </c>
      <c r="H9" t="s">
        <v>27</v>
      </c>
      <c r="I9" t="s">
        <v>28</v>
      </c>
      <c r="L9" s="1">
        <v>8</v>
      </c>
    </row>
    <row r="10" spans="1:12" x14ac:dyDescent="0.35">
      <c r="A10" s="1">
        <v>9</v>
      </c>
      <c r="B10" t="s">
        <v>9</v>
      </c>
      <c r="C10" t="s">
        <v>29</v>
      </c>
      <c r="D10" t="s">
        <v>11</v>
      </c>
      <c r="E10">
        <v>44152</v>
      </c>
      <c r="F10" t="s">
        <v>47</v>
      </c>
      <c r="G10" t="s">
        <v>48</v>
      </c>
      <c r="L10" s="1">
        <v>9</v>
      </c>
    </row>
    <row r="11" spans="1:12" x14ac:dyDescent="0.35">
      <c r="A11" s="1">
        <v>10</v>
      </c>
      <c r="B11" t="s">
        <v>9</v>
      </c>
      <c r="C11" t="s">
        <v>30</v>
      </c>
      <c r="D11" t="s">
        <v>11</v>
      </c>
      <c r="E11">
        <v>29186</v>
      </c>
      <c r="F11" t="s">
        <v>47</v>
      </c>
      <c r="G11" t="s">
        <v>48</v>
      </c>
      <c r="H11" t="s">
        <v>31</v>
      </c>
      <c r="I11" t="s">
        <v>32</v>
      </c>
      <c r="L11" s="1">
        <v>10</v>
      </c>
    </row>
    <row r="12" spans="1:12" x14ac:dyDescent="0.35">
      <c r="A12" s="1">
        <v>11</v>
      </c>
      <c r="B12" t="s">
        <v>9</v>
      </c>
      <c r="C12" t="s">
        <v>33</v>
      </c>
      <c r="D12" t="s">
        <v>34</v>
      </c>
      <c r="E12" t="s">
        <v>847</v>
      </c>
      <c r="F12" t="s">
        <v>47</v>
      </c>
      <c r="G12" t="s">
        <v>48</v>
      </c>
      <c r="H12" t="s">
        <v>35</v>
      </c>
      <c r="I12" t="s">
        <v>36</v>
      </c>
      <c r="L12" s="1">
        <v>11</v>
      </c>
    </row>
    <row r="13" spans="1:12" x14ac:dyDescent="0.35">
      <c r="A13" s="1">
        <v>12</v>
      </c>
      <c r="B13" t="s">
        <v>9</v>
      </c>
      <c r="C13" t="s">
        <v>37</v>
      </c>
      <c r="D13" t="s">
        <v>34</v>
      </c>
      <c r="E13" t="s">
        <v>847</v>
      </c>
      <c r="F13" t="s">
        <v>47</v>
      </c>
      <c r="G13" t="s">
        <v>48</v>
      </c>
      <c r="H13" t="s">
        <v>38</v>
      </c>
      <c r="I13" t="s">
        <v>39</v>
      </c>
      <c r="L13" s="1">
        <v>12</v>
      </c>
    </row>
    <row r="14" spans="1:12" x14ac:dyDescent="0.35">
      <c r="A14" s="1">
        <v>13</v>
      </c>
      <c r="B14" t="s">
        <v>9</v>
      </c>
      <c r="C14" t="s">
        <v>40</v>
      </c>
      <c r="D14" t="s">
        <v>34</v>
      </c>
      <c r="E14" t="s">
        <v>847</v>
      </c>
      <c r="F14" t="s">
        <v>47</v>
      </c>
      <c r="G14" t="s">
        <v>48</v>
      </c>
      <c r="H14" t="s">
        <v>41</v>
      </c>
      <c r="I14" t="s">
        <v>42</v>
      </c>
      <c r="L14" s="1">
        <v>13</v>
      </c>
    </row>
    <row r="15" spans="1:12" x14ac:dyDescent="0.35">
      <c r="A15" s="1">
        <v>14</v>
      </c>
      <c r="B15" t="s">
        <v>9</v>
      </c>
      <c r="C15" t="s">
        <v>43</v>
      </c>
      <c r="D15" t="s">
        <v>34</v>
      </c>
      <c r="E15" t="s">
        <v>847</v>
      </c>
      <c r="F15" t="s">
        <v>47</v>
      </c>
      <c r="G15" t="s">
        <v>48</v>
      </c>
      <c r="H15" t="s">
        <v>44</v>
      </c>
      <c r="I15" t="s">
        <v>45</v>
      </c>
      <c r="L15" s="1">
        <v>14</v>
      </c>
    </row>
    <row r="16" spans="1:12" x14ac:dyDescent="0.35">
      <c r="A16" s="1">
        <v>15</v>
      </c>
      <c r="B16" t="s">
        <v>9</v>
      </c>
      <c r="C16" t="s">
        <v>46</v>
      </c>
      <c r="D16" t="s">
        <v>34</v>
      </c>
      <c r="E16" t="s">
        <v>847</v>
      </c>
      <c r="F16" t="s">
        <v>47</v>
      </c>
      <c r="G16" t="s">
        <v>48</v>
      </c>
      <c r="L16" s="1">
        <v>15</v>
      </c>
    </row>
    <row r="17" spans="1:12" x14ac:dyDescent="0.35">
      <c r="A17" s="1">
        <v>16</v>
      </c>
      <c r="B17" t="s">
        <v>52</v>
      </c>
      <c r="C17" t="s">
        <v>466</v>
      </c>
      <c r="D17" t="s">
        <v>11</v>
      </c>
      <c r="E17">
        <v>43121</v>
      </c>
      <c r="F17" t="s">
        <v>47</v>
      </c>
      <c r="G17" t="s">
        <v>48</v>
      </c>
      <c r="H17" t="s">
        <v>57</v>
      </c>
      <c r="I17" t="s">
        <v>56</v>
      </c>
      <c r="J17">
        <f>A17</f>
        <v>16</v>
      </c>
      <c r="L17" s="1">
        <v>16</v>
      </c>
    </row>
    <row r="18" spans="1:12" x14ac:dyDescent="0.35">
      <c r="A18" s="1">
        <v>17</v>
      </c>
      <c r="B18" t="s">
        <v>52</v>
      </c>
      <c r="C18" t="s">
        <v>463</v>
      </c>
      <c r="D18" t="s">
        <v>11</v>
      </c>
      <c r="E18">
        <v>39371</v>
      </c>
      <c r="F18" t="s">
        <v>47</v>
      </c>
      <c r="G18" t="s">
        <v>48</v>
      </c>
      <c r="H18" t="s">
        <v>59</v>
      </c>
      <c r="I18" t="s">
        <v>58</v>
      </c>
      <c r="J18">
        <f t="shared" ref="J18:J33" si="0">A18</f>
        <v>17</v>
      </c>
      <c r="L18" s="1">
        <v>17</v>
      </c>
    </row>
    <row r="19" spans="1:12" x14ac:dyDescent="0.35">
      <c r="A19" s="1">
        <v>18</v>
      </c>
      <c r="B19" t="s">
        <v>52</v>
      </c>
      <c r="C19" t="s">
        <v>458</v>
      </c>
      <c r="D19" t="s">
        <v>11</v>
      </c>
      <c r="E19">
        <v>21784</v>
      </c>
      <c r="F19" t="s">
        <v>47</v>
      </c>
      <c r="G19" t="s">
        <v>48</v>
      </c>
      <c r="H19" t="s">
        <v>60</v>
      </c>
      <c r="I19" t="s">
        <v>61</v>
      </c>
      <c r="J19">
        <f t="shared" si="0"/>
        <v>18</v>
      </c>
      <c r="L19" s="1">
        <v>18</v>
      </c>
    </row>
    <row r="20" spans="1:12" x14ac:dyDescent="0.35">
      <c r="A20" s="1">
        <v>19</v>
      </c>
      <c r="B20" t="s">
        <v>52</v>
      </c>
      <c r="C20" t="s">
        <v>62</v>
      </c>
      <c r="D20" t="s">
        <v>11</v>
      </c>
      <c r="E20">
        <v>63379</v>
      </c>
      <c r="F20" t="s">
        <v>47</v>
      </c>
      <c r="G20" t="s">
        <v>48</v>
      </c>
      <c r="H20" t="s">
        <v>64</v>
      </c>
      <c r="I20" t="s">
        <v>63</v>
      </c>
      <c r="J20">
        <f t="shared" si="0"/>
        <v>19</v>
      </c>
      <c r="L20" s="1">
        <v>19</v>
      </c>
    </row>
    <row r="21" spans="1:12" x14ac:dyDescent="0.35">
      <c r="A21" s="1">
        <v>20</v>
      </c>
      <c r="B21" t="s">
        <v>52</v>
      </c>
      <c r="C21" t="s">
        <v>67</v>
      </c>
      <c r="D21" t="s">
        <v>11</v>
      </c>
      <c r="E21">
        <v>36110</v>
      </c>
      <c r="F21" t="s">
        <v>47</v>
      </c>
      <c r="G21" t="s">
        <v>48</v>
      </c>
      <c r="H21" t="s">
        <v>66</v>
      </c>
      <c r="I21" t="s">
        <v>65</v>
      </c>
      <c r="J21">
        <f t="shared" si="0"/>
        <v>20</v>
      </c>
      <c r="L21" s="1">
        <v>20</v>
      </c>
    </row>
    <row r="22" spans="1:12" x14ac:dyDescent="0.35">
      <c r="A22" s="1">
        <v>21</v>
      </c>
      <c r="B22" t="s">
        <v>52</v>
      </c>
      <c r="C22" t="s">
        <v>434</v>
      </c>
      <c r="D22" t="s">
        <v>11</v>
      </c>
      <c r="E22">
        <v>63374</v>
      </c>
      <c r="F22" t="s">
        <v>47</v>
      </c>
      <c r="G22" t="s">
        <v>48</v>
      </c>
      <c r="H22" t="s">
        <v>69</v>
      </c>
      <c r="I22" t="s">
        <v>68</v>
      </c>
      <c r="J22">
        <f t="shared" si="0"/>
        <v>21</v>
      </c>
      <c r="L22" s="1">
        <v>21</v>
      </c>
    </row>
    <row r="23" spans="1:12" x14ac:dyDescent="0.35">
      <c r="A23" s="1">
        <v>22</v>
      </c>
      <c r="B23" t="s">
        <v>52</v>
      </c>
      <c r="C23" t="s">
        <v>70</v>
      </c>
      <c r="D23" t="s">
        <v>11</v>
      </c>
      <c r="E23">
        <v>45560</v>
      </c>
      <c r="F23" t="s">
        <v>47</v>
      </c>
      <c r="G23" t="s">
        <v>48</v>
      </c>
      <c r="H23" t="s">
        <v>72</v>
      </c>
      <c r="I23" t="s">
        <v>71</v>
      </c>
      <c r="J23">
        <f t="shared" si="0"/>
        <v>22</v>
      </c>
      <c r="L23" s="1">
        <v>22</v>
      </c>
    </row>
    <row r="24" spans="1:12" x14ac:dyDescent="0.35">
      <c r="A24" s="1">
        <v>23</v>
      </c>
      <c r="B24" t="s">
        <v>52</v>
      </c>
      <c r="C24" t="s">
        <v>405</v>
      </c>
      <c r="D24" t="s">
        <v>11</v>
      </c>
      <c r="E24">
        <v>0</v>
      </c>
      <c r="F24" t="s">
        <v>47</v>
      </c>
      <c r="G24" t="s">
        <v>48</v>
      </c>
      <c r="H24" t="s">
        <v>74</v>
      </c>
      <c r="I24" t="s">
        <v>73</v>
      </c>
      <c r="J24">
        <f t="shared" si="0"/>
        <v>23</v>
      </c>
      <c r="L24" s="1">
        <v>23</v>
      </c>
    </row>
    <row r="25" spans="1:12" x14ac:dyDescent="0.35">
      <c r="A25" s="1">
        <v>24</v>
      </c>
      <c r="B25" t="s">
        <v>9</v>
      </c>
      <c r="C25" t="s">
        <v>226</v>
      </c>
      <c r="D25" t="s">
        <v>11</v>
      </c>
      <c r="E25" s="2">
        <v>30156</v>
      </c>
      <c r="F25" t="s">
        <v>47</v>
      </c>
      <c r="G25" t="s">
        <v>48</v>
      </c>
      <c r="H25" t="s">
        <v>227</v>
      </c>
      <c r="I25" t="s">
        <v>228</v>
      </c>
      <c r="J25">
        <f t="shared" si="0"/>
        <v>24</v>
      </c>
      <c r="L25" s="1">
        <v>24</v>
      </c>
    </row>
    <row r="26" spans="1:12" x14ac:dyDescent="0.35">
      <c r="A26" s="1">
        <v>25</v>
      </c>
      <c r="B26" t="s">
        <v>9</v>
      </c>
      <c r="C26" t="s">
        <v>280</v>
      </c>
      <c r="D26" t="s">
        <v>11</v>
      </c>
      <c r="E26">
        <v>0</v>
      </c>
      <c r="F26" t="s">
        <v>47</v>
      </c>
      <c r="G26" t="s">
        <v>48</v>
      </c>
      <c r="H26" t="s">
        <v>281</v>
      </c>
      <c r="I26" t="s">
        <v>282</v>
      </c>
      <c r="J26">
        <f t="shared" si="0"/>
        <v>25</v>
      </c>
      <c r="L26" s="1">
        <v>25</v>
      </c>
    </row>
    <row r="27" spans="1:12" x14ac:dyDescent="0.35">
      <c r="A27" s="1">
        <v>26</v>
      </c>
      <c r="B27" t="s">
        <v>9</v>
      </c>
      <c r="C27" t="s">
        <v>306</v>
      </c>
      <c r="D27" t="s">
        <v>11</v>
      </c>
      <c r="E27">
        <v>30767</v>
      </c>
      <c r="F27" t="s">
        <v>47</v>
      </c>
      <c r="G27" t="s">
        <v>48</v>
      </c>
      <c r="J27">
        <f t="shared" si="0"/>
        <v>26</v>
      </c>
      <c r="L27" s="1">
        <v>26</v>
      </c>
    </row>
    <row r="28" spans="1:12" x14ac:dyDescent="0.35">
      <c r="A28" s="1">
        <v>27</v>
      </c>
      <c r="B28" t="s">
        <v>9</v>
      </c>
      <c r="C28" t="s">
        <v>322</v>
      </c>
      <c r="D28" t="s">
        <v>11</v>
      </c>
      <c r="E28">
        <v>55521</v>
      </c>
      <c r="F28" t="s">
        <v>47</v>
      </c>
      <c r="G28" t="s">
        <v>48</v>
      </c>
      <c r="H28" t="s">
        <v>227</v>
      </c>
      <c r="I28" t="s">
        <v>323</v>
      </c>
      <c r="J28">
        <f t="shared" si="0"/>
        <v>27</v>
      </c>
      <c r="L28" s="1">
        <v>27</v>
      </c>
    </row>
    <row r="29" spans="1:12" x14ac:dyDescent="0.35">
      <c r="A29" s="1">
        <v>28</v>
      </c>
      <c r="B29" t="s">
        <v>52</v>
      </c>
      <c r="C29" t="s">
        <v>470</v>
      </c>
      <c r="D29" t="s">
        <v>34</v>
      </c>
      <c r="E29" t="s">
        <v>847</v>
      </c>
      <c r="F29" t="s">
        <v>47</v>
      </c>
      <c r="G29" t="s">
        <v>48</v>
      </c>
      <c r="J29">
        <f t="shared" si="0"/>
        <v>28</v>
      </c>
      <c r="L29" s="1">
        <v>28</v>
      </c>
    </row>
    <row r="30" spans="1:12" x14ac:dyDescent="0.35">
      <c r="A30" s="1">
        <v>29</v>
      </c>
      <c r="B30" t="s">
        <v>52</v>
      </c>
      <c r="C30" t="s">
        <v>473</v>
      </c>
      <c r="D30" t="s">
        <v>34</v>
      </c>
      <c r="E30" t="s">
        <v>847</v>
      </c>
      <c r="F30" t="s">
        <v>47</v>
      </c>
      <c r="G30" t="s">
        <v>48</v>
      </c>
      <c r="J30">
        <f t="shared" si="0"/>
        <v>29</v>
      </c>
      <c r="L30" s="1">
        <v>29</v>
      </c>
    </row>
    <row r="31" spans="1:12" x14ac:dyDescent="0.35">
      <c r="A31" s="1">
        <v>30</v>
      </c>
      <c r="B31" t="s">
        <v>52</v>
      </c>
      <c r="C31" t="s">
        <v>469</v>
      </c>
      <c r="D31" t="s">
        <v>34</v>
      </c>
      <c r="E31" t="s">
        <v>847</v>
      </c>
      <c r="F31" t="s">
        <v>47</v>
      </c>
      <c r="G31" t="s">
        <v>48</v>
      </c>
      <c r="J31">
        <f t="shared" si="0"/>
        <v>30</v>
      </c>
      <c r="L31" s="1">
        <v>30</v>
      </c>
    </row>
    <row r="32" spans="1:12" x14ac:dyDescent="0.35">
      <c r="A32" s="1">
        <v>31</v>
      </c>
      <c r="B32" t="s">
        <v>52</v>
      </c>
      <c r="C32" t="s">
        <v>520</v>
      </c>
      <c r="D32" t="s">
        <v>34</v>
      </c>
      <c r="E32" t="s">
        <v>847</v>
      </c>
      <c r="F32" t="s">
        <v>47</v>
      </c>
      <c r="G32" t="s">
        <v>48</v>
      </c>
      <c r="J32">
        <f t="shared" si="0"/>
        <v>31</v>
      </c>
      <c r="L32" s="1">
        <v>31</v>
      </c>
    </row>
    <row r="33" spans="1:12" x14ac:dyDescent="0.35">
      <c r="A33" s="1">
        <v>32</v>
      </c>
      <c r="B33" t="s">
        <v>52</v>
      </c>
      <c r="C33" t="s">
        <v>474</v>
      </c>
      <c r="D33" t="s">
        <v>34</v>
      </c>
      <c r="E33" t="s">
        <v>847</v>
      </c>
      <c r="F33" t="s">
        <v>47</v>
      </c>
      <c r="G33" t="s">
        <v>48</v>
      </c>
      <c r="J33">
        <f t="shared" si="0"/>
        <v>32</v>
      </c>
      <c r="L33" s="1">
        <v>32</v>
      </c>
    </row>
    <row r="34" spans="1:12" x14ac:dyDescent="0.35">
      <c r="A34" s="1">
        <v>33</v>
      </c>
      <c r="B34" t="s">
        <v>52</v>
      </c>
      <c r="C34" t="s">
        <v>511</v>
      </c>
      <c r="D34" t="s">
        <v>11</v>
      </c>
      <c r="E34">
        <v>62835</v>
      </c>
      <c r="F34" t="s">
        <v>47</v>
      </c>
      <c r="G34" t="s">
        <v>48</v>
      </c>
      <c r="J34">
        <f t="shared" ref="J34:J35" si="1">A34</f>
        <v>33</v>
      </c>
      <c r="L34" s="1">
        <v>33</v>
      </c>
    </row>
    <row r="35" spans="1:12" x14ac:dyDescent="0.35">
      <c r="A35" s="1">
        <v>34</v>
      </c>
      <c r="B35" t="s">
        <v>52</v>
      </c>
      <c r="C35" t="s">
        <v>573</v>
      </c>
      <c r="D35" t="s">
        <v>11</v>
      </c>
      <c r="E35">
        <v>65980</v>
      </c>
      <c r="F35" t="s">
        <v>47</v>
      </c>
      <c r="G35" t="s">
        <v>48</v>
      </c>
      <c r="J35">
        <f t="shared" si="1"/>
        <v>34</v>
      </c>
      <c r="L35" s="1">
        <v>34</v>
      </c>
    </row>
    <row r="36" spans="1:12" x14ac:dyDescent="0.35">
      <c r="A36" s="1"/>
    </row>
    <row r="37" spans="1:12" x14ac:dyDescent="0.35">
      <c r="A37" s="1"/>
    </row>
    <row r="38" spans="1:12" x14ac:dyDescent="0.35">
      <c r="A38" s="1"/>
    </row>
    <row r="39" spans="1:12" x14ac:dyDescent="0.35">
      <c r="A39" s="1"/>
    </row>
    <row r="40" spans="1:12" x14ac:dyDescent="0.35">
      <c r="A40" s="1"/>
    </row>
    <row r="41" spans="1:12" x14ac:dyDescent="0.35">
      <c r="A41" s="1"/>
    </row>
    <row r="42" spans="1:12" x14ac:dyDescent="0.35">
      <c r="A42" s="1"/>
    </row>
    <row r="43" spans="1:12" x14ac:dyDescent="0.35">
      <c r="A43" s="1"/>
    </row>
  </sheetData>
  <phoneticPr fontId="5" type="noConversion"/>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B670"/>
  <sheetViews>
    <sheetView workbookViewId="0">
      <pane ySplit="1" topLeftCell="A314" activePane="bottomLeft" state="frozen"/>
      <selection activeCell="D1" sqref="D1"/>
      <selection pane="bottomLeft" activeCell="L321" sqref="L321"/>
    </sheetView>
  </sheetViews>
  <sheetFormatPr defaultRowHeight="14.5" x14ac:dyDescent="0.35"/>
  <cols>
    <col min="1" max="1" width="11.453125" customWidth="1"/>
    <col min="2" max="2" width="21.26953125" customWidth="1"/>
    <col min="3" max="3" width="5.81640625" customWidth="1"/>
    <col min="5" max="5" width="12.453125" customWidth="1"/>
    <col min="6" max="6" width="18.6328125" customWidth="1"/>
    <col min="8" max="8" width="4.54296875" customWidth="1"/>
    <col min="9" max="9" width="18" customWidth="1"/>
    <col min="10" max="10" width="13.1796875" customWidth="1"/>
    <col min="11" max="11" width="16.26953125" customWidth="1"/>
    <col min="12" max="12" width="31.7265625" customWidth="1"/>
    <col min="13" max="13" width="28.54296875" customWidth="1"/>
    <col min="14" max="14" width="41.7265625" customWidth="1"/>
    <col min="15" max="15" width="14.26953125" customWidth="1"/>
    <col min="16" max="16" width="14.54296875" customWidth="1"/>
    <col min="17" max="17" width="20.1796875" customWidth="1"/>
    <col min="18" max="18" width="25.54296875" customWidth="1"/>
    <col min="19" max="19" width="17.90625" customWidth="1"/>
  </cols>
  <sheetData>
    <row r="1" spans="1:20" s="9" customFormat="1" x14ac:dyDescent="0.35">
      <c r="A1" s="9" t="s">
        <v>580</v>
      </c>
      <c r="B1" s="9" t="s">
        <v>54</v>
      </c>
      <c r="C1" s="10" t="s">
        <v>7</v>
      </c>
      <c r="D1" s="9" t="s">
        <v>8</v>
      </c>
      <c r="E1" s="9" t="s">
        <v>608</v>
      </c>
      <c r="F1" s="9" t="s">
        <v>4</v>
      </c>
      <c r="G1" s="9" t="s">
        <v>5</v>
      </c>
      <c r="H1" s="9" t="s">
        <v>49</v>
      </c>
      <c r="I1" s="9" t="s">
        <v>55</v>
      </c>
      <c r="J1" s="10" t="s">
        <v>53</v>
      </c>
      <c r="K1" s="10" t="s">
        <v>87</v>
      </c>
      <c r="L1" s="10" t="s">
        <v>76</v>
      </c>
      <c r="M1" s="10" t="s">
        <v>77</v>
      </c>
      <c r="N1" s="10" t="s">
        <v>78</v>
      </c>
      <c r="O1" s="10" t="s">
        <v>79</v>
      </c>
      <c r="P1" s="10" t="s">
        <v>80</v>
      </c>
      <c r="Q1" s="10" t="s">
        <v>81</v>
      </c>
      <c r="R1" s="10" t="s">
        <v>82</v>
      </c>
      <c r="S1" s="10" t="s">
        <v>83</v>
      </c>
      <c r="T1" s="10" t="s">
        <v>84</v>
      </c>
    </row>
    <row r="2" spans="1:20" x14ac:dyDescent="0.35">
      <c r="A2" s="11">
        <f>B2</f>
        <v>43839</v>
      </c>
      <c r="B2" s="8">
        <v>43839</v>
      </c>
      <c r="C2" s="1">
        <v>1</v>
      </c>
      <c r="D2" t="s">
        <v>9</v>
      </c>
      <c r="F2" t="s">
        <v>10</v>
      </c>
      <c r="G2" t="s">
        <v>75</v>
      </c>
      <c r="I2" t="s">
        <v>217</v>
      </c>
      <c r="J2">
        <v>2</v>
      </c>
      <c r="K2" t="s">
        <v>88</v>
      </c>
      <c r="L2" t="s">
        <v>319</v>
      </c>
      <c r="M2" t="s">
        <v>198</v>
      </c>
      <c r="N2" t="s">
        <v>260</v>
      </c>
      <c r="O2" t="s">
        <v>261</v>
      </c>
      <c r="P2" t="s">
        <v>200</v>
      </c>
      <c r="Q2" t="s">
        <v>96</v>
      </c>
    </row>
    <row r="3" spans="1:20" x14ac:dyDescent="0.35">
      <c r="A3" s="11">
        <f>B3</f>
        <v>43839</v>
      </c>
      <c r="B3" s="8">
        <f>B2</f>
        <v>43839</v>
      </c>
      <c r="C3" s="1">
        <v>1</v>
      </c>
      <c r="D3" t="s">
        <v>9</v>
      </c>
      <c r="F3" t="s">
        <v>10</v>
      </c>
      <c r="G3" t="s">
        <v>75</v>
      </c>
      <c r="I3" t="s">
        <v>217</v>
      </c>
      <c r="J3">
        <v>2</v>
      </c>
      <c r="K3" t="s">
        <v>89</v>
      </c>
      <c r="L3" t="s">
        <v>258</v>
      </c>
      <c r="M3" t="s">
        <v>259</v>
      </c>
      <c r="N3" t="s">
        <v>225</v>
      </c>
      <c r="O3" t="s">
        <v>262</v>
      </c>
      <c r="P3" t="s">
        <v>116</v>
      </c>
      <c r="Q3" t="s">
        <v>263</v>
      </c>
    </row>
    <row r="4" spans="1:20" x14ac:dyDescent="0.35">
      <c r="A4" s="11">
        <f>B4</f>
        <v>43839</v>
      </c>
      <c r="B4" s="8">
        <f>B3</f>
        <v>43839</v>
      </c>
      <c r="C4" s="1">
        <v>1</v>
      </c>
      <c r="D4" t="s">
        <v>9</v>
      </c>
      <c r="F4" t="s">
        <v>10</v>
      </c>
      <c r="G4" t="s">
        <v>75</v>
      </c>
      <c r="I4" t="s">
        <v>217</v>
      </c>
      <c r="J4">
        <v>2</v>
      </c>
      <c r="K4" t="s">
        <v>90</v>
      </c>
      <c r="L4" t="s">
        <v>86</v>
      </c>
      <c r="M4" t="s">
        <v>93</v>
      </c>
      <c r="N4" t="s">
        <v>93</v>
      </c>
      <c r="O4" t="s">
        <v>106</v>
      </c>
      <c r="P4" t="s">
        <v>93</v>
      </c>
      <c r="Q4" t="s">
        <v>93</v>
      </c>
    </row>
    <row r="5" spans="1:20" x14ac:dyDescent="0.35">
      <c r="A5" s="13">
        <f>DATE(VALUE(RIGHT(B5,4)), VALUE(MID(B5,4,1)), VALUE(LEFT(B5,2)))</f>
        <v>43854</v>
      </c>
      <c r="B5" s="8" t="s">
        <v>269</v>
      </c>
      <c r="C5" s="1">
        <v>1</v>
      </c>
      <c r="D5" t="s">
        <v>9</v>
      </c>
      <c r="F5" t="s">
        <v>10</v>
      </c>
      <c r="G5" t="s">
        <v>75</v>
      </c>
      <c r="I5" t="s">
        <v>217</v>
      </c>
      <c r="J5">
        <v>1</v>
      </c>
      <c r="K5" t="s">
        <v>88</v>
      </c>
      <c r="L5" t="s">
        <v>319</v>
      </c>
      <c r="M5" t="s">
        <v>154</v>
      </c>
      <c r="N5" t="s">
        <v>172</v>
      </c>
      <c r="O5" t="s">
        <v>277</v>
      </c>
      <c r="P5" t="s">
        <v>159</v>
      </c>
      <c r="Q5" t="s">
        <v>279</v>
      </c>
    </row>
    <row r="6" spans="1:20" x14ac:dyDescent="0.35">
      <c r="A6" s="13">
        <f>DATE(VALUE(RIGHT(B6,4)), VALUE(MID(B6,4,1)), VALUE(LEFT(B6,2)))</f>
        <v>43854</v>
      </c>
      <c r="B6" s="8" t="str">
        <f>B5</f>
        <v>24/1/2020</v>
      </c>
      <c r="C6" s="1">
        <v>1</v>
      </c>
      <c r="D6" t="s">
        <v>9</v>
      </c>
      <c r="F6" t="s">
        <v>10</v>
      </c>
      <c r="G6" t="s">
        <v>75</v>
      </c>
      <c r="I6" t="s">
        <v>217</v>
      </c>
      <c r="J6">
        <v>1</v>
      </c>
      <c r="K6" t="s">
        <v>89</v>
      </c>
      <c r="L6" t="s">
        <v>219</v>
      </c>
      <c r="M6" t="s">
        <v>116</v>
      </c>
      <c r="N6" t="s">
        <v>272</v>
      </c>
      <c r="O6" t="s">
        <v>116</v>
      </c>
      <c r="P6" t="s">
        <v>278</v>
      </c>
      <c r="Q6" t="s">
        <v>136</v>
      </c>
    </row>
    <row r="7" spans="1:20" x14ac:dyDescent="0.35">
      <c r="A7" s="13">
        <f>DATE(VALUE(RIGHT(B7,4)), VALUE(MID(B7,4,1)), VALUE(LEFT(B7,2)))</f>
        <v>43854</v>
      </c>
      <c r="B7" s="8" t="str">
        <f>B6</f>
        <v>24/1/2020</v>
      </c>
      <c r="C7" s="1">
        <v>1</v>
      </c>
      <c r="D7" t="s">
        <v>9</v>
      </c>
      <c r="F7" t="s">
        <v>10</v>
      </c>
      <c r="G7" t="s">
        <v>75</v>
      </c>
      <c r="I7" t="s">
        <v>217</v>
      </c>
      <c r="J7">
        <v>1</v>
      </c>
      <c r="K7" t="s">
        <v>90</v>
      </c>
      <c r="L7" t="s">
        <v>276</v>
      </c>
      <c r="M7" t="s">
        <v>93</v>
      </c>
      <c r="N7" t="s">
        <v>93</v>
      </c>
      <c r="O7" t="s">
        <v>93</v>
      </c>
      <c r="P7" t="s">
        <v>93</v>
      </c>
      <c r="Q7" t="s">
        <v>93</v>
      </c>
    </row>
    <row r="8" spans="1:20" x14ac:dyDescent="0.35">
      <c r="A8" s="13">
        <v>43868</v>
      </c>
      <c r="B8" s="8">
        <v>43868</v>
      </c>
      <c r="C8" s="1">
        <v>1</v>
      </c>
      <c r="D8" t="s">
        <v>9</v>
      </c>
      <c r="F8" t="s">
        <v>754</v>
      </c>
      <c r="G8" t="s">
        <v>75</v>
      </c>
      <c r="I8" t="s">
        <v>217</v>
      </c>
      <c r="J8">
        <v>282</v>
      </c>
      <c r="K8" t="s">
        <v>88</v>
      </c>
      <c r="L8" t="s">
        <v>755</v>
      </c>
      <c r="M8" t="s">
        <v>154</v>
      </c>
      <c r="N8" t="s">
        <v>756</v>
      </c>
      <c r="O8" t="s">
        <v>757</v>
      </c>
      <c r="P8" t="s">
        <v>275</v>
      </c>
      <c r="Q8" t="s">
        <v>379</v>
      </c>
      <c r="R8" t="s">
        <v>91</v>
      </c>
      <c r="S8" t="s">
        <v>319</v>
      </c>
      <c r="T8" t="s">
        <v>150</v>
      </c>
    </row>
    <row r="9" spans="1:20" x14ac:dyDescent="0.35">
      <c r="A9" s="13">
        <v>43868</v>
      </c>
      <c r="B9" s="8">
        <v>43868</v>
      </c>
      <c r="C9" s="1">
        <v>1</v>
      </c>
      <c r="D9" t="s">
        <v>9</v>
      </c>
      <c r="F9" t="str">
        <f>F8</f>
        <v>MWALYE ERIC</v>
      </c>
      <c r="G9" t="s">
        <v>75</v>
      </c>
      <c r="I9" t="s">
        <v>217</v>
      </c>
      <c r="J9">
        <v>282</v>
      </c>
      <c r="K9" t="s">
        <v>89</v>
      </c>
      <c r="L9" t="s">
        <v>144</v>
      </c>
      <c r="M9" t="s">
        <v>758</v>
      </c>
      <c r="N9" t="s">
        <v>116</v>
      </c>
      <c r="O9" t="s">
        <v>121</v>
      </c>
      <c r="P9" t="s">
        <v>116</v>
      </c>
      <c r="Q9" t="s">
        <v>759</v>
      </c>
      <c r="R9" t="s">
        <v>760</v>
      </c>
      <c r="S9" t="s">
        <v>761</v>
      </c>
      <c r="T9" t="s">
        <v>762</v>
      </c>
    </row>
    <row r="10" spans="1:20" x14ac:dyDescent="0.35">
      <c r="A10" s="13">
        <v>43868</v>
      </c>
      <c r="B10" s="8">
        <v>43868</v>
      </c>
      <c r="C10" s="1">
        <v>1</v>
      </c>
      <c r="D10" t="s">
        <v>9</v>
      </c>
      <c r="F10" t="str">
        <f>F9</f>
        <v>MWALYE ERIC</v>
      </c>
      <c r="G10" t="s">
        <v>75</v>
      </c>
      <c r="I10" t="s">
        <v>217</v>
      </c>
      <c r="J10">
        <v>282</v>
      </c>
      <c r="K10" t="s">
        <v>90</v>
      </c>
      <c r="L10" t="s">
        <v>86</v>
      </c>
      <c r="M10" t="s">
        <v>93</v>
      </c>
      <c r="N10" t="s">
        <v>93</v>
      </c>
      <c r="O10" t="s">
        <v>106</v>
      </c>
      <c r="P10" t="s">
        <v>93</v>
      </c>
      <c r="Q10" t="s">
        <v>93</v>
      </c>
      <c r="R10" t="s">
        <v>752</v>
      </c>
      <c r="S10" t="s">
        <v>763</v>
      </c>
      <c r="T10" t="s">
        <v>752</v>
      </c>
    </row>
    <row r="11" spans="1:20" x14ac:dyDescent="0.35">
      <c r="A11" s="13">
        <v>43876</v>
      </c>
      <c r="B11" s="8">
        <v>43876</v>
      </c>
      <c r="C11" s="1">
        <f>VLOOKUP(F11,Motorcycles!$C$2:$L$35,10,0)</f>
        <v>1</v>
      </c>
      <c r="D11" t="s">
        <v>9</v>
      </c>
      <c r="F11" t="s">
        <v>10</v>
      </c>
      <c r="G11" t="s">
        <v>75</v>
      </c>
      <c r="I11" t="s">
        <v>479</v>
      </c>
      <c r="J11">
        <v>294</v>
      </c>
      <c r="K11" t="s">
        <v>88</v>
      </c>
      <c r="L11" t="s">
        <v>122</v>
      </c>
      <c r="M11" t="s">
        <v>319</v>
      </c>
      <c r="N11" t="s">
        <v>151</v>
      </c>
      <c r="O11" t="s">
        <v>319</v>
      </c>
      <c r="P11" t="s">
        <v>151</v>
      </c>
      <c r="Q11" t="s">
        <v>585</v>
      </c>
    </row>
    <row r="12" spans="1:20" x14ac:dyDescent="0.35">
      <c r="A12" s="13">
        <v>43876</v>
      </c>
      <c r="B12" s="8">
        <v>43876</v>
      </c>
      <c r="C12" s="1">
        <f>VLOOKUP(F12,Motorcycles!$C$2:$L$35,10,0)</f>
        <v>1</v>
      </c>
      <c r="D12" t="s">
        <v>9</v>
      </c>
      <c r="F12" t="s">
        <v>10</v>
      </c>
      <c r="G12" t="s">
        <v>75</v>
      </c>
      <c r="I12" t="s">
        <v>479</v>
      </c>
      <c r="J12">
        <v>294</v>
      </c>
      <c r="K12" t="s">
        <v>89</v>
      </c>
      <c r="L12" t="s">
        <v>144</v>
      </c>
      <c r="M12" t="s">
        <v>589</v>
      </c>
      <c r="N12" t="s">
        <v>609</v>
      </c>
      <c r="O12" t="s">
        <v>607</v>
      </c>
      <c r="P12" t="s">
        <v>607</v>
      </c>
      <c r="Q12" t="s">
        <v>593</v>
      </c>
    </row>
    <row r="13" spans="1:20" x14ac:dyDescent="0.35">
      <c r="A13" s="13">
        <v>43876</v>
      </c>
      <c r="B13" s="8">
        <v>43876</v>
      </c>
      <c r="C13" s="1">
        <f>VLOOKUP(F13,Motorcycles!$C$2:$L$35,10,0)</f>
        <v>1</v>
      </c>
      <c r="D13" t="s">
        <v>9</v>
      </c>
      <c r="F13" t="s">
        <v>10</v>
      </c>
      <c r="G13" t="s">
        <v>75</v>
      </c>
      <c r="I13" t="s">
        <v>479</v>
      </c>
      <c r="J13">
        <v>294</v>
      </c>
      <c r="K13" t="s">
        <v>90</v>
      </c>
      <c r="L13" t="s">
        <v>594</v>
      </c>
      <c r="M13" t="s">
        <v>93</v>
      </c>
      <c r="N13" t="s">
        <v>93</v>
      </c>
      <c r="O13" t="s">
        <v>93</v>
      </c>
      <c r="P13" t="s">
        <v>93</v>
      </c>
      <c r="Q13" t="s">
        <v>596</v>
      </c>
    </row>
    <row r="14" spans="1:20" x14ac:dyDescent="0.35">
      <c r="A14" s="11">
        <v>43886</v>
      </c>
      <c r="B14" s="11">
        <v>43886</v>
      </c>
      <c r="C14" s="1">
        <v>1</v>
      </c>
      <c r="D14" s="14" t="s">
        <v>9</v>
      </c>
      <c r="F14" t="s">
        <v>10</v>
      </c>
      <c r="G14" s="14" t="s">
        <v>75</v>
      </c>
      <c r="I14" s="14" t="s">
        <v>479</v>
      </c>
      <c r="J14" s="16">
        <v>243</v>
      </c>
      <c r="K14" s="14" t="s">
        <v>88</v>
      </c>
      <c r="L14" s="14" t="s">
        <v>319</v>
      </c>
      <c r="M14" s="14" t="s">
        <v>154</v>
      </c>
      <c r="N14" s="14" t="s">
        <v>577</v>
      </c>
      <c r="O14" s="14" t="s">
        <v>154</v>
      </c>
      <c r="P14" s="14" t="s">
        <v>151</v>
      </c>
      <c r="Q14" s="14" t="s">
        <v>583</v>
      </c>
      <c r="R14" s="14"/>
      <c r="S14" s="14"/>
    </row>
    <row r="15" spans="1:20" x14ac:dyDescent="0.35">
      <c r="A15" s="11">
        <v>43886</v>
      </c>
      <c r="B15" s="11">
        <v>43886</v>
      </c>
      <c r="C15" s="1">
        <v>1</v>
      </c>
      <c r="D15" s="14" t="s">
        <v>9</v>
      </c>
      <c r="F15" t="s">
        <v>10</v>
      </c>
      <c r="G15" s="14" t="s">
        <v>75</v>
      </c>
      <c r="I15" s="14" t="s">
        <v>479</v>
      </c>
      <c r="J15" s="16">
        <v>243</v>
      </c>
      <c r="K15" s="14" t="s">
        <v>89</v>
      </c>
      <c r="L15" s="14" t="s">
        <v>144</v>
      </c>
      <c r="M15" s="14" t="s">
        <v>590</v>
      </c>
      <c r="N15" s="14" t="s">
        <v>586</v>
      </c>
      <c r="O15" s="14" t="s">
        <v>607</v>
      </c>
      <c r="P15" s="14" t="s">
        <v>606</v>
      </c>
      <c r="Q15" s="14" t="s">
        <v>607</v>
      </c>
      <c r="R15" s="14"/>
      <c r="S15" s="14"/>
    </row>
    <row r="16" spans="1:20" x14ac:dyDescent="0.35">
      <c r="A16" s="11">
        <v>43886</v>
      </c>
      <c r="B16" s="11">
        <v>43886</v>
      </c>
      <c r="C16" s="1">
        <v>1</v>
      </c>
      <c r="D16" s="14" t="s">
        <v>9</v>
      </c>
      <c r="F16" t="s">
        <v>10</v>
      </c>
      <c r="G16" s="14" t="s">
        <v>75</v>
      </c>
      <c r="I16" s="14" t="s">
        <v>479</v>
      </c>
      <c r="J16" s="16">
        <v>243</v>
      </c>
      <c r="K16" s="14" t="s">
        <v>90</v>
      </c>
      <c r="L16" s="14" t="s">
        <v>594</v>
      </c>
      <c r="M16" s="14" t="s">
        <v>599</v>
      </c>
      <c r="N16" s="14" t="s">
        <v>93</v>
      </c>
      <c r="O16" s="14" t="s">
        <v>93</v>
      </c>
      <c r="P16" s="14" t="s">
        <v>93</v>
      </c>
      <c r="Q16" s="14" t="s">
        <v>598</v>
      </c>
      <c r="R16" s="14"/>
      <c r="S16" s="14"/>
    </row>
    <row r="17" spans="1:20" x14ac:dyDescent="0.35">
      <c r="A17" s="11">
        <v>43892</v>
      </c>
      <c r="B17" s="11">
        <v>43892</v>
      </c>
      <c r="C17" s="1">
        <v>1</v>
      </c>
      <c r="D17" s="14" t="s">
        <v>9</v>
      </c>
      <c r="F17" t="s">
        <v>10</v>
      </c>
      <c r="G17" s="14" t="s">
        <v>75</v>
      </c>
      <c r="I17" s="14" t="s">
        <v>479</v>
      </c>
      <c r="J17" s="16">
        <v>257</v>
      </c>
      <c r="K17" s="14" t="s">
        <v>88</v>
      </c>
      <c r="L17" s="14" t="s">
        <v>319</v>
      </c>
      <c r="M17" s="14" t="s">
        <v>122</v>
      </c>
      <c r="N17" s="14" t="s">
        <v>151</v>
      </c>
      <c r="O17" s="14" t="s">
        <v>122</v>
      </c>
      <c r="P17" s="14" t="s">
        <v>151</v>
      </c>
      <c r="Q17" s="14" t="s">
        <v>583</v>
      </c>
      <c r="R17" s="14"/>
      <c r="S17" s="14"/>
    </row>
    <row r="18" spans="1:20" x14ac:dyDescent="0.35">
      <c r="A18" s="11">
        <v>43892</v>
      </c>
      <c r="B18" s="11">
        <v>43892</v>
      </c>
      <c r="C18" s="1">
        <v>1</v>
      </c>
      <c r="D18" s="14" t="s">
        <v>9</v>
      </c>
      <c r="F18" t="s">
        <v>10</v>
      </c>
      <c r="G18" s="14" t="s">
        <v>75</v>
      </c>
      <c r="I18" s="14" t="s">
        <v>479</v>
      </c>
      <c r="J18" s="16">
        <v>257</v>
      </c>
      <c r="K18" s="14" t="s">
        <v>89</v>
      </c>
      <c r="L18" s="14" t="s">
        <v>144</v>
      </c>
      <c r="M18" s="14" t="s">
        <v>121</v>
      </c>
      <c r="N18" s="14" t="s">
        <v>609</v>
      </c>
      <c r="O18" s="14" t="s">
        <v>121</v>
      </c>
      <c r="P18" s="14" t="s">
        <v>607</v>
      </c>
      <c r="Q18" s="14" t="s">
        <v>607</v>
      </c>
      <c r="R18" s="14"/>
      <c r="S18" s="14"/>
    </row>
    <row r="19" spans="1:20" x14ac:dyDescent="0.35">
      <c r="A19" s="11">
        <v>43892</v>
      </c>
      <c r="B19" s="11">
        <v>43892</v>
      </c>
      <c r="C19" s="1">
        <v>1</v>
      </c>
      <c r="D19" s="14" t="s">
        <v>9</v>
      </c>
      <c r="F19" t="s">
        <v>10</v>
      </c>
      <c r="G19" s="14" t="s">
        <v>75</v>
      </c>
      <c r="I19" s="14" t="s">
        <v>479</v>
      </c>
      <c r="J19" s="16">
        <v>257</v>
      </c>
      <c r="K19" s="14" t="s">
        <v>90</v>
      </c>
      <c r="L19" s="14" t="s">
        <v>594</v>
      </c>
      <c r="M19" s="14" t="s">
        <v>603</v>
      </c>
      <c r="N19" s="14" t="s">
        <v>93</v>
      </c>
      <c r="O19" s="14" t="s">
        <v>601</v>
      </c>
      <c r="P19" s="14" t="s">
        <v>599</v>
      </c>
      <c r="Q19" s="14" t="s">
        <v>598</v>
      </c>
      <c r="R19" s="14"/>
      <c r="S19" s="14"/>
    </row>
    <row r="20" spans="1:20" ht="40.5" customHeight="1" x14ac:dyDescent="0.35">
      <c r="A20" s="11">
        <v>43900</v>
      </c>
      <c r="B20" s="11">
        <v>43900</v>
      </c>
      <c r="C20" s="1">
        <v>1</v>
      </c>
      <c r="D20" s="14" t="s">
        <v>9</v>
      </c>
      <c r="F20" t="s">
        <v>10</v>
      </c>
      <c r="G20" s="14" t="s">
        <v>75</v>
      </c>
      <c r="I20" s="14" t="s">
        <v>479</v>
      </c>
      <c r="J20" s="16">
        <v>207</v>
      </c>
      <c r="K20" s="14" t="s">
        <v>88</v>
      </c>
      <c r="L20" s="14" t="s">
        <v>122</v>
      </c>
      <c r="M20" s="14" t="s">
        <v>154</v>
      </c>
      <c r="N20" s="14" t="s">
        <v>151</v>
      </c>
      <c r="O20" s="14" t="s">
        <v>122</v>
      </c>
      <c r="P20" s="14" t="s">
        <v>578</v>
      </c>
      <c r="Q20" s="14" t="s">
        <v>583</v>
      </c>
      <c r="R20" s="14"/>
      <c r="S20" s="14"/>
    </row>
    <row r="21" spans="1:20" ht="15.75" customHeight="1" x14ac:dyDescent="0.35">
      <c r="A21" s="11">
        <v>43900</v>
      </c>
      <c r="B21" s="11">
        <v>43900</v>
      </c>
      <c r="C21" s="1">
        <v>1</v>
      </c>
      <c r="D21" s="14" t="s">
        <v>9</v>
      </c>
      <c r="F21" t="s">
        <v>10</v>
      </c>
      <c r="G21" s="14" t="s">
        <v>75</v>
      </c>
      <c r="I21" s="14" t="s">
        <v>479</v>
      </c>
      <c r="J21" s="16">
        <v>207</v>
      </c>
      <c r="K21" s="14" t="s">
        <v>89</v>
      </c>
      <c r="L21" s="14" t="s">
        <v>144</v>
      </c>
      <c r="M21" s="14" t="s">
        <v>121</v>
      </c>
      <c r="N21" s="14" t="s">
        <v>609</v>
      </c>
      <c r="O21" s="14" t="s">
        <v>121</v>
      </c>
      <c r="P21" s="14" t="s">
        <v>578</v>
      </c>
      <c r="Q21" s="14" t="s">
        <v>607</v>
      </c>
      <c r="R21" s="14"/>
      <c r="S21" s="14"/>
    </row>
    <row r="22" spans="1:20" x14ac:dyDescent="0.35">
      <c r="A22" s="11">
        <v>43900</v>
      </c>
      <c r="B22" s="11">
        <v>43900</v>
      </c>
      <c r="C22" s="1">
        <v>1</v>
      </c>
      <c r="D22" s="14" t="s">
        <v>9</v>
      </c>
      <c r="F22" t="s">
        <v>10</v>
      </c>
      <c r="G22" s="14" t="s">
        <v>75</v>
      </c>
      <c r="I22" s="14" t="s">
        <v>479</v>
      </c>
      <c r="J22" s="16">
        <v>207</v>
      </c>
      <c r="K22" s="14" t="s">
        <v>90</v>
      </c>
      <c r="L22" s="14" t="s">
        <v>594</v>
      </c>
      <c r="M22" s="14" t="s">
        <v>93</v>
      </c>
      <c r="N22" s="14" t="s">
        <v>93</v>
      </c>
      <c r="O22" s="14" t="s">
        <v>601</v>
      </c>
      <c r="P22" s="14" t="s">
        <v>599</v>
      </c>
      <c r="Q22" s="14" t="s">
        <v>598</v>
      </c>
      <c r="R22" s="14"/>
      <c r="S22" s="14"/>
    </row>
    <row r="23" spans="1:20" x14ac:dyDescent="0.35">
      <c r="A23" s="11">
        <f>B23</f>
        <v>43840</v>
      </c>
      <c r="B23" s="8">
        <v>43840</v>
      </c>
      <c r="C23" s="1">
        <v>2</v>
      </c>
      <c r="D23" t="s">
        <v>9</v>
      </c>
      <c r="F23" t="s">
        <v>50</v>
      </c>
      <c r="G23" t="s">
        <v>75</v>
      </c>
      <c r="I23" t="s">
        <v>6</v>
      </c>
      <c r="J23">
        <v>30</v>
      </c>
      <c r="K23" t="s">
        <v>88</v>
      </c>
      <c r="L23" t="s">
        <v>122</v>
      </c>
      <c r="M23" t="s">
        <v>122</v>
      </c>
      <c r="N23" t="s">
        <v>109</v>
      </c>
      <c r="O23" t="s">
        <v>127</v>
      </c>
      <c r="P23" t="s">
        <v>128</v>
      </c>
      <c r="Q23" t="s">
        <v>96</v>
      </c>
      <c r="R23" t="s">
        <v>132</v>
      </c>
      <c r="S23" t="s">
        <v>100</v>
      </c>
      <c r="T23" t="s">
        <v>91</v>
      </c>
    </row>
    <row r="24" spans="1:20" x14ac:dyDescent="0.35">
      <c r="A24" s="11">
        <f>B24</f>
        <v>43840</v>
      </c>
      <c r="B24" s="8">
        <v>43840</v>
      </c>
      <c r="C24" s="1">
        <v>2</v>
      </c>
      <c r="D24" t="s">
        <v>9</v>
      </c>
      <c r="F24" t="s">
        <v>50</v>
      </c>
      <c r="G24" t="s">
        <v>75</v>
      </c>
      <c r="I24" t="s">
        <v>6</v>
      </c>
      <c r="J24">
        <v>30</v>
      </c>
      <c r="K24" t="s">
        <v>89</v>
      </c>
      <c r="L24" t="s">
        <v>123</v>
      </c>
      <c r="M24" t="s">
        <v>125</v>
      </c>
      <c r="N24" t="s">
        <v>110</v>
      </c>
      <c r="O24" t="s">
        <v>95</v>
      </c>
      <c r="P24" t="s">
        <v>129</v>
      </c>
      <c r="Q24" t="s">
        <v>131</v>
      </c>
      <c r="R24" t="s">
        <v>133</v>
      </c>
      <c r="S24" t="s">
        <v>134</v>
      </c>
      <c r="T24" t="s">
        <v>116</v>
      </c>
    </row>
    <row r="25" spans="1:20" x14ac:dyDescent="0.35">
      <c r="A25" s="11">
        <f>B25</f>
        <v>43840</v>
      </c>
      <c r="B25" s="8">
        <v>43840</v>
      </c>
      <c r="C25" s="1">
        <v>2</v>
      </c>
      <c r="D25" t="s">
        <v>9</v>
      </c>
      <c r="F25" t="s">
        <v>50</v>
      </c>
      <c r="G25" t="s">
        <v>75</v>
      </c>
      <c r="I25" t="s">
        <v>6</v>
      </c>
      <c r="J25">
        <v>30</v>
      </c>
      <c r="K25" t="s">
        <v>90</v>
      </c>
      <c r="L25" t="s">
        <v>124</v>
      </c>
      <c r="M25" t="s">
        <v>126</v>
      </c>
      <c r="N25" t="s">
        <v>93</v>
      </c>
      <c r="O25" t="s">
        <v>93</v>
      </c>
      <c r="P25" t="s">
        <v>130</v>
      </c>
      <c r="Q25" t="s">
        <v>93</v>
      </c>
      <c r="R25" t="s">
        <v>93</v>
      </c>
      <c r="S25" t="s">
        <v>93</v>
      </c>
      <c r="T25" t="s">
        <v>93</v>
      </c>
    </row>
    <row r="26" spans="1:20" x14ac:dyDescent="0.35">
      <c r="A26" s="13">
        <f t="shared" ref="A26:A34" si="0">DATE(VALUE(RIGHT(B26,4)), VALUE(MID(B26,4,1)), VALUE(LEFT(B26,2)))</f>
        <v>43848</v>
      </c>
      <c r="B26" s="8" t="s">
        <v>243</v>
      </c>
      <c r="C26" s="1">
        <v>2</v>
      </c>
      <c r="D26" t="s">
        <v>9</v>
      </c>
      <c r="F26" t="s">
        <v>50</v>
      </c>
      <c r="G26" t="s">
        <v>75</v>
      </c>
      <c r="I26" t="s">
        <v>217</v>
      </c>
      <c r="J26">
        <v>49</v>
      </c>
      <c r="K26" t="s">
        <v>88</v>
      </c>
      <c r="L26" t="s">
        <v>319</v>
      </c>
      <c r="M26" t="s">
        <v>252</v>
      </c>
      <c r="N26" t="s">
        <v>137</v>
      </c>
      <c r="O26" t="s">
        <v>122</v>
      </c>
      <c r="P26" t="s">
        <v>151</v>
      </c>
      <c r="Q26" t="s">
        <v>115</v>
      </c>
    </row>
    <row r="27" spans="1:20" x14ac:dyDescent="0.35">
      <c r="A27" s="13">
        <f t="shared" si="0"/>
        <v>43848</v>
      </c>
      <c r="B27" s="8" t="str">
        <f>B26</f>
        <v>18/1/2020</v>
      </c>
      <c r="C27" s="1">
        <v>2</v>
      </c>
      <c r="D27" t="s">
        <v>9</v>
      </c>
      <c r="F27" t="s">
        <v>50</v>
      </c>
      <c r="G27" t="s">
        <v>75</v>
      </c>
      <c r="I27" t="s">
        <v>217</v>
      </c>
      <c r="J27">
        <v>49</v>
      </c>
      <c r="K27" t="s">
        <v>89</v>
      </c>
      <c r="L27" t="s">
        <v>250</v>
      </c>
      <c r="M27" t="s">
        <v>253</v>
      </c>
      <c r="N27" t="s">
        <v>254</v>
      </c>
      <c r="O27" t="s">
        <v>219</v>
      </c>
      <c r="P27" t="s">
        <v>256</v>
      </c>
      <c r="Q27" t="s">
        <v>257</v>
      </c>
    </row>
    <row r="28" spans="1:20" x14ac:dyDescent="0.35">
      <c r="A28" s="13">
        <f t="shared" si="0"/>
        <v>43848</v>
      </c>
      <c r="B28" s="8" t="str">
        <f>B27</f>
        <v>18/1/2020</v>
      </c>
      <c r="C28" s="1">
        <v>2</v>
      </c>
      <c r="D28" t="s">
        <v>9</v>
      </c>
      <c r="F28" t="s">
        <v>50</v>
      </c>
      <c r="G28" t="s">
        <v>75</v>
      </c>
      <c r="I28" t="s">
        <v>217</v>
      </c>
      <c r="J28">
        <v>49</v>
      </c>
      <c r="K28" t="s">
        <v>90</v>
      </c>
      <c r="L28" t="s">
        <v>251</v>
      </c>
      <c r="M28" t="s">
        <v>106</v>
      </c>
      <c r="N28" t="s">
        <v>197</v>
      </c>
      <c r="O28" t="s">
        <v>255</v>
      </c>
      <c r="P28" t="s">
        <v>93</v>
      </c>
      <c r="Q28" t="s">
        <v>93</v>
      </c>
    </row>
    <row r="29" spans="1:20" x14ac:dyDescent="0.35">
      <c r="A29" s="13">
        <f t="shared" si="0"/>
        <v>43854</v>
      </c>
      <c r="B29" s="8" t="s">
        <v>296</v>
      </c>
      <c r="C29" s="1">
        <v>2</v>
      </c>
      <c r="D29" t="s">
        <v>9</v>
      </c>
      <c r="F29" t="s">
        <v>50</v>
      </c>
      <c r="G29" t="s">
        <v>75</v>
      </c>
      <c r="I29" t="s">
        <v>572</v>
      </c>
      <c r="J29">
        <v>44</v>
      </c>
      <c r="K29" t="s">
        <v>88</v>
      </c>
      <c r="L29" t="s">
        <v>319</v>
      </c>
      <c r="M29" t="s">
        <v>309</v>
      </c>
      <c r="N29" t="s">
        <v>275</v>
      </c>
      <c r="O29" t="s">
        <v>154</v>
      </c>
      <c r="P29" t="s">
        <v>311</v>
      </c>
      <c r="Q29" t="s">
        <v>96</v>
      </c>
      <c r="R29" t="s">
        <v>313</v>
      </c>
      <c r="S29" t="s">
        <v>270</v>
      </c>
      <c r="T29" t="s">
        <v>275</v>
      </c>
    </row>
    <row r="30" spans="1:20" x14ac:dyDescent="0.35">
      <c r="A30" s="13">
        <f t="shared" si="0"/>
        <v>43854</v>
      </c>
      <c r="B30" s="8" t="s">
        <v>296</v>
      </c>
      <c r="C30" s="1">
        <v>2</v>
      </c>
      <c r="D30" t="s">
        <v>9</v>
      </c>
      <c r="F30" t="s">
        <v>50</v>
      </c>
      <c r="G30" t="s">
        <v>75</v>
      </c>
      <c r="I30" t="s">
        <v>572</v>
      </c>
      <c r="J30">
        <v>44</v>
      </c>
      <c r="K30" t="s">
        <v>89</v>
      </c>
      <c r="L30" t="s">
        <v>218</v>
      </c>
      <c r="M30" t="s">
        <v>211</v>
      </c>
      <c r="N30" t="s">
        <v>95</v>
      </c>
      <c r="O30" t="s">
        <v>310</v>
      </c>
      <c r="P30" t="s">
        <v>308</v>
      </c>
      <c r="Q30" t="s">
        <v>312</v>
      </c>
      <c r="R30" t="s">
        <v>176</v>
      </c>
      <c r="S30" t="s">
        <v>116</v>
      </c>
      <c r="T30" t="s">
        <v>116</v>
      </c>
    </row>
    <row r="31" spans="1:20" x14ac:dyDescent="0.35">
      <c r="A31" s="13">
        <f t="shared" si="0"/>
        <v>43854</v>
      </c>
      <c r="B31" s="8" t="s">
        <v>296</v>
      </c>
      <c r="C31" s="1">
        <v>2</v>
      </c>
      <c r="D31" t="s">
        <v>9</v>
      </c>
      <c r="F31" t="s">
        <v>50</v>
      </c>
      <c r="G31" t="s">
        <v>75</v>
      </c>
      <c r="I31" t="s">
        <v>572</v>
      </c>
      <c r="J31">
        <v>44</v>
      </c>
      <c r="K31" t="s">
        <v>90</v>
      </c>
      <c r="L31" t="s">
        <v>86</v>
      </c>
      <c r="M31" t="s">
        <v>106</v>
      </c>
      <c r="N31" t="s">
        <v>93</v>
      </c>
      <c r="O31" t="s">
        <v>93</v>
      </c>
      <c r="P31" t="s">
        <v>93</v>
      </c>
      <c r="Q31" t="s">
        <v>93</v>
      </c>
      <c r="R31" t="s">
        <v>93</v>
      </c>
      <c r="S31" t="s">
        <v>93</v>
      </c>
      <c r="T31" t="s">
        <v>93</v>
      </c>
    </row>
    <row r="32" spans="1:20" x14ac:dyDescent="0.35">
      <c r="A32" s="13">
        <f t="shared" si="0"/>
        <v>43861</v>
      </c>
      <c r="B32" s="8" t="s">
        <v>344</v>
      </c>
      <c r="C32" s="1">
        <v>2</v>
      </c>
      <c r="D32" t="s">
        <v>9</v>
      </c>
      <c r="F32" t="s">
        <v>50</v>
      </c>
      <c r="G32" t="s">
        <v>75</v>
      </c>
      <c r="I32" t="s">
        <v>217</v>
      </c>
      <c r="J32">
        <v>267</v>
      </c>
      <c r="K32" t="s">
        <v>88</v>
      </c>
      <c r="L32" t="s">
        <v>111</v>
      </c>
      <c r="M32" t="s">
        <v>122</v>
      </c>
      <c r="N32" t="s">
        <v>145</v>
      </c>
      <c r="O32" t="s">
        <v>400</v>
      </c>
      <c r="P32" t="s">
        <v>222</v>
      </c>
      <c r="Q32" t="s">
        <v>150</v>
      </c>
      <c r="R32" t="s">
        <v>401</v>
      </c>
      <c r="S32" t="s">
        <v>178</v>
      </c>
      <c r="T32" t="s">
        <v>122</v>
      </c>
    </row>
    <row r="33" spans="1:20" x14ac:dyDescent="0.35">
      <c r="A33" s="13">
        <f t="shared" si="0"/>
        <v>43861</v>
      </c>
      <c r="B33" s="8" t="str">
        <f>B32</f>
        <v>31/1/2020</v>
      </c>
      <c r="C33" s="1">
        <v>2</v>
      </c>
      <c r="D33" t="s">
        <v>9</v>
      </c>
      <c r="F33" t="s">
        <v>50</v>
      </c>
      <c r="G33" t="s">
        <v>75</v>
      </c>
      <c r="I33" t="s">
        <v>217</v>
      </c>
      <c r="J33">
        <v>267</v>
      </c>
      <c r="K33" t="s">
        <v>89</v>
      </c>
      <c r="L33" t="s">
        <v>144</v>
      </c>
      <c r="M33" t="s">
        <v>121</v>
      </c>
      <c r="N33" t="s">
        <v>399</v>
      </c>
      <c r="O33" t="s">
        <v>272</v>
      </c>
      <c r="P33" t="s">
        <v>116</v>
      </c>
      <c r="Q33" t="s">
        <v>116</v>
      </c>
      <c r="R33" t="s">
        <v>402</v>
      </c>
      <c r="S33" t="s">
        <v>403</v>
      </c>
      <c r="T33" t="s">
        <v>404</v>
      </c>
    </row>
    <row r="34" spans="1:20" x14ac:dyDescent="0.35">
      <c r="A34" s="13">
        <f t="shared" si="0"/>
        <v>43861</v>
      </c>
      <c r="B34" s="8" t="str">
        <f>B33</f>
        <v>31/1/2020</v>
      </c>
      <c r="C34" s="1">
        <v>2</v>
      </c>
      <c r="D34" t="s">
        <v>9</v>
      </c>
      <c r="F34" t="s">
        <v>50</v>
      </c>
      <c r="G34" t="s">
        <v>75</v>
      </c>
      <c r="I34" t="s">
        <v>217</v>
      </c>
      <c r="J34">
        <v>267</v>
      </c>
      <c r="K34" t="s">
        <v>90</v>
      </c>
      <c r="L34" t="s">
        <v>398</v>
      </c>
      <c r="M34" t="s">
        <v>106</v>
      </c>
      <c r="N34" t="s">
        <v>93</v>
      </c>
      <c r="O34" t="s">
        <v>93</v>
      </c>
      <c r="P34" t="s">
        <v>93</v>
      </c>
      <c r="Q34" t="s">
        <v>93</v>
      </c>
      <c r="R34" t="s">
        <v>93</v>
      </c>
      <c r="S34" t="s">
        <v>86</v>
      </c>
      <c r="T34" t="s">
        <v>106</v>
      </c>
    </row>
    <row r="35" spans="1:20" x14ac:dyDescent="0.35">
      <c r="A35" s="13">
        <v>43868</v>
      </c>
      <c r="B35" s="8">
        <v>43868</v>
      </c>
      <c r="C35" s="1">
        <v>2</v>
      </c>
      <c r="D35" t="s">
        <v>9</v>
      </c>
      <c r="F35" t="s">
        <v>764</v>
      </c>
      <c r="G35" t="s">
        <v>75</v>
      </c>
      <c r="I35" t="s">
        <v>217</v>
      </c>
      <c r="J35">
        <v>290</v>
      </c>
      <c r="K35" t="s">
        <v>88</v>
      </c>
      <c r="L35" t="s">
        <v>765</v>
      </c>
      <c r="M35" t="s">
        <v>766</v>
      </c>
      <c r="N35" t="s">
        <v>379</v>
      </c>
      <c r="O35" t="s">
        <v>767</v>
      </c>
      <c r="P35" t="s">
        <v>768</v>
      </c>
      <c r="Q35" t="s">
        <v>769</v>
      </c>
      <c r="R35" t="s">
        <v>91</v>
      </c>
      <c r="S35" t="s">
        <v>150</v>
      </c>
      <c r="T35" t="s">
        <v>770</v>
      </c>
    </row>
    <row r="36" spans="1:20" x14ac:dyDescent="0.35">
      <c r="A36" s="13">
        <v>43868</v>
      </c>
      <c r="B36" s="8">
        <v>43868</v>
      </c>
      <c r="C36" s="1">
        <v>2</v>
      </c>
      <c r="D36" t="s">
        <v>9</v>
      </c>
      <c r="F36" t="str">
        <f>F35</f>
        <v>MASABA LENARD</v>
      </c>
      <c r="G36" t="s">
        <v>75</v>
      </c>
      <c r="I36" t="s">
        <v>217</v>
      </c>
      <c r="J36">
        <v>290</v>
      </c>
      <c r="K36" t="s">
        <v>89</v>
      </c>
      <c r="L36" t="s">
        <v>771</v>
      </c>
      <c r="M36" t="s">
        <v>772</v>
      </c>
      <c r="N36" t="s">
        <v>773</v>
      </c>
      <c r="O36" t="s">
        <v>170</v>
      </c>
      <c r="P36" t="s">
        <v>176</v>
      </c>
      <c r="Q36" t="s">
        <v>774</v>
      </c>
      <c r="R36" t="s">
        <v>750</v>
      </c>
      <c r="S36" t="s">
        <v>750</v>
      </c>
      <c r="T36" t="s">
        <v>750</v>
      </c>
    </row>
    <row r="37" spans="1:20" x14ac:dyDescent="0.35">
      <c r="A37" s="13">
        <v>43868</v>
      </c>
      <c r="B37" s="8">
        <v>43868</v>
      </c>
      <c r="C37" s="1">
        <v>2</v>
      </c>
      <c r="D37" t="s">
        <v>9</v>
      </c>
      <c r="F37" t="str">
        <f>F36</f>
        <v>MASABA LENARD</v>
      </c>
      <c r="G37" t="s">
        <v>75</v>
      </c>
      <c r="I37" t="s">
        <v>217</v>
      </c>
      <c r="J37">
        <v>290</v>
      </c>
      <c r="K37" t="s">
        <v>90</v>
      </c>
      <c r="L37" t="s">
        <v>251</v>
      </c>
      <c r="M37" t="s">
        <v>93</v>
      </c>
      <c r="N37" t="s">
        <v>93</v>
      </c>
      <c r="O37" t="s">
        <v>775</v>
      </c>
      <c r="P37" t="s">
        <v>106</v>
      </c>
      <c r="Q37" t="s">
        <v>93</v>
      </c>
      <c r="R37" t="s">
        <v>752</v>
      </c>
      <c r="S37" t="s">
        <v>752</v>
      </c>
      <c r="T37" t="s">
        <v>752</v>
      </c>
    </row>
    <row r="38" spans="1:20" s="16" customFormat="1" x14ac:dyDescent="0.35">
      <c r="A38" s="13">
        <v>43875</v>
      </c>
      <c r="B38" s="8">
        <v>43875</v>
      </c>
      <c r="C38" s="1">
        <f>VLOOKUP(F38,Motorcycles!$C$2:$L$35,10,0)</f>
        <v>2</v>
      </c>
      <c r="D38" t="s">
        <v>9</v>
      </c>
      <c r="E38"/>
      <c r="F38" s="1" t="s">
        <v>50</v>
      </c>
      <c r="G38" t="s">
        <v>75</v>
      </c>
      <c r="H38"/>
      <c r="I38" t="s">
        <v>479</v>
      </c>
      <c r="J38">
        <v>297</v>
      </c>
      <c r="K38" t="s">
        <v>88</v>
      </c>
      <c r="L38" t="s">
        <v>122</v>
      </c>
      <c r="M38" t="s">
        <v>575</v>
      </c>
      <c r="N38" t="s">
        <v>151</v>
      </c>
      <c r="O38" t="s">
        <v>319</v>
      </c>
      <c r="P38" t="s">
        <v>151</v>
      </c>
      <c r="Q38" t="s">
        <v>585</v>
      </c>
      <c r="R38"/>
      <c r="S38"/>
      <c r="T38"/>
    </row>
    <row r="39" spans="1:20" s="16" customFormat="1" x14ac:dyDescent="0.35">
      <c r="A39" s="13">
        <v>43875</v>
      </c>
      <c r="B39" s="8">
        <v>43875</v>
      </c>
      <c r="C39" s="1">
        <f>VLOOKUP(F39,Motorcycles!$C$2:$L$35,10,0)</f>
        <v>2</v>
      </c>
      <c r="D39" t="s">
        <v>9</v>
      </c>
      <c r="E39"/>
      <c r="F39" t="str">
        <f>F38</f>
        <v>Masaba leonard</v>
      </c>
      <c r="G39" t="s">
        <v>75</v>
      </c>
      <c r="H39"/>
      <c r="I39" t="s">
        <v>479</v>
      </c>
      <c r="J39">
        <v>297</v>
      </c>
      <c r="K39" t="s">
        <v>89</v>
      </c>
      <c r="L39" t="s">
        <v>144</v>
      </c>
      <c r="M39" t="s">
        <v>121</v>
      </c>
      <c r="N39" t="s">
        <v>609</v>
      </c>
      <c r="O39" t="s">
        <v>607</v>
      </c>
      <c r="P39" t="s">
        <v>607</v>
      </c>
      <c r="Q39" t="s">
        <v>593</v>
      </c>
      <c r="R39"/>
      <c r="S39"/>
      <c r="T39"/>
    </row>
    <row r="40" spans="1:20" s="16" customFormat="1" x14ac:dyDescent="0.35">
      <c r="A40" s="13">
        <v>43875</v>
      </c>
      <c r="B40" s="8">
        <v>43875</v>
      </c>
      <c r="C40" s="1">
        <f>VLOOKUP(F40,Motorcycles!$C$2:$L$35,10,0)</f>
        <v>2</v>
      </c>
      <c r="D40" t="s">
        <v>9</v>
      </c>
      <c r="E40"/>
      <c r="F40" t="str">
        <f>F39</f>
        <v>Masaba leonard</v>
      </c>
      <c r="G40" t="s">
        <v>75</v>
      </c>
      <c r="H40"/>
      <c r="I40" t="s">
        <v>479</v>
      </c>
      <c r="J40">
        <v>297</v>
      </c>
      <c r="K40" t="s">
        <v>90</v>
      </c>
      <c r="L40" t="s">
        <v>594</v>
      </c>
      <c r="M40" t="s">
        <v>603</v>
      </c>
      <c r="N40" t="s">
        <v>93</v>
      </c>
      <c r="O40" t="s">
        <v>93</v>
      </c>
      <c r="P40" t="s">
        <v>93</v>
      </c>
      <c r="Q40" t="s">
        <v>596</v>
      </c>
      <c r="R40"/>
      <c r="S40"/>
      <c r="T40"/>
    </row>
    <row r="41" spans="1:20" x14ac:dyDescent="0.35">
      <c r="A41" s="13">
        <v>43877</v>
      </c>
      <c r="B41" s="8">
        <v>43877</v>
      </c>
      <c r="C41" s="1">
        <f>VLOOKUP(F41,Motorcycles!$C$2:$L$35,10,0)</f>
        <v>2</v>
      </c>
      <c r="D41" t="s">
        <v>9</v>
      </c>
      <c r="F41" s="1" t="s">
        <v>50</v>
      </c>
      <c r="G41" t="s">
        <v>75</v>
      </c>
      <c r="I41" t="s">
        <v>479</v>
      </c>
      <c r="J41">
        <v>223</v>
      </c>
      <c r="K41" t="s">
        <v>88</v>
      </c>
      <c r="L41" t="s">
        <v>575</v>
      </c>
      <c r="M41" t="s">
        <v>319</v>
      </c>
      <c r="N41" t="s">
        <v>151</v>
      </c>
      <c r="O41" t="s">
        <v>154</v>
      </c>
      <c r="P41" t="s">
        <v>151</v>
      </c>
      <c r="Q41" t="s">
        <v>583</v>
      </c>
    </row>
    <row r="42" spans="1:20" x14ac:dyDescent="0.35">
      <c r="A42" s="13">
        <v>43877</v>
      </c>
      <c r="B42" s="8">
        <v>43877</v>
      </c>
      <c r="C42" s="1">
        <f>VLOOKUP(F42,Motorcycles!$C$2:$L$35,10,0)</f>
        <v>2</v>
      </c>
      <c r="D42" t="s">
        <v>9</v>
      </c>
      <c r="F42" t="str">
        <f>F41</f>
        <v>Masaba leonard</v>
      </c>
      <c r="G42" t="s">
        <v>75</v>
      </c>
      <c r="I42" t="s">
        <v>479</v>
      </c>
      <c r="J42">
        <v>223</v>
      </c>
      <c r="K42" t="s">
        <v>89</v>
      </c>
      <c r="L42" t="s">
        <v>144</v>
      </c>
      <c r="M42" t="s">
        <v>607</v>
      </c>
      <c r="N42" t="s">
        <v>609</v>
      </c>
      <c r="O42" t="s">
        <v>607</v>
      </c>
      <c r="P42" t="s">
        <v>606</v>
      </c>
      <c r="Q42" t="s">
        <v>607</v>
      </c>
    </row>
    <row r="43" spans="1:20" x14ac:dyDescent="0.35">
      <c r="A43" s="13">
        <v>43877</v>
      </c>
      <c r="B43" s="8">
        <v>43877</v>
      </c>
      <c r="C43" s="1">
        <f>VLOOKUP(F43,Motorcycles!$C$2:$L$35,10,0)</f>
        <v>2</v>
      </c>
      <c r="D43" t="s">
        <v>9</v>
      </c>
      <c r="F43" t="str">
        <f>F42</f>
        <v>Masaba leonard</v>
      </c>
      <c r="G43" t="s">
        <v>75</v>
      </c>
      <c r="I43" t="s">
        <v>479</v>
      </c>
      <c r="J43">
        <v>223</v>
      </c>
      <c r="K43" t="s">
        <v>90</v>
      </c>
      <c r="L43" t="s">
        <v>594</v>
      </c>
      <c r="M43" t="s">
        <v>93</v>
      </c>
      <c r="N43" t="s">
        <v>93</v>
      </c>
      <c r="O43" t="s">
        <v>93</v>
      </c>
      <c r="P43" t="s">
        <v>93</v>
      </c>
      <c r="Q43" t="s">
        <v>598</v>
      </c>
    </row>
    <row r="44" spans="1:20" x14ac:dyDescent="0.35">
      <c r="A44" s="11">
        <v>43884</v>
      </c>
      <c r="B44" s="11">
        <v>43884</v>
      </c>
      <c r="C44" s="1">
        <v>2</v>
      </c>
      <c r="D44" s="14" t="s">
        <v>9</v>
      </c>
      <c r="F44" t="s">
        <v>50</v>
      </c>
      <c r="G44" s="14" t="s">
        <v>75</v>
      </c>
      <c r="I44" s="14" t="s">
        <v>479</v>
      </c>
      <c r="J44" s="16">
        <v>246</v>
      </c>
      <c r="K44" s="14" t="s">
        <v>88</v>
      </c>
      <c r="L44" s="14" t="s">
        <v>122</v>
      </c>
      <c r="M44" s="14" t="s">
        <v>319</v>
      </c>
      <c r="N44" s="14" t="s">
        <v>151</v>
      </c>
      <c r="O44" s="14" t="s">
        <v>319</v>
      </c>
      <c r="P44" s="14" t="s">
        <v>151</v>
      </c>
      <c r="Q44" s="14" t="s">
        <v>583</v>
      </c>
      <c r="R44" s="14"/>
      <c r="S44" s="14"/>
    </row>
    <row r="45" spans="1:20" x14ac:dyDescent="0.35">
      <c r="A45" s="11">
        <v>43884</v>
      </c>
      <c r="B45" s="11">
        <v>43884</v>
      </c>
      <c r="C45" s="1">
        <v>2</v>
      </c>
      <c r="D45" s="14" t="s">
        <v>9</v>
      </c>
      <c r="F45" t="s">
        <v>50</v>
      </c>
      <c r="G45" s="14" t="s">
        <v>75</v>
      </c>
      <c r="I45" s="14" t="s">
        <v>479</v>
      </c>
      <c r="J45" s="16">
        <v>246</v>
      </c>
      <c r="K45" s="14" t="s">
        <v>89</v>
      </c>
      <c r="L45" s="14" t="s">
        <v>144</v>
      </c>
      <c r="M45" s="14" t="s">
        <v>607</v>
      </c>
      <c r="N45" s="14" t="s">
        <v>609</v>
      </c>
      <c r="O45" s="14" t="s">
        <v>607</v>
      </c>
      <c r="P45" s="14" t="s">
        <v>607</v>
      </c>
      <c r="Q45" s="14" t="s">
        <v>607</v>
      </c>
      <c r="R45" s="14"/>
      <c r="S45" s="14"/>
    </row>
    <row r="46" spans="1:20" x14ac:dyDescent="0.35">
      <c r="A46" s="11">
        <v>43884</v>
      </c>
      <c r="B46" s="11">
        <v>43884</v>
      </c>
      <c r="C46" s="1">
        <v>2</v>
      </c>
      <c r="D46" s="14" t="s">
        <v>9</v>
      </c>
      <c r="F46" t="s">
        <v>50</v>
      </c>
      <c r="G46" s="14" t="s">
        <v>75</v>
      </c>
      <c r="I46" s="14" t="s">
        <v>479</v>
      </c>
      <c r="J46" s="16">
        <v>246</v>
      </c>
      <c r="K46" s="14" t="s">
        <v>90</v>
      </c>
      <c r="L46" s="14" t="s">
        <v>594</v>
      </c>
      <c r="M46" s="14" t="s">
        <v>599</v>
      </c>
      <c r="N46" s="14" t="s">
        <v>93</v>
      </c>
      <c r="O46" s="14" t="s">
        <v>599</v>
      </c>
      <c r="P46" s="14" t="s">
        <v>599</v>
      </c>
      <c r="Q46" s="14" t="s">
        <v>598</v>
      </c>
      <c r="R46" s="14"/>
      <c r="S46" s="14"/>
    </row>
    <row r="47" spans="1:20" x14ac:dyDescent="0.35">
      <c r="A47" s="11">
        <v>43894</v>
      </c>
      <c r="B47" s="11">
        <v>43894</v>
      </c>
      <c r="C47" s="1">
        <v>2</v>
      </c>
      <c r="D47" s="14" t="s">
        <v>9</v>
      </c>
      <c r="F47" t="s">
        <v>50</v>
      </c>
      <c r="G47" s="14" t="s">
        <v>11</v>
      </c>
      <c r="I47" s="14" t="s">
        <v>479</v>
      </c>
      <c r="J47" s="16">
        <v>228</v>
      </c>
      <c r="K47" s="14" t="s">
        <v>88</v>
      </c>
      <c r="L47" s="14" t="s">
        <v>575</v>
      </c>
      <c r="M47" s="14" t="s">
        <v>575</v>
      </c>
      <c r="N47" s="14" t="s">
        <v>577</v>
      </c>
      <c r="O47" s="14" t="s">
        <v>319</v>
      </c>
      <c r="P47" s="14" t="s">
        <v>578</v>
      </c>
      <c r="Q47" s="14" t="s">
        <v>178</v>
      </c>
      <c r="R47" s="14"/>
      <c r="S47" s="14"/>
    </row>
    <row r="48" spans="1:20" x14ac:dyDescent="0.35">
      <c r="A48" s="11">
        <v>43894</v>
      </c>
      <c r="B48" s="11">
        <v>43894</v>
      </c>
      <c r="C48" s="1">
        <v>2</v>
      </c>
      <c r="D48" s="14" t="s">
        <v>9</v>
      </c>
      <c r="F48" t="s">
        <v>50</v>
      </c>
      <c r="G48" s="14" t="s">
        <v>11</v>
      </c>
      <c r="I48" s="14" t="s">
        <v>479</v>
      </c>
      <c r="J48" s="16">
        <v>228</v>
      </c>
      <c r="K48" s="14" t="s">
        <v>89</v>
      </c>
      <c r="L48" s="14" t="s">
        <v>144</v>
      </c>
      <c r="M48" s="14" t="s">
        <v>121</v>
      </c>
      <c r="N48" s="14" t="s">
        <v>587</v>
      </c>
      <c r="O48" s="14" t="s">
        <v>604</v>
      </c>
      <c r="P48" s="14" t="s">
        <v>606</v>
      </c>
      <c r="Q48" s="14" t="s">
        <v>592</v>
      </c>
      <c r="R48" s="14"/>
      <c r="S48" s="14"/>
    </row>
    <row r="49" spans="1:20" x14ac:dyDescent="0.35">
      <c r="A49" s="11">
        <v>43894</v>
      </c>
      <c r="B49" s="11">
        <v>43894</v>
      </c>
      <c r="C49" s="1">
        <v>2</v>
      </c>
      <c r="D49" s="14" t="s">
        <v>9</v>
      </c>
      <c r="F49" t="s">
        <v>50</v>
      </c>
      <c r="G49" s="14" t="s">
        <v>11</v>
      </c>
      <c r="I49" s="14" t="s">
        <v>479</v>
      </c>
      <c r="J49" s="16">
        <v>228</v>
      </c>
      <c r="K49" s="14" t="s">
        <v>90</v>
      </c>
      <c r="L49" s="14" t="s">
        <v>594</v>
      </c>
      <c r="M49" s="14" t="s">
        <v>603</v>
      </c>
      <c r="N49" s="14" t="s">
        <v>602</v>
      </c>
      <c r="O49" s="14" t="s">
        <v>93</v>
      </c>
      <c r="P49" s="14" t="s">
        <v>599</v>
      </c>
      <c r="Q49" s="14" t="s">
        <v>597</v>
      </c>
      <c r="R49" s="14"/>
      <c r="S49" s="14"/>
    </row>
    <row r="50" spans="1:20" x14ac:dyDescent="0.35">
      <c r="A50" s="11">
        <f>B50</f>
        <v>43842</v>
      </c>
      <c r="B50" s="8">
        <v>43842</v>
      </c>
      <c r="C50" s="1">
        <v>3</v>
      </c>
      <c r="D50" t="s">
        <v>9</v>
      </c>
      <c r="F50" t="s">
        <v>16</v>
      </c>
      <c r="G50" t="s">
        <v>75</v>
      </c>
      <c r="I50" t="s">
        <v>6</v>
      </c>
      <c r="J50">
        <v>28</v>
      </c>
      <c r="K50" t="s">
        <v>88</v>
      </c>
      <c r="L50" t="s">
        <v>122</v>
      </c>
      <c r="M50" t="s">
        <v>108</v>
      </c>
      <c r="N50" t="s">
        <v>109</v>
      </c>
      <c r="O50" t="s">
        <v>111</v>
      </c>
      <c r="P50" t="s">
        <v>113</v>
      </c>
      <c r="Q50" t="s">
        <v>115</v>
      </c>
      <c r="R50" t="s">
        <v>117</v>
      </c>
      <c r="S50" t="s">
        <v>119</v>
      </c>
      <c r="T50" t="s">
        <v>120</v>
      </c>
    </row>
    <row r="51" spans="1:20" x14ac:dyDescent="0.35">
      <c r="A51" s="11">
        <f>B51</f>
        <v>43842</v>
      </c>
      <c r="B51" s="8">
        <v>43842</v>
      </c>
      <c r="C51" s="1">
        <v>3</v>
      </c>
      <c r="D51" t="s">
        <v>9</v>
      </c>
      <c r="F51" t="s">
        <v>16</v>
      </c>
      <c r="G51" t="s">
        <v>75</v>
      </c>
      <c r="I51" t="s">
        <v>6</v>
      </c>
      <c r="J51">
        <v>28</v>
      </c>
      <c r="K51" t="s">
        <v>89</v>
      </c>
      <c r="L51" t="s">
        <v>107</v>
      </c>
      <c r="M51" t="s">
        <v>85</v>
      </c>
      <c r="N51" t="s">
        <v>110</v>
      </c>
      <c r="O51" t="s">
        <v>112</v>
      </c>
      <c r="P51" t="s">
        <v>85</v>
      </c>
      <c r="Q51" t="s">
        <v>116</v>
      </c>
      <c r="R51" t="s">
        <v>118</v>
      </c>
      <c r="S51" t="s">
        <v>116</v>
      </c>
      <c r="T51" t="s">
        <v>121</v>
      </c>
    </row>
    <row r="52" spans="1:20" x14ac:dyDescent="0.35">
      <c r="A52" s="11">
        <f>B52</f>
        <v>43842</v>
      </c>
      <c r="B52" s="8">
        <v>43842</v>
      </c>
      <c r="C52" s="1">
        <v>3</v>
      </c>
      <c r="D52" t="s">
        <v>9</v>
      </c>
      <c r="F52" t="s">
        <v>16</v>
      </c>
      <c r="G52" t="s">
        <v>75</v>
      </c>
      <c r="I52" t="s">
        <v>6</v>
      </c>
      <c r="J52">
        <v>28</v>
      </c>
      <c r="K52" t="s">
        <v>90</v>
      </c>
      <c r="L52" t="s">
        <v>86</v>
      </c>
      <c r="M52" t="s">
        <v>106</v>
      </c>
      <c r="N52" t="s">
        <v>93</v>
      </c>
      <c r="O52" t="s">
        <v>106</v>
      </c>
      <c r="P52" t="s">
        <v>114</v>
      </c>
      <c r="Q52" t="s">
        <v>93</v>
      </c>
      <c r="R52" t="s">
        <v>93</v>
      </c>
      <c r="S52" t="s">
        <v>93</v>
      </c>
      <c r="T52" t="s">
        <v>106</v>
      </c>
    </row>
    <row r="53" spans="1:20" x14ac:dyDescent="0.35">
      <c r="A53" s="13">
        <f t="shared" ref="A53:A61" si="1">DATE(VALUE(RIGHT(B53,4)), VALUE(MID(B53,4,1)), VALUE(LEFT(B53,2)))</f>
        <v>43849</v>
      </c>
      <c r="B53" s="8" t="s">
        <v>240</v>
      </c>
      <c r="C53" s="1">
        <v>3</v>
      </c>
      <c r="D53" t="s">
        <v>9</v>
      </c>
      <c r="F53" t="s">
        <v>16</v>
      </c>
      <c r="G53" t="s">
        <v>75</v>
      </c>
      <c r="I53" t="s">
        <v>217</v>
      </c>
      <c r="J53">
        <v>42</v>
      </c>
      <c r="K53" t="s">
        <v>88</v>
      </c>
      <c r="L53" t="s">
        <v>122</v>
      </c>
      <c r="M53" t="s">
        <v>264</v>
      </c>
      <c r="N53" t="s">
        <v>265</v>
      </c>
      <c r="O53" t="s">
        <v>266</v>
      </c>
      <c r="P53" t="s">
        <v>268</v>
      </c>
      <c r="Q53" t="s">
        <v>96</v>
      </c>
    </row>
    <row r="54" spans="1:20" x14ac:dyDescent="0.35">
      <c r="A54" s="13">
        <f t="shared" si="1"/>
        <v>43849</v>
      </c>
      <c r="B54" s="8" t="str">
        <f>B53</f>
        <v>19/1/2020</v>
      </c>
      <c r="C54" s="1">
        <v>3</v>
      </c>
      <c r="D54" t="s">
        <v>9</v>
      </c>
      <c r="F54" t="s">
        <v>16</v>
      </c>
      <c r="G54" t="s">
        <v>75</v>
      </c>
      <c r="I54" t="s">
        <v>217</v>
      </c>
      <c r="J54">
        <v>42</v>
      </c>
      <c r="K54" t="s">
        <v>89</v>
      </c>
      <c r="L54" t="s">
        <v>85</v>
      </c>
      <c r="M54" t="s">
        <v>259</v>
      </c>
      <c r="N54" t="s">
        <v>165</v>
      </c>
      <c r="O54" t="s">
        <v>97</v>
      </c>
      <c r="P54" t="s">
        <v>205</v>
      </c>
      <c r="Q54" t="s">
        <v>95</v>
      </c>
    </row>
    <row r="55" spans="1:20" x14ac:dyDescent="0.35">
      <c r="A55" s="13">
        <f t="shared" si="1"/>
        <v>43849</v>
      </c>
      <c r="B55" s="8" t="str">
        <f>B54</f>
        <v>19/1/2020</v>
      </c>
      <c r="C55" s="1">
        <v>3</v>
      </c>
      <c r="D55" t="s">
        <v>9</v>
      </c>
      <c r="F55" t="s">
        <v>16</v>
      </c>
      <c r="G55" t="s">
        <v>75</v>
      </c>
      <c r="I55" t="s">
        <v>217</v>
      </c>
      <c r="J55">
        <v>42</v>
      </c>
      <c r="K55" t="s">
        <v>90</v>
      </c>
      <c r="L55" t="s">
        <v>86</v>
      </c>
      <c r="M55" t="s">
        <v>93</v>
      </c>
      <c r="N55" t="s">
        <v>93</v>
      </c>
      <c r="O55" t="s">
        <v>267</v>
      </c>
      <c r="P55" t="s">
        <v>93</v>
      </c>
      <c r="Q55" t="s">
        <v>93</v>
      </c>
    </row>
    <row r="56" spans="1:20" x14ac:dyDescent="0.35">
      <c r="A56" s="13">
        <f t="shared" si="1"/>
        <v>43854</v>
      </c>
      <c r="B56" s="8" t="s">
        <v>269</v>
      </c>
      <c r="C56" s="1">
        <v>3</v>
      </c>
      <c r="D56" t="s">
        <v>9</v>
      </c>
      <c r="F56" t="s">
        <v>16</v>
      </c>
      <c r="G56" t="s">
        <v>75</v>
      </c>
      <c r="I56" t="s">
        <v>217</v>
      </c>
      <c r="J56">
        <v>11</v>
      </c>
      <c r="K56" t="s">
        <v>88</v>
      </c>
      <c r="L56" t="s">
        <v>122</v>
      </c>
      <c r="M56" t="s">
        <v>270</v>
      </c>
      <c r="N56" t="s">
        <v>270</v>
      </c>
      <c r="O56" t="s">
        <v>119</v>
      </c>
      <c r="P56" t="s">
        <v>200</v>
      </c>
      <c r="Q56" t="s">
        <v>178</v>
      </c>
    </row>
    <row r="57" spans="1:20" x14ac:dyDescent="0.35">
      <c r="A57" s="13">
        <f t="shared" si="1"/>
        <v>43854</v>
      </c>
      <c r="B57" s="8" t="str">
        <f>B56</f>
        <v>24/1/2020</v>
      </c>
      <c r="C57" s="1">
        <v>3</v>
      </c>
      <c r="D57" t="s">
        <v>9</v>
      </c>
      <c r="F57" t="s">
        <v>16</v>
      </c>
      <c r="G57" t="s">
        <v>75</v>
      </c>
      <c r="I57" t="s">
        <v>217</v>
      </c>
      <c r="J57">
        <v>11</v>
      </c>
      <c r="K57" t="s">
        <v>89</v>
      </c>
      <c r="L57" t="s">
        <v>85</v>
      </c>
      <c r="M57" t="s">
        <v>271</v>
      </c>
      <c r="N57" t="s">
        <v>95</v>
      </c>
      <c r="O57" t="s">
        <v>116</v>
      </c>
      <c r="P57" t="s">
        <v>272</v>
      </c>
      <c r="Q57" t="s">
        <v>144</v>
      </c>
    </row>
    <row r="58" spans="1:20" x14ac:dyDescent="0.35">
      <c r="A58" s="13">
        <f t="shared" si="1"/>
        <v>43854</v>
      </c>
      <c r="B58" s="8" t="str">
        <f>B57</f>
        <v>24/1/2020</v>
      </c>
      <c r="C58" s="1">
        <v>3</v>
      </c>
      <c r="D58" t="s">
        <v>9</v>
      </c>
      <c r="F58" t="s">
        <v>16</v>
      </c>
      <c r="G58" t="s">
        <v>75</v>
      </c>
      <c r="I58" t="s">
        <v>217</v>
      </c>
      <c r="J58">
        <v>11</v>
      </c>
      <c r="K58" t="s">
        <v>90</v>
      </c>
      <c r="L58" t="s">
        <v>86</v>
      </c>
      <c r="M58" t="s">
        <v>93</v>
      </c>
      <c r="N58" t="s">
        <v>93</v>
      </c>
      <c r="O58" t="s">
        <v>93</v>
      </c>
      <c r="P58" t="s">
        <v>93</v>
      </c>
    </row>
    <row r="59" spans="1:20" x14ac:dyDescent="0.35">
      <c r="A59" s="13">
        <f t="shared" si="1"/>
        <v>43861</v>
      </c>
      <c r="B59" s="8" t="s">
        <v>344</v>
      </c>
      <c r="C59" s="1">
        <v>3</v>
      </c>
      <c r="D59" t="s">
        <v>9</v>
      </c>
      <c r="F59" t="s">
        <v>16</v>
      </c>
      <c r="G59" t="s">
        <v>75</v>
      </c>
      <c r="I59" t="s">
        <v>217</v>
      </c>
      <c r="J59">
        <v>54</v>
      </c>
      <c r="K59" t="s">
        <v>88</v>
      </c>
      <c r="L59" t="s">
        <v>111</v>
      </c>
      <c r="M59" t="s">
        <v>270</v>
      </c>
      <c r="N59" t="s">
        <v>374</v>
      </c>
      <c r="O59" t="s">
        <v>111</v>
      </c>
      <c r="P59" t="s">
        <v>100</v>
      </c>
      <c r="Q59" t="s">
        <v>376</v>
      </c>
      <c r="R59" t="s">
        <v>372</v>
      </c>
      <c r="S59" t="s">
        <v>378</v>
      </c>
      <c r="T59" t="s">
        <v>379</v>
      </c>
    </row>
    <row r="60" spans="1:20" x14ac:dyDescent="0.35">
      <c r="A60" s="13">
        <f t="shared" si="1"/>
        <v>43861</v>
      </c>
      <c r="B60" s="8" t="str">
        <f>B59</f>
        <v>31/1/2020</v>
      </c>
      <c r="C60" s="1">
        <v>3</v>
      </c>
      <c r="D60" t="s">
        <v>9</v>
      </c>
      <c r="F60" t="s">
        <v>16</v>
      </c>
      <c r="G60" t="s">
        <v>75</v>
      </c>
      <c r="I60" t="s">
        <v>217</v>
      </c>
      <c r="J60">
        <v>54</v>
      </c>
      <c r="K60" t="s">
        <v>89</v>
      </c>
      <c r="L60" t="s">
        <v>373</v>
      </c>
      <c r="M60" t="s">
        <v>271</v>
      </c>
      <c r="N60" t="s">
        <v>375</v>
      </c>
      <c r="O60" t="s">
        <v>121</v>
      </c>
      <c r="P60" t="s">
        <v>116</v>
      </c>
      <c r="Q60" t="s">
        <v>377</v>
      </c>
      <c r="R60" t="s">
        <v>116</v>
      </c>
      <c r="S60" t="s">
        <v>188</v>
      </c>
      <c r="T60" t="s">
        <v>367</v>
      </c>
    </row>
    <row r="61" spans="1:20" x14ac:dyDescent="0.35">
      <c r="A61" s="13">
        <f t="shared" si="1"/>
        <v>43861</v>
      </c>
      <c r="B61" s="8" t="str">
        <f>B60</f>
        <v>31/1/2020</v>
      </c>
      <c r="C61" s="1">
        <v>3</v>
      </c>
      <c r="D61" t="s">
        <v>9</v>
      </c>
      <c r="F61" t="s">
        <v>16</v>
      </c>
      <c r="G61" t="s">
        <v>75</v>
      </c>
      <c r="I61" t="s">
        <v>217</v>
      </c>
      <c r="J61">
        <v>54</v>
      </c>
      <c r="K61" t="s">
        <v>90</v>
      </c>
      <c r="L61" t="s">
        <v>86</v>
      </c>
      <c r="M61" t="s">
        <v>93</v>
      </c>
      <c r="N61" t="s">
        <v>93</v>
      </c>
      <c r="O61" t="s">
        <v>106</v>
      </c>
      <c r="P61" t="s">
        <v>93</v>
      </c>
      <c r="Q61" t="s">
        <v>86</v>
      </c>
      <c r="R61" t="s">
        <v>93</v>
      </c>
      <c r="S61" t="s">
        <v>93</v>
      </c>
      <c r="T61" t="s">
        <v>93</v>
      </c>
    </row>
    <row r="62" spans="1:20" x14ac:dyDescent="0.35">
      <c r="A62" s="13">
        <v>43868</v>
      </c>
      <c r="B62" s="8">
        <v>43868</v>
      </c>
      <c r="C62" s="1">
        <v>3</v>
      </c>
      <c r="D62" t="s">
        <v>9</v>
      </c>
      <c r="F62" t="s">
        <v>776</v>
      </c>
      <c r="G62" t="s">
        <v>75</v>
      </c>
      <c r="I62" t="s">
        <v>479</v>
      </c>
      <c r="J62">
        <v>261</v>
      </c>
      <c r="K62" t="s">
        <v>88</v>
      </c>
      <c r="L62" t="s">
        <v>777</v>
      </c>
      <c r="M62" t="s">
        <v>91</v>
      </c>
      <c r="N62" t="s">
        <v>91</v>
      </c>
      <c r="O62" t="s">
        <v>147</v>
      </c>
      <c r="P62" t="s">
        <v>115</v>
      </c>
      <c r="Q62" t="s">
        <v>115</v>
      </c>
      <c r="R62" t="s">
        <v>744</v>
      </c>
      <c r="S62" t="s">
        <v>150</v>
      </c>
      <c r="T62" t="s">
        <v>778</v>
      </c>
    </row>
    <row r="63" spans="1:20" x14ac:dyDescent="0.35">
      <c r="A63" s="13">
        <v>43868</v>
      </c>
      <c r="B63" s="8">
        <v>43868</v>
      </c>
      <c r="C63" s="1">
        <v>3</v>
      </c>
      <c r="D63" t="s">
        <v>9</v>
      </c>
      <c r="F63" t="str">
        <f>F62</f>
        <v>Bwayo Rogers</v>
      </c>
      <c r="G63" t="s">
        <v>75</v>
      </c>
      <c r="I63" t="s">
        <v>479</v>
      </c>
      <c r="J63">
        <v>261</v>
      </c>
      <c r="K63" t="s">
        <v>89</v>
      </c>
      <c r="L63" t="s">
        <v>779</v>
      </c>
      <c r="M63" t="s">
        <v>780</v>
      </c>
      <c r="N63" t="s">
        <v>780</v>
      </c>
      <c r="O63" t="s">
        <v>781</v>
      </c>
      <c r="P63" t="s">
        <v>782</v>
      </c>
      <c r="Q63" t="s">
        <v>780</v>
      </c>
      <c r="R63" t="s">
        <v>751</v>
      </c>
      <c r="S63" t="s">
        <v>750</v>
      </c>
      <c r="T63" t="s">
        <v>783</v>
      </c>
    </row>
    <row r="64" spans="1:20" x14ac:dyDescent="0.35">
      <c r="A64" s="13">
        <v>43868</v>
      </c>
      <c r="B64" s="8">
        <v>43868</v>
      </c>
      <c r="C64" s="1">
        <v>3</v>
      </c>
      <c r="D64" t="s">
        <v>9</v>
      </c>
      <c r="F64" t="str">
        <f>F63</f>
        <v>Bwayo Rogers</v>
      </c>
      <c r="G64" t="s">
        <v>75</v>
      </c>
      <c r="I64" t="s">
        <v>479</v>
      </c>
      <c r="J64">
        <v>261</v>
      </c>
      <c r="K64" t="s">
        <v>90</v>
      </c>
      <c r="L64" t="s">
        <v>784</v>
      </c>
      <c r="M64" t="s">
        <v>785</v>
      </c>
      <c r="N64" t="s">
        <v>93</v>
      </c>
      <c r="O64" t="s">
        <v>106</v>
      </c>
      <c r="P64" t="s">
        <v>93</v>
      </c>
      <c r="Q64" t="s">
        <v>785</v>
      </c>
      <c r="R64" t="s">
        <v>752</v>
      </c>
      <c r="S64" t="s">
        <v>752</v>
      </c>
      <c r="T64" t="s">
        <v>752</v>
      </c>
    </row>
    <row r="65" spans="1:20" x14ac:dyDescent="0.35">
      <c r="A65" s="11">
        <v>43880</v>
      </c>
      <c r="B65" s="11">
        <v>43880</v>
      </c>
      <c r="C65" s="1">
        <v>3</v>
      </c>
      <c r="D65" s="14" t="s">
        <v>9</v>
      </c>
      <c r="F65" t="s">
        <v>16</v>
      </c>
      <c r="G65" s="14" t="s">
        <v>75</v>
      </c>
      <c r="I65" s="14" t="s">
        <v>479</v>
      </c>
      <c r="J65" s="16">
        <v>255</v>
      </c>
      <c r="K65" s="14" t="s">
        <v>88</v>
      </c>
      <c r="L65" s="14" t="s">
        <v>122</v>
      </c>
      <c r="M65" s="14" t="s">
        <v>319</v>
      </c>
      <c r="N65" s="14" t="s">
        <v>151</v>
      </c>
      <c r="O65" s="14" t="s">
        <v>122</v>
      </c>
      <c r="P65" s="14" t="s">
        <v>151</v>
      </c>
      <c r="Q65" s="14" t="s">
        <v>583</v>
      </c>
      <c r="R65" s="14"/>
      <c r="S65" s="14"/>
    </row>
    <row r="66" spans="1:20" x14ac:dyDescent="0.35">
      <c r="A66" s="11">
        <v>43880</v>
      </c>
      <c r="B66" s="11">
        <v>43880</v>
      </c>
      <c r="C66" s="1">
        <v>3</v>
      </c>
      <c r="D66" s="14" t="s">
        <v>9</v>
      </c>
      <c r="F66" t="s">
        <v>16</v>
      </c>
      <c r="G66" s="14" t="s">
        <v>75</v>
      </c>
      <c r="I66" s="14" t="s">
        <v>479</v>
      </c>
      <c r="J66" s="16">
        <v>255</v>
      </c>
      <c r="K66" s="14" t="s">
        <v>89</v>
      </c>
      <c r="L66" s="14" t="s">
        <v>144</v>
      </c>
      <c r="M66" s="14" t="s">
        <v>590</v>
      </c>
      <c r="N66" s="14" t="s">
        <v>609</v>
      </c>
      <c r="O66" s="14" t="s">
        <v>121</v>
      </c>
      <c r="P66" s="14" t="s">
        <v>607</v>
      </c>
      <c r="Q66" s="14" t="s">
        <v>607</v>
      </c>
      <c r="R66" s="14"/>
      <c r="S66" s="14"/>
    </row>
    <row r="67" spans="1:20" x14ac:dyDescent="0.35">
      <c r="A67" s="11">
        <v>43880</v>
      </c>
      <c r="B67" s="11">
        <v>43880</v>
      </c>
      <c r="C67" s="1">
        <v>3</v>
      </c>
      <c r="D67" s="14" t="s">
        <v>9</v>
      </c>
      <c r="F67" t="s">
        <v>16</v>
      </c>
      <c r="G67" s="14" t="s">
        <v>75</v>
      </c>
      <c r="I67" s="14" t="s">
        <v>479</v>
      </c>
      <c r="J67" s="16">
        <v>255</v>
      </c>
      <c r="K67" s="14" t="s">
        <v>90</v>
      </c>
      <c r="L67" s="14" t="s">
        <v>594</v>
      </c>
      <c r="M67" s="14" t="s">
        <v>93</v>
      </c>
      <c r="N67" s="14" t="s">
        <v>93</v>
      </c>
      <c r="O67" s="14" t="s">
        <v>601</v>
      </c>
      <c r="P67" s="14" t="s">
        <v>93</v>
      </c>
      <c r="Q67" s="14" t="s">
        <v>598</v>
      </c>
      <c r="R67" s="14"/>
      <c r="S67" s="14"/>
    </row>
    <row r="68" spans="1:20" x14ac:dyDescent="0.35">
      <c r="A68" s="11">
        <v>43900</v>
      </c>
      <c r="B68" s="11">
        <v>43900</v>
      </c>
      <c r="C68" s="1">
        <v>3</v>
      </c>
      <c r="D68" s="14" t="s">
        <v>9</v>
      </c>
      <c r="F68" t="s">
        <v>16</v>
      </c>
      <c r="G68" s="14" t="s">
        <v>75</v>
      </c>
      <c r="I68" s="14" t="s">
        <v>479</v>
      </c>
      <c r="J68" s="16">
        <v>201</v>
      </c>
      <c r="K68" s="14" t="s">
        <v>88</v>
      </c>
      <c r="L68" s="14" t="s">
        <v>122</v>
      </c>
      <c r="M68" s="14" t="s">
        <v>319</v>
      </c>
      <c r="N68" s="14" t="s">
        <v>151</v>
      </c>
      <c r="O68" s="14" t="s">
        <v>154</v>
      </c>
      <c r="P68" s="14" t="s">
        <v>151</v>
      </c>
      <c r="Q68" s="14" t="s">
        <v>583</v>
      </c>
      <c r="R68" s="14"/>
      <c r="S68" s="14"/>
    </row>
    <row r="69" spans="1:20" x14ac:dyDescent="0.35">
      <c r="A69" s="11">
        <v>43900</v>
      </c>
      <c r="B69" s="11">
        <v>43900</v>
      </c>
      <c r="C69" s="1">
        <v>3</v>
      </c>
      <c r="D69" s="14" t="s">
        <v>9</v>
      </c>
      <c r="F69" t="s">
        <v>16</v>
      </c>
      <c r="G69" s="14" t="s">
        <v>75</v>
      </c>
      <c r="I69" s="14" t="s">
        <v>479</v>
      </c>
      <c r="J69" s="16">
        <v>201</v>
      </c>
      <c r="K69" s="14" t="s">
        <v>89</v>
      </c>
      <c r="L69" s="14" t="s">
        <v>144</v>
      </c>
      <c r="M69" s="14" t="s">
        <v>607</v>
      </c>
      <c r="N69" s="14" t="s">
        <v>587</v>
      </c>
      <c r="O69" s="14" t="s">
        <v>607</v>
      </c>
      <c r="P69" s="14" t="s">
        <v>607</v>
      </c>
      <c r="Q69" s="14" t="s">
        <v>607</v>
      </c>
      <c r="R69" s="14"/>
      <c r="S69" s="14"/>
    </row>
    <row r="70" spans="1:20" x14ac:dyDescent="0.35">
      <c r="A70" s="11">
        <v>43900</v>
      </c>
      <c r="B70" s="11">
        <v>43900</v>
      </c>
      <c r="C70" s="1">
        <v>3</v>
      </c>
      <c r="D70" s="14" t="s">
        <v>9</v>
      </c>
      <c r="F70" t="s">
        <v>16</v>
      </c>
      <c r="G70" s="14" t="s">
        <v>75</v>
      </c>
      <c r="I70" s="14" t="s">
        <v>479</v>
      </c>
      <c r="J70" s="16">
        <v>201</v>
      </c>
      <c r="K70" s="14" t="s">
        <v>90</v>
      </c>
      <c r="L70" s="14" t="s">
        <v>594</v>
      </c>
      <c r="M70" s="14" t="s">
        <v>93</v>
      </c>
      <c r="N70" s="14" t="s">
        <v>93</v>
      </c>
      <c r="O70" s="14" t="s">
        <v>93</v>
      </c>
      <c r="P70" s="14" t="s">
        <v>93</v>
      </c>
      <c r="Q70" s="14" t="s">
        <v>598</v>
      </c>
      <c r="R70" s="14"/>
      <c r="S70" s="14"/>
    </row>
    <row r="71" spans="1:20" x14ac:dyDescent="0.35">
      <c r="A71" s="11">
        <f>B71</f>
        <v>43840</v>
      </c>
      <c r="B71" s="8">
        <v>43840</v>
      </c>
      <c r="C71" s="1">
        <v>4</v>
      </c>
      <c r="D71" t="s">
        <v>9</v>
      </c>
      <c r="F71" t="s">
        <v>51</v>
      </c>
      <c r="G71" t="s">
        <v>75</v>
      </c>
      <c r="I71" t="s">
        <v>6</v>
      </c>
      <c r="J71">
        <v>29</v>
      </c>
      <c r="K71" t="s">
        <v>88</v>
      </c>
      <c r="L71" t="s">
        <v>319</v>
      </c>
      <c r="M71" t="s">
        <v>191</v>
      </c>
      <c r="N71" t="s">
        <v>151</v>
      </c>
      <c r="O71" t="s">
        <v>127</v>
      </c>
      <c r="P71" t="s">
        <v>151</v>
      </c>
      <c r="Q71" t="s">
        <v>151</v>
      </c>
      <c r="R71" t="s">
        <v>96</v>
      </c>
      <c r="S71" t="s">
        <v>100</v>
      </c>
      <c r="T71" t="s">
        <v>154</v>
      </c>
    </row>
    <row r="72" spans="1:20" x14ac:dyDescent="0.35">
      <c r="A72" s="11">
        <f>B72</f>
        <v>43840</v>
      </c>
      <c r="B72" s="8">
        <v>43840</v>
      </c>
      <c r="C72" s="1">
        <v>4</v>
      </c>
      <c r="D72" t="s">
        <v>9</v>
      </c>
      <c r="F72" t="s">
        <v>51</v>
      </c>
      <c r="G72" t="s">
        <v>75</v>
      </c>
      <c r="I72" t="s">
        <v>6</v>
      </c>
      <c r="J72">
        <v>29</v>
      </c>
      <c r="K72" t="s">
        <v>89</v>
      </c>
      <c r="L72" t="s">
        <v>164</v>
      </c>
      <c r="M72" t="s">
        <v>121</v>
      </c>
      <c r="N72" t="s">
        <v>165</v>
      </c>
      <c r="O72" t="s">
        <v>166</v>
      </c>
      <c r="P72" t="s">
        <v>167</v>
      </c>
      <c r="Q72" t="s">
        <v>163</v>
      </c>
      <c r="R72" t="s">
        <v>168</v>
      </c>
      <c r="S72" t="s">
        <v>93</v>
      </c>
      <c r="T72" t="s">
        <v>169</v>
      </c>
    </row>
    <row r="73" spans="1:20" x14ac:dyDescent="0.35">
      <c r="A73" s="11">
        <f>B73</f>
        <v>43840</v>
      </c>
      <c r="B73" s="8">
        <v>43840</v>
      </c>
      <c r="C73" s="1">
        <v>4</v>
      </c>
      <c r="D73" t="s">
        <v>9</v>
      </c>
      <c r="F73" t="s">
        <v>51</v>
      </c>
      <c r="G73" t="s">
        <v>75</v>
      </c>
      <c r="I73" t="s">
        <v>6</v>
      </c>
      <c r="J73">
        <v>29</v>
      </c>
      <c r="K73" t="s">
        <v>90</v>
      </c>
      <c r="L73" t="s">
        <v>86</v>
      </c>
      <c r="M73" t="s">
        <v>106</v>
      </c>
      <c r="N73" t="s">
        <v>93</v>
      </c>
      <c r="O73" t="s">
        <v>93</v>
      </c>
      <c r="P73" t="s">
        <v>93</v>
      </c>
      <c r="Q73" t="s">
        <v>93</v>
      </c>
      <c r="R73" t="s">
        <v>93</v>
      </c>
      <c r="S73" t="s">
        <v>93</v>
      </c>
      <c r="T73" t="s">
        <v>93</v>
      </c>
    </row>
    <row r="74" spans="1:20" x14ac:dyDescent="0.35">
      <c r="A74" s="13">
        <f t="shared" ref="A74:A82" si="2">DATE(VALUE(RIGHT(B74,4)), VALUE(MID(B74,4,1)), VALUE(LEFT(B74,2)))</f>
        <v>43849</v>
      </c>
      <c r="B74" s="8" t="s">
        <v>240</v>
      </c>
      <c r="C74" s="1">
        <v>4</v>
      </c>
      <c r="D74" t="s">
        <v>9</v>
      </c>
      <c r="F74" t="s">
        <v>51</v>
      </c>
      <c r="G74" t="s">
        <v>75</v>
      </c>
      <c r="I74" t="s">
        <v>217</v>
      </c>
      <c r="J74">
        <v>12</v>
      </c>
      <c r="K74" t="s">
        <v>88</v>
      </c>
      <c r="L74" t="s">
        <v>319</v>
      </c>
      <c r="M74" t="s">
        <v>154</v>
      </c>
      <c r="N74" t="s">
        <v>220</v>
      </c>
      <c r="O74" t="s">
        <v>96</v>
      </c>
      <c r="P74" t="s">
        <v>222</v>
      </c>
      <c r="Q74" t="s">
        <v>224</v>
      </c>
    </row>
    <row r="75" spans="1:20" x14ac:dyDescent="0.35">
      <c r="A75" s="13">
        <f t="shared" si="2"/>
        <v>43849</v>
      </c>
      <c r="B75" s="8" t="str">
        <f>B74</f>
        <v>19/1/2020</v>
      </c>
      <c r="C75" s="1">
        <v>4</v>
      </c>
      <c r="D75" t="s">
        <v>9</v>
      </c>
      <c r="F75" t="s">
        <v>51</v>
      </c>
      <c r="G75" t="s">
        <v>75</v>
      </c>
      <c r="I75" t="s">
        <v>217</v>
      </c>
      <c r="J75">
        <v>12</v>
      </c>
      <c r="K75" t="s">
        <v>89</v>
      </c>
      <c r="L75" t="s">
        <v>218</v>
      </c>
      <c r="M75" t="s">
        <v>219</v>
      </c>
      <c r="N75" t="s">
        <v>165</v>
      </c>
      <c r="O75" t="s">
        <v>221</v>
      </c>
      <c r="P75" t="s">
        <v>223</v>
      </c>
      <c r="Q75" t="s">
        <v>225</v>
      </c>
    </row>
    <row r="76" spans="1:20" x14ac:dyDescent="0.35">
      <c r="A76" s="13">
        <f t="shared" si="2"/>
        <v>43849</v>
      </c>
      <c r="B76" s="8" t="str">
        <f>B75</f>
        <v>19/1/2020</v>
      </c>
      <c r="C76" s="1">
        <v>4</v>
      </c>
      <c r="D76" t="s">
        <v>9</v>
      </c>
      <c r="F76" t="s">
        <v>51</v>
      </c>
      <c r="G76" t="s">
        <v>75</v>
      </c>
      <c r="I76" t="s">
        <v>217</v>
      </c>
      <c r="J76">
        <v>12</v>
      </c>
      <c r="K76" t="s">
        <v>90</v>
      </c>
      <c r="L76" t="s">
        <v>86</v>
      </c>
      <c r="M76" t="s">
        <v>93</v>
      </c>
      <c r="N76" t="s">
        <v>93</v>
      </c>
      <c r="O76" t="s">
        <v>93</v>
      </c>
      <c r="P76" t="s">
        <v>93</v>
      </c>
      <c r="Q76" t="s">
        <v>93</v>
      </c>
    </row>
    <row r="77" spans="1:20" x14ac:dyDescent="0.35">
      <c r="A77" s="13">
        <f t="shared" si="2"/>
        <v>43854</v>
      </c>
      <c r="B77" s="8" t="s">
        <v>269</v>
      </c>
      <c r="C77" s="1">
        <v>4</v>
      </c>
      <c r="D77" t="s">
        <v>9</v>
      </c>
      <c r="F77" t="s">
        <v>51</v>
      </c>
      <c r="G77" t="s">
        <v>75</v>
      </c>
      <c r="I77" t="s">
        <v>217</v>
      </c>
      <c r="J77">
        <v>19</v>
      </c>
      <c r="K77" t="s">
        <v>88</v>
      </c>
      <c r="L77" t="s">
        <v>122</v>
      </c>
      <c r="M77" t="s">
        <v>94</v>
      </c>
      <c r="N77" t="s">
        <v>245</v>
      </c>
      <c r="O77" t="s">
        <v>154</v>
      </c>
      <c r="P77" t="s">
        <v>200</v>
      </c>
      <c r="Q77" t="s">
        <v>305</v>
      </c>
    </row>
    <row r="78" spans="1:20" x14ac:dyDescent="0.35">
      <c r="A78" s="13">
        <f t="shared" si="2"/>
        <v>43854</v>
      </c>
      <c r="B78" s="8" t="str">
        <f>B77</f>
        <v>24/1/2020</v>
      </c>
      <c r="C78" s="1">
        <v>4</v>
      </c>
      <c r="D78" t="s">
        <v>9</v>
      </c>
      <c r="F78" t="s">
        <v>51</v>
      </c>
      <c r="G78" t="s">
        <v>75</v>
      </c>
      <c r="I78" t="s">
        <v>217</v>
      </c>
      <c r="J78">
        <v>19</v>
      </c>
      <c r="K78" t="s">
        <v>89</v>
      </c>
      <c r="L78" t="s">
        <v>218</v>
      </c>
      <c r="M78" t="s">
        <v>95</v>
      </c>
      <c r="N78" t="s">
        <v>304</v>
      </c>
      <c r="O78" t="s">
        <v>219</v>
      </c>
      <c r="P78" t="s">
        <v>116</v>
      </c>
      <c r="Q78" t="s">
        <v>179</v>
      </c>
    </row>
    <row r="79" spans="1:20" x14ac:dyDescent="0.35">
      <c r="A79" s="13">
        <f t="shared" si="2"/>
        <v>43854</v>
      </c>
      <c r="B79" s="8" t="str">
        <f>B78</f>
        <v>24/1/2020</v>
      </c>
      <c r="C79" s="1">
        <v>4</v>
      </c>
      <c r="D79" t="s">
        <v>9</v>
      </c>
      <c r="F79" t="s">
        <v>51</v>
      </c>
      <c r="G79" t="s">
        <v>75</v>
      </c>
      <c r="I79" t="s">
        <v>217</v>
      </c>
      <c r="J79">
        <v>19</v>
      </c>
      <c r="K79" t="s">
        <v>90</v>
      </c>
      <c r="L79" t="s">
        <v>86</v>
      </c>
      <c r="M79" t="s">
        <v>93</v>
      </c>
      <c r="N79" t="s">
        <v>93</v>
      </c>
      <c r="O79" t="s">
        <v>93</v>
      </c>
      <c r="P79" t="s">
        <v>93</v>
      </c>
      <c r="Q79" t="s">
        <v>93</v>
      </c>
    </row>
    <row r="80" spans="1:20" x14ac:dyDescent="0.35">
      <c r="A80" s="13">
        <f t="shared" si="2"/>
        <v>43861</v>
      </c>
      <c r="B80" s="8" t="s">
        <v>344</v>
      </c>
      <c r="C80" s="1">
        <v>4</v>
      </c>
      <c r="D80" t="s">
        <v>9</v>
      </c>
      <c r="F80" t="s">
        <v>51</v>
      </c>
      <c r="G80" t="s">
        <v>75</v>
      </c>
      <c r="I80" t="s">
        <v>217</v>
      </c>
      <c r="J80">
        <v>262</v>
      </c>
      <c r="K80" t="s">
        <v>88</v>
      </c>
      <c r="L80" t="s">
        <v>111</v>
      </c>
      <c r="M80" t="s">
        <v>386</v>
      </c>
      <c r="N80" t="s">
        <v>387</v>
      </c>
      <c r="O80" t="s">
        <v>147</v>
      </c>
      <c r="P80" t="s">
        <v>151</v>
      </c>
      <c r="Q80" t="s">
        <v>391</v>
      </c>
      <c r="R80" t="s">
        <v>372</v>
      </c>
      <c r="S80" t="s">
        <v>379</v>
      </c>
      <c r="T80" t="s">
        <v>275</v>
      </c>
    </row>
    <row r="81" spans="1:20" x14ac:dyDescent="0.35">
      <c r="A81" s="13">
        <f t="shared" si="2"/>
        <v>43861</v>
      </c>
      <c r="B81" s="8" t="str">
        <f>B80</f>
        <v>31/1/2020</v>
      </c>
      <c r="C81" s="1">
        <v>4</v>
      </c>
      <c r="D81" t="s">
        <v>9</v>
      </c>
      <c r="F81" t="s">
        <v>51</v>
      </c>
      <c r="G81" t="s">
        <v>75</v>
      </c>
      <c r="I81" t="s">
        <v>217</v>
      </c>
      <c r="J81">
        <v>262</v>
      </c>
      <c r="K81" t="s">
        <v>89</v>
      </c>
      <c r="L81" t="s">
        <v>373</v>
      </c>
      <c r="M81" t="s">
        <v>116</v>
      </c>
      <c r="N81" t="s">
        <v>388</v>
      </c>
      <c r="O81" t="s">
        <v>389</v>
      </c>
      <c r="P81" t="s">
        <v>116</v>
      </c>
      <c r="Q81" t="s">
        <v>392</v>
      </c>
      <c r="R81" t="s">
        <v>116</v>
      </c>
      <c r="S81" t="s">
        <v>116</v>
      </c>
      <c r="T81" t="s">
        <v>356</v>
      </c>
    </row>
    <row r="82" spans="1:20" x14ac:dyDescent="0.35">
      <c r="A82" s="13">
        <f t="shared" si="2"/>
        <v>43861</v>
      </c>
      <c r="B82" s="8" t="str">
        <f>B81</f>
        <v>31/1/2020</v>
      </c>
      <c r="C82" s="1">
        <v>4</v>
      </c>
      <c r="D82" t="s">
        <v>9</v>
      </c>
      <c r="F82" t="s">
        <v>51</v>
      </c>
      <c r="G82" t="s">
        <v>75</v>
      </c>
      <c r="I82" t="s">
        <v>217</v>
      </c>
      <c r="J82">
        <v>262</v>
      </c>
      <c r="K82" t="s">
        <v>90</v>
      </c>
      <c r="L82" t="s">
        <v>86</v>
      </c>
      <c r="M82" t="s">
        <v>93</v>
      </c>
      <c r="N82" t="s">
        <v>93</v>
      </c>
      <c r="O82" t="s">
        <v>390</v>
      </c>
      <c r="P82" t="s">
        <v>93</v>
      </c>
      <c r="Q82" t="s">
        <v>93</v>
      </c>
      <c r="R82" t="s">
        <v>93</v>
      </c>
      <c r="S82" t="s">
        <v>93</v>
      </c>
      <c r="T82" t="s">
        <v>93</v>
      </c>
    </row>
    <row r="83" spans="1:20" x14ac:dyDescent="0.35">
      <c r="A83" s="13">
        <v>43868</v>
      </c>
      <c r="B83" s="8">
        <v>43868</v>
      </c>
      <c r="C83" s="1">
        <v>4</v>
      </c>
      <c r="D83" t="s">
        <v>9</v>
      </c>
      <c r="F83" t="s">
        <v>786</v>
      </c>
      <c r="G83" t="s">
        <v>75</v>
      </c>
      <c r="I83" t="s">
        <v>479</v>
      </c>
      <c r="J83">
        <v>281</v>
      </c>
      <c r="K83" t="s">
        <v>88</v>
      </c>
      <c r="L83" t="s">
        <v>787</v>
      </c>
      <c r="M83" t="s">
        <v>154</v>
      </c>
      <c r="N83" t="s">
        <v>91</v>
      </c>
      <c r="O83" t="s">
        <v>147</v>
      </c>
      <c r="P83" t="s">
        <v>150</v>
      </c>
      <c r="Q83" t="s">
        <v>91</v>
      </c>
      <c r="R83" t="s">
        <v>135</v>
      </c>
      <c r="S83" t="s">
        <v>788</v>
      </c>
      <c r="T83" t="s">
        <v>154</v>
      </c>
    </row>
    <row r="84" spans="1:20" x14ac:dyDescent="0.35">
      <c r="A84" s="13">
        <v>43868</v>
      </c>
      <c r="B84" s="8">
        <v>43868</v>
      </c>
      <c r="C84" s="1">
        <v>4</v>
      </c>
      <c r="D84" t="s">
        <v>9</v>
      </c>
      <c r="F84" t="str">
        <f>F83</f>
        <v>KISSA BRAHIM</v>
      </c>
      <c r="G84" t="s">
        <v>75</v>
      </c>
      <c r="I84" t="s">
        <v>479</v>
      </c>
      <c r="J84">
        <v>281</v>
      </c>
      <c r="K84" t="s">
        <v>89</v>
      </c>
      <c r="L84" t="s">
        <v>789</v>
      </c>
      <c r="M84" t="s">
        <v>790</v>
      </c>
      <c r="N84" t="s">
        <v>750</v>
      </c>
      <c r="O84" t="s">
        <v>791</v>
      </c>
      <c r="P84" t="s">
        <v>792</v>
      </c>
      <c r="Q84" t="s">
        <v>793</v>
      </c>
      <c r="R84" t="s">
        <v>761</v>
      </c>
      <c r="S84" t="s">
        <v>749</v>
      </c>
      <c r="T84" t="s">
        <v>750</v>
      </c>
    </row>
    <row r="85" spans="1:20" x14ac:dyDescent="0.35">
      <c r="A85" s="13">
        <v>43868</v>
      </c>
      <c r="B85" s="8">
        <v>43868</v>
      </c>
      <c r="C85" s="1">
        <v>4</v>
      </c>
      <c r="D85" t="s">
        <v>9</v>
      </c>
      <c r="F85" t="str">
        <f>F84</f>
        <v>KISSA BRAHIM</v>
      </c>
      <c r="G85" t="s">
        <v>75</v>
      </c>
      <c r="I85" t="s">
        <v>479</v>
      </c>
      <c r="J85">
        <v>281</v>
      </c>
      <c r="K85" t="s">
        <v>90</v>
      </c>
      <c r="L85" t="s">
        <v>251</v>
      </c>
      <c r="M85" t="s">
        <v>785</v>
      </c>
      <c r="N85" t="s">
        <v>752</v>
      </c>
      <c r="O85" t="s">
        <v>106</v>
      </c>
      <c r="P85" t="s">
        <v>785</v>
      </c>
      <c r="Q85" t="s">
        <v>114</v>
      </c>
      <c r="R85" t="s">
        <v>794</v>
      </c>
      <c r="S85" t="s">
        <v>752</v>
      </c>
      <c r="T85" t="s">
        <v>752</v>
      </c>
    </row>
    <row r="86" spans="1:20" x14ac:dyDescent="0.35">
      <c r="A86" s="13">
        <v>43877</v>
      </c>
      <c r="B86" s="8">
        <v>43877</v>
      </c>
      <c r="C86" s="1">
        <f>VLOOKUP(F86,Motorcycles!$C$2:$L$35,10,0)</f>
        <v>4</v>
      </c>
      <c r="D86" t="s">
        <v>9</v>
      </c>
      <c r="F86" t="s">
        <v>786</v>
      </c>
      <c r="G86" t="s">
        <v>75</v>
      </c>
      <c r="I86" t="s">
        <v>479</v>
      </c>
      <c r="J86">
        <v>222</v>
      </c>
      <c r="K86" t="s">
        <v>88</v>
      </c>
      <c r="L86" t="s">
        <v>319</v>
      </c>
      <c r="M86" t="s">
        <v>122</v>
      </c>
      <c r="N86" t="s">
        <v>151</v>
      </c>
      <c r="O86" t="s">
        <v>154</v>
      </c>
      <c r="P86" t="s">
        <v>578</v>
      </c>
      <c r="Q86" t="s">
        <v>585</v>
      </c>
    </row>
    <row r="87" spans="1:20" x14ac:dyDescent="0.35">
      <c r="A87" s="13">
        <v>43877</v>
      </c>
      <c r="B87" s="8">
        <v>43877</v>
      </c>
      <c r="C87" s="1">
        <f>VLOOKUP(F87,Motorcycles!$C$2:$L$35,10,0)</f>
        <v>4</v>
      </c>
      <c r="D87" t="s">
        <v>9</v>
      </c>
      <c r="F87" t="str">
        <f>F86</f>
        <v>KISSA BRAHIM</v>
      </c>
      <c r="G87" t="s">
        <v>75</v>
      </c>
      <c r="I87" t="s">
        <v>479</v>
      </c>
      <c r="J87">
        <v>222</v>
      </c>
      <c r="K87" t="s">
        <v>89</v>
      </c>
      <c r="L87" t="s">
        <v>144</v>
      </c>
      <c r="M87" t="s">
        <v>121</v>
      </c>
      <c r="N87" t="s">
        <v>609</v>
      </c>
      <c r="O87" t="s">
        <v>607</v>
      </c>
      <c r="P87" t="s">
        <v>578</v>
      </c>
      <c r="Q87" t="s">
        <v>593</v>
      </c>
    </row>
    <row r="88" spans="1:20" x14ac:dyDescent="0.35">
      <c r="A88" s="13">
        <v>43877</v>
      </c>
      <c r="B88" s="8">
        <v>43877</v>
      </c>
      <c r="C88" s="1">
        <f>VLOOKUP(F88,Motorcycles!$C$2:$L$35,10,0)</f>
        <v>4</v>
      </c>
      <c r="D88" t="s">
        <v>9</v>
      </c>
      <c r="F88" t="str">
        <f>F87</f>
        <v>KISSA BRAHIM</v>
      </c>
      <c r="G88" t="s">
        <v>75</v>
      </c>
      <c r="I88" t="s">
        <v>479</v>
      </c>
      <c r="J88">
        <v>222</v>
      </c>
      <c r="K88" t="s">
        <v>90</v>
      </c>
      <c r="L88" t="s">
        <v>594</v>
      </c>
      <c r="M88" t="s">
        <v>603</v>
      </c>
      <c r="N88" t="s">
        <v>93</v>
      </c>
      <c r="O88" t="s">
        <v>93</v>
      </c>
      <c r="P88" t="s">
        <v>600</v>
      </c>
      <c r="Q88" t="s">
        <v>596</v>
      </c>
    </row>
    <row r="89" spans="1:20" x14ac:dyDescent="0.35">
      <c r="A89" s="11">
        <v>43884</v>
      </c>
      <c r="B89" s="11">
        <v>43884</v>
      </c>
      <c r="C89" s="1">
        <v>4</v>
      </c>
      <c r="D89" s="14" t="s">
        <v>9</v>
      </c>
      <c r="F89" t="s">
        <v>51</v>
      </c>
      <c r="G89" s="14" t="s">
        <v>75</v>
      </c>
      <c r="I89" s="14" t="s">
        <v>479</v>
      </c>
      <c r="J89" s="16">
        <v>244</v>
      </c>
      <c r="K89" s="14" t="s">
        <v>88</v>
      </c>
      <c r="L89" s="14" t="s">
        <v>122</v>
      </c>
      <c r="M89" s="14" t="s">
        <v>319</v>
      </c>
      <c r="N89" s="14" t="s">
        <v>151</v>
      </c>
      <c r="O89" s="14" t="s">
        <v>319</v>
      </c>
      <c r="P89" s="14" t="s">
        <v>151</v>
      </c>
      <c r="Q89" s="14" t="s">
        <v>583</v>
      </c>
      <c r="R89" s="14"/>
      <c r="S89" s="14"/>
    </row>
    <row r="90" spans="1:20" x14ac:dyDescent="0.35">
      <c r="A90" s="11">
        <v>43884</v>
      </c>
      <c r="B90" s="11">
        <v>43884</v>
      </c>
      <c r="C90" s="1">
        <v>4</v>
      </c>
      <c r="D90" s="14" t="s">
        <v>9</v>
      </c>
      <c r="F90" t="s">
        <v>51</v>
      </c>
      <c r="G90" s="14" t="s">
        <v>75</v>
      </c>
      <c r="I90" s="14" t="s">
        <v>479</v>
      </c>
      <c r="J90" s="16">
        <v>244</v>
      </c>
      <c r="K90" s="14" t="s">
        <v>89</v>
      </c>
      <c r="L90" s="14" t="s">
        <v>144</v>
      </c>
      <c r="M90" s="14" t="s">
        <v>607</v>
      </c>
      <c r="N90" s="14" t="s">
        <v>609</v>
      </c>
      <c r="O90" s="14" t="s">
        <v>607</v>
      </c>
      <c r="P90" s="14" t="s">
        <v>607</v>
      </c>
      <c r="Q90" s="14" t="s">
        <v>607</v>
      </c>
      <c r="R90" s="14"/>
      <c r="S90" s="14"/>
    </row>
    <row r="91" spans="1:20" x14ac:dyDescent="0.35">
      <c r="A91" s="11">
        <v>43884</v>
      </c>
      <c r="B91" s="11">
        <v>43884</v>
      </c>
      <c r="C91" s="1">
        <v>4</v>
      </c>
      <c r="D91" s="14" t="s">
        <v>9</v>
      </c>
      <c r="F91" t="s">
        <v>51</v>
      </c>
      <c r="G91" s="14" t="s">
        <v>75</v>
      </c>
      <c r="I91" s="14" t="s">
        <v>479</v>
      </c>
      <c r="J91" s="16">
        <v>244</v>
      </c>
      <c r="K91" s="14" t="s">
        <v>90</v>
      </c>
      <c r="L91" s="14" t="s">
        <v>594</v>
      </c>
      <c r="M91" s="14" t="s">
        <v>93</v>
      </c>
      <c r="N91" s="14" t="s">
        <v>93</v>
      </c>
      <c r="O91" s="14" t="s">
        <v>93</v>
      </c>
      <c r="P91" s="14" t="s">
        <v>93</v>
      </c>
      <c r="Q91" s="14" t="s">
        <v>598</v>
      </c>
      <c r="R91" s="14"/>
      <c r="S91" s="14"/>
    </row>
    <row r="92" spans="1:20" x14ac:dyDescent="0.35">
      <c r="A92" s="11">
        <v>43892</v>
      </c>
      <c r="B92" s="11">
        <v>43892</v>
      </c>
      <c r="C92" s="1">
        <v>4</v>
      </c>
      <c r="D92" s="14" t="s">
        <v>9</v>
      </c>
      <c r="F92" t="s">
        <v>51</v>
      </c>
      <c r="G92" s="14" t="s">
        <v>11</v>
      </c>
      <c r="I92" s="14" t="s">
        <v>479</v>
      </c>
      <c r="J92" s="16">
        <v>254</v>
      </c>
      <c r="K92" s="14" t="s">
        <v>88</v>
      </c>
      <c r="L92" s="14" t="s">
        <v>122</v>
      </c>
      <c r="M92" s="14" t="s">
        <v>122</v>
      </c>
      <c r="N92" s="14" t="s">
        <v>151</v>
      </c>
      <c r="O92" s="14" t="s">
        <v>319</v>
      </c>
      <c r="P92" s="14" t="s">
        <v>151</v>
      </c>
      <c r="Q92" s="14" t="s">
        <v>583</v>
      </c>
      <c r="R92" s="14"/>
      <c r="S92" s="14"/>
    </row>
    <row r="93" spans="1:20" x14ac:dyDescent="0.35">
      <c r="A93" s="11">
        <v>43892</v>
      </c>
      <c r="B93" s="11">
        <v>43892</v>
      </c>
      <c r="C93" s="1">
        <v>4</v>
      </c>
      <c r="D93" s="14" t="s">
        <v>9</v>
      </c>
      <c r="F93" t="s">
        <v>51</v>
      </c>
      <c r="G93" s="14" t="s">
        <v>11</v>
      </c>
      <c r="I93" s="14" t="s">
        <v>479</v>
      </c>
      <c r="J93" s="16">
        <v>254</v>
      </c>
      <c r="K93" s="14" t="s">
        <v>89</v>
      </c>
      <c r="L93" s="14" t="s">
        <v>144</v>
      </c>
      <c r="M93" s="14" t="s">
        <v>121</v>
      </c>
      <c r="N93" s="14" t="s">
        <v>609</v>
      </c>
      <c r="O93" s="14" t="s">
        <v>607</v>
      </c>
      <c r="P93" s="14" t="s">
        <v>607</v>
      </c>
      <c r="Q93" s="14" t="s">
        <v>607</v>
      </c>
      <c r="R93" s="14"/>
      <c r="S93" s="14"/>
    </row>
    <row r="94" spans="1:20" x14ac:dyDescent="0.35">
      <c r="A94" s="11">
        <v>43892</v>
      </c>
      <c r="B94" s="11">
        <v>43892</v>
      </c>
      <c r="C94" s="1">
        <v>4</v>
      </c>
      <c r="D94" s="14" t="s">
        <v>9</v>
      </c>
      <c r="F94" t="s">
        <v>51</v>
      </c>
      <c r="G94" s="14" t="s">
        <v>11</v>
      </c>
      <c r="I94" s="14" t="s">
        <v>479</v>
      </c>
      <c r="J94" s="16">
        <v>254</v>
      </c>
      <c r="K94" s="14" t="s">
        <v>90</v>
      </c>
      <c r="L94" s="14" t="s">
        <v>594</v>
      </c>
      <c r="M94" s="14" t="s">
        <v>603</v>
      </c>
      <c r="N94" s="14" t="s">
        <v>93</v>
      </c>
      <c r="O94" s="14" t="s">
        <v>599</v>
      </c>
      <c r="P94" s="14" t="s">
        <v>599</v>
      </c>
      <c r="Q94" s="14" t="s">
        <v>598</v>
      </c>
      <c r="R94" s="14"/>
      <c r="S94" s="14"/>
    </row>
    <row r="95" spans="1:20" x14ac:dyDescent="0.35">
      <c r="A95" s="11">
        <v>43900</v>
      </c>
      <c r="B95" s="11">
        <v>43900</v>
      </c>
      <c r="C95" s="1">
        <v>4</v>
      </c>
      <c r="D95" s="14" t="s">
        <v>9</v>
      </c>
      <c r="F95" t="s">
        <v>51</v>
      </c>
      <c r="G95" s="14" t="s">
        <v>75</v>
      </c>
      <c r="I95" s="14" t="s">
        <v>479</v>
      </c>
      <c r="J95" s="16">
        <v>210</v>
      </c>
      <c r="K95" s="14" t="s">
        <v>88</v>
      </c>
      <c r="L95" s="14" t="s">
        <v>122</v>
      </c>
      <c r="M95" s="14" t="s">
        <v>319</v>
      </c>
      <c r="N95" s="14" t="s">
        <v>151</v>
      </c>
      <c r="O95" s="14" t="s">
        <v>319</v>
      </c>
      <c r="P95" s="14" t="s">
        <v>151</v>
      </c>
      <c r="Q95" s="14" t="s">
        <v>583</v>
      </c>
      <c r="R95" s="14"/>
      <c r="S95" s="14"/>
    </row>
    <row r="96" spans="1:20" x14ac:dyDescent="0.35">
      <c r="A96" s="11">
        <v>43900</v>
      </c>
      <c r="B96" s="11">
        <v>43900</v>
      </c>
      <c r="C96" s="1">
        <v>4</v>
      </c>
      <c r="D96" s="14" t="s">
        <v>9</v>
      </c>
      <c r="F96" t="s">
        <v>51</v>
      </c>
      <c r="G96" s="14" t="s">
        <v>75</v>
      </c>
      <c r="I96" s="14" t="s">
        <v>479</v>
      </c>
      <c r="J96" s="16">
        <v>210</v>
      </c>
      <c r="K96" s="14" t="s">
        <v>89</v>
      </c>
      <c r="L96" s="14" t="s">
        <v>144</v>
      </c>
      <c r="M96" s="14" t="s">
        <v>607</v>
      </c>
      <c r="N96" s="14" t="s">
        <v>609</v>
      </c>
      <c r="O96" s="14" t="s">
        <v>605</v>
      </c>
      <c r="P96" s="14" t="s">
        <v>607</v>
      </c>
      <c r="Q96" s="14" t="s">
        <v>607</v>
      </c>
      <c r="R96" s="14"/>
      <c r="S96" s="14"/>
    </row>
    <row r="97" spans="1:20" x14ac:dyDescent="0.35">
      <c r="A97" s="11">
        <v>43900</v>
      </c>
      <c r="B97" s="11">
        <v>43900</v>
      </c>
      <c r="C97" s="1">
        <v>4</v>
      </c>
      <c r="D97" s="14" t="s">
        <v>9</v>
      </c>
      <c r="F97" t="s">
        <v>51</v>
      </c>
      <c r="G97" s="14" t="s">
        <v>75</v>
      </c>
      <c r="I97" s="14" t="s">
        <v>479</v>
      </c>
      <c r="J97" s="16">
        <v>210</v>
      </c>
      <c r="K97" s="14" t="s">
        <v>90</v>
      </c>
      <c r="L97" s="14" t="s">
        <v>594</v>
      </c>
      <c r="M97" s="14" t="s">
        <v>93</v>
      </c>
      <c r="N97" s="14" t="s">
        <v>93</v>
      </c>
      <c r="O97" s="14" t="s">
        <v>93</v>
      </c>
      <c r="P97" s="14" t="s">
        <v>93</v>
      </c>
      <c r="Q97" s="14" t="s">
        <v>598</v>
      </c>
      <c r="R97" s="14"/>
      <c r="S97" s="14"/>
    </row>
    <row r="98" spans="1:20" x14ac:dyDescent="0.35">
      <c r="A98" s="11">
        <f>B98</f>
        <v>43838</v>
      </c>
      <c r="B98" s="8">
        <v>43838</v>
      </c>
      <c r="C98" s="1">
        <v>5</v>
      </c>
      <c r="D98" t="s">
        <v>9</v>
      </c>
      <c r="F98" t="s">
        <v>20</v>
      </c>
      <c r="G98" t="s">
        <v>75</v>
      </c>
      <c r="I98" t="s">
        <v>6</v>
      </c>
      <c r="J98">
        <v>6</v>
      </c>
      <c r="K98" t="s">
        <v>88</v>
      </c>
      <c r="L98" t="s">
        <v>122</v>
      </c>
      <c r="M98" t="s">
        <v>194</v>
      </c>
      <c r="N98" t="s">
        <v>196</v>
      </c>
      <c r="O98" t="s">
        <v>198</v>
      </c>
      <c r="P98" t="s">
        <v>200</v>
      </c>
      <c r="Q98" t="s">
        <v>202</v>
      </c>
      <c r="R98" t="s">
        <v>204</v>
      </c>
      <c r="S98" t="s">
        <v>206</v>
      </c>
      <c r="T98" t="s">
        <v>208</v>
      </c>
    </row>
    <row r="99" spans="1:20" x14ac:dyDescent="0.35">
      <c r="A99" s="11">
        <f>B99</f>
        <v>43838</v>
      </c>
      <c r="B99" s="8">
        <v>43838</v>
      </c>
      <c r="C99" s="1">
        <v>5</v>
      </c>
      <c r="D99" t="s">
        <v>9</v>
      </c>
      <c r="F99" t="s">
        <v>20</v>
      </c>
      <c r="G99" t="s">
        <v>75</v>
      </c>
      <c r="I99" t="s">
        <v>6</v>
      </c>
      <c r="J99">
        <v>6</v>
      </c>
      <c r="K99" t="s">
        <v>89</v>
      </c>
      <c r="L99" t="s">
        <v>193</v>
      </c>
      <c r="M99" t="s">
        <v>195</v>
      </c>
      <c r="N99" t="s">
        <v>110</v>
      </c>
      <c r="O99" t="s">
        <v>199</v>
      </c>
      <c r="P99" t="s">
        <v>201</v>
      </c>
      <c r="Q99" t="s">
        <v>136</v>
      </c>
      <c r="R99" t="s">
        <v>205</v>
      </c>
      <c r="S99" t="s">
        <v>207</v>
      </c>
      <c r="T99" t="s">
        <v>209</v>
      </c>
    </row>
    <row r="100" spans="1:20" x14ac:dyDescent="0.35">
      <c r="A100" s="11">
        <f>B100</f>
        <v>43838</v>
      </c>
      <c r="B100" s="8">
        <v>43838</v>
      </c>
      <c r="C100" s="1">
        <v>5</v>
      </c>
      <c r="D100" t="s">
        <v>9</v>
      </c>
      <c r="F100" t="s">
        <v>20</v>
      </c>
      <c r="G100" t="s">
        <v>75</v>
      </c>
      <c r="I100" t="s">
        <v>6</v>
      </c>
      <c r="J100">
        <v>6</v>
      </c>
      <c r="K100" t="s">
        <v>90</v>
      </c>
      <c r="L100" t="s">
        <v>86</v>
      </c>
      <c r="M100" t="s">
        <v>106</v>
      </c>
      <c r="N100" t="s">
        <v>197</v>
      </c>
      <c r="O100" t="s">
        <v>93</v>
      </c>
      <c r="P100" t="s">
        <v>93</v>
      </c>
      <c r="Q100" t="s">
        <v>203</v>
      </c>
      <c r="R100" t="s">
        <v>93</v>
      </c>
      <c r="S100" t="s">
        <v>93</v>
      </c>
      <c r="T100" t="s">
        <v>106</v>
      </c>
    </row>
    <row r="101" spans="1:20" x14ac:dyDescent="0.35">
      <c r="A101" s="13">
        <v>43869</v>
      </c>
      <c r="B101" s="8">
        <v>43869</v>
      </c>
      <c r="C101" s="1">
        <f>VLOOKUP(F101,Motorcycles!$C$2:$L$35,10,0)</f>
        <v>5</v>
      </c>
      <c r="D101" t="s">
        <v>9</v>
      </c>
      <c r="F101" t="s">
        <v>20</v>
      </c>
      <c r="G101" t="s">
        <v>75</v>
      </c>
      <c r="I101" t="s">
        <v>479</v>
      </c>
      <c r="J101">
        <v>292</v>
      </c>
      <c r="K101" t="s">
        <v>88</v>
      </c>
      <c r="L101" t="s">
        <v>122</v>
      </c>
      <c r="M101" t="s">
        <v>122</v>
      </c>
      <c r="N101" t="s">
        <v>151</v>
      </c>
      <c r="O101" t="s">
        <v>122</v>
      </c>
      <c r="P101" t="s">
        <v>578</v>
      </c>
      <c r="Q101" t="s">
        <v>583</v>
      </c>
    </row>
    <row r="102" spans="1:20" x14ac:dyDescent="0.35">
      <c r="A102" s="13">
        <v>43869</v>
      </c>
      <c r="B102" s="8">
        <v>43869</v>
      </c>
      <c r="C102" s="1">
        <f>VLOOKUP(F102,Motorcycles!$C$2:$L$35,10,0)</f>
        <v>5</v>
      </c>
      <c r="D102" t="s">
        <v>9</v>
      </c>
      <c r="F102" t="s">
        <v>20</v>
      </c>
      <c r="G102" t="s">
        <v>75</v>
      </c>
      <c r="I102" t="s">
        <v>479</v>
      </c>
      <c r="J102">
        <v>292</v>
      </c>
      <c r="K102" t="s">
        <v>89</v>
      </c>
      <c r="L102" t="s">
        <v>144</v>
      </c>
      <c r="M102" t="s">
        <v>121</v>
      </c>
      <c r="N102" t="s">
        <v>609</v>
      </c>
      <c r="O102" t="s">
        <v>121</v>
      </c>
      <c r="P102" t="s">
        <v>578</v>
      </c>
      <c r="Q102" t="s">
        <v>607</v>
      </c>
    </row>
    <row r="103" spans="1:20" x14ac:dyDescent="0.35">
      <c r="A103" s="13">
        <v>43869</v>
      </c>
      <c r="B103" s="8">
        <v>43869</v>
      </c>
      <c r="C103" s="1">
        <f>VLOOKUP(F103,Motorcycles!$C$2:$L$35,10,0)</f>
        <v>5</v>
      </c>
      <c r="D103" t="s">
        <v>9</v>
      </c>
      <c r="F103" t="s">
        <v>20</v>
      </c>
      <c r="G103" t="s">
        <v>75</v>
      </c>
      <c r="I103" t="s">
        <v>479</v>
      </c>
      <c r="J103">
        <v>292</v>
      </c>
      <c r="K103" t="s">
        <v>90</v>
      </c>
      <c r="L103" t="s">
        <v>594</v>
      </c>
      <c r="M103" t="s">
        <v>603</v>
      </c>
      <c r="N103" t="s">
        <v>93</v>
      </c>
      <c r="O103" t="s">
        <v>601</v>
      </c>
      <c r="P103" t="s">
        <v>600</v>
      </c>
      <c r="Q103" t="s">
        <v>598</v>
      </c>
    </row>
    <row r="104" spans="1:20" x14ac:dyDescent="0.35">
      <c r="A104" s="11">
        <v>43877</v>
      </c>
      <c r="B104" s="11">
        <v>43877</v>
      </c>
      <c r="C104" s="1">
        <f>VLOOKUP(F104,Motorcycles!$C$2:$L$35,10,0)</f>
        <v>5</v>
      </c>
      <c r="D104" s="14" t="s">
        <v>9</v>
      </c>
      <c r="F104" t="s">
        <v>20</v>
      </c>
      <c r="G104" s="14" t="s">
        <v>75</v>
      </c>
      <c r="I104" s="14" t="s">
        <v>479</v>
      </c>
      <c r="J104" s="16">
        <v>296</v>
      </c>
      <c r="K104" s="14" t="s">
        <v>88</v>
      </c>
      <c r="L104" s="14" t="s">
        <v>575</v>
      </c>
      <c r="M104" s="14" t="s">
        <v>122</v>
      </c>
      <c r="N104" s="14" t="s">
        <v>151</v>
      </c>
      <c r="O104" s="14" t="s">
        <v>122</v>
      </c>
      <c r="P104" s="14" t="s">
        <v>151</v>
      </c>
      <c r="Q104" s="14" t="s">
        <v>583</v>
      </c>
      <c r="R104" s="14"/>
      <c r="S104" s="14"/>
    </row>
    <row r="105" spans="1:20" x14ac:dyDescent="0.35">
      <c r="A105" s="11">
        <v>43877</v>
      </c>
      <c r="B105" s="11">
        <v>43877</v>
      </c>
      <c r="C105" s="1">
        <v>5</v>
      </c>
      <c r="D105" s="14" t="s">
        <v>9</v>
      </c>
      <c r="F105" t="s">
        <v>20</v>
      </c>
      <c r="G105" s="14" t="s">
        <v>75</v>
      </c>
      <c r="I105" s="14" t="s">
        <v>479</v>
      </c>
      <c r="J105" s="16">
        <v>296</v>
      </c>
      <c r="K105" s="14" t="s">
        <v>89</v>
      </c>
      <c r="L105" s="14" t="s">
        <v>144</v>
      </c>
      <c r="M105" s="14" t="s">
        <v>121</v>
      </c>
      <c r="N105" s="14" t="s">
        <v>609</v>
      </c>
      <c r="O105" s="14" t="s">
        <v>121</v>
      </c>
      <c r="P105" s="14" t="s">
        <v>606</v>
      </c>
      <c r="Q105" s="14" t="s">
        <v>607</v>
      </c>
      <c r="R105" s="14"/>
      <c r="S105" s="14"/>
    </row>
    <row r="106" spans="1:20" x14ac:dyDescent="0.35">
      <c r="A106" s="11">
        <v>43877</v>
      </c>
      <c r="B106" s="11">
        <v>43877</v>
      </c>
      <c r="C106" s="1">
        <v>5</v>
      </c>
      <c r="D106" s="14" t="s">
        <v>9</v>
      </c>
      <c r="F106" t="s">
        <v>20</v>
      </c>
      <c r="G106" s="14" t="s">
        <v>75</v>
      </c>
      <c r="I106" s="14" t="s">
        <v>479</v>
      </c>
      <c r="J106" s="16">
        <v>296</v>
      </c>
      <c r="K106" s="14" t="s">
        <v>90</v>
      </c>
      <c r="L106" s="14" t="s">
        <v>594</v>
      </c>
      <c r="M106" s="14" t="s">
        <v>603</v>
      </c>
      <c r="N106" s="14" t="s">
        <v>93</v>
      </c>
      <c r="O106" s="14" t="s">
        <v>601</v>
      </c>
      <c r="P106" s="14" t="s">
        <v>93</v>
      </c>
      <c r="Q106" s="14" t="s">
        <v>598</v>
      </c>
      <c r="R106" s="14"/>
      <c r="S106" s="14"/>
    </row>
    <row r="107" spans="1:20" x14ac:dyDescent="0.35">
      <c r="A107" s="11">
        <v>43884</v>
      </c>
      <c r="B107" s="11">
        <v>43884</v>
      </c>
      <c r="C107" s="1">
        <v>5</v>
      </c>
      <c r="D107" s="14" t="s">
        <v>9</v>
      </c>
      <c r="F107" t="s">
        <v>20</v>
      </c>
      <c r="G107" s="14" t="s">
        <v>75</v>
      </c>
      <c r="I107" s="14" t="s">
        <v>479</v>
      </c>
      <c r="J107" s="16">
        <v>230</v>
      </c>
      <c r="K107" s="14" t="s">
        <v>88</v>
      </c>
      <c r="L107" s="14" t="s">
        <v>575</v>
      </c>
      <c r="M107" s="14" t="s">
        <v>319</v>
      </c>
      <c r="N107" s="14" t="s">
        <v>151</v>
      </c>
      <c r="O107" s="14" t="s">
        <v>122</v>
      </c>
      <c r="P107" s="14" t="s">
        <v>151</v>
      </c>
      <c r="Q107" s="14" t="s">
        <v>583</v>
      </c>
      <c r="R107" s="14"/>
      <c r="S107" s="14"/>
    </row>
    <row r="108" spans="1:20" x14ac:dyDescent="0.35">
      <c r="A108" s="11">
        <v>43884</v>
      </c>
      <c r="B108" s="11">
        <v>43884</v>
      </c>
      <c r="C108" s="1">
        <v>5</v>
      </c>
      <c r="D108" s="14" t="s">
        <v>9</v>
      </c>
      <c r="F108" t="s">
        <v>20</v>
      </c>
      <c r="G108" s="14" t="s">
        <v>75</v>
      </c>
      <c r="I108" s="14" t="s">
        <v>479</v>
      </c>
      <c r="J108" s="16">
        <v>230</v>
      </c>
      <c r="K108" s="14" t="s">
        <v>89</v>
      </c>
      <c r="L108" s="14" t="s">
        <v>144</v>
      </c>
      <c r="M108" s="14" t="s">
        <v>590</v>
      </c>
      <c r="N108" s="14" t="s">
        <v>609</v>
      </c>
      <c r="O108" s="14" t="s">
        <v>121</v>
      </c>
      <c r="P108" s="14" t="s">
        <v>606</v>
      </c>
      <c r="Q108" s="14" t="s">
        <v>607</v>
      </c>
      <c r="R108" s="14"/>
      <c r="S108" s="14"/>
    </row>
    <row r="109" spans="1:20" x14ac:dyDescent="0.35">
      <c r="A109" s="11">
        <v>43884</v>
      </c>
      <c r="B109" s="11">
        <v>43884</v>
      </c>
      <c r="C109" s="1">
        <v>5</v>
      </c>
      <c r="D109" s="14" t="s">
        <v>9</v>
      </c>
      <c r="F109" t="s">
        <v>20</v>
      </c>
      <c r="G109" s="14" t="s">
        <v>75</v>
      </c>
      <c r="I109" s="14" t="s">
        <v>479</v>
      </c>
      <c r="J109" s="16">
        <v>230</v>
      </c>
      <c r="K109" s="14" t="s">
        <v>90</v>
      </c>
      <c r="L109" s="14" t="s">
        <v>594</v>
      </c>
      <c r="M109" s="14" t="s">
        <v>93</v>
      </c>
      <c r="N109" s="14" t="s">
        <v>93</v>
      </c>
      <c r="O109" s="14" t="s">
        <v>601</v>
      </c>
      <c r="P109" s="14" t="s">
        <v>93</v>
      </c>
      <c r="Q109" s="14" t="s">
        <v>598</v>
      </c>
      <c r="R109" s="14"/>
      <c r="S109" s="14"/>
    </row>
    <row r="110" spans="1:20" x14ac:dyDescent="0.35">
      <c r="A110" s="11">
        <v>43894</v>
      </c>
      <c r="B110" s="11">
        <v>43894</v>
      </c>
      <c r="C110" s="1">
        <v>5</v>
      </c>
      <c r="D110" s="14" t="s">
        <v>9</v>
      </c>
      <c r="F110" t="s">
        <v>20</v>
      </c>
      <c r="G110" s="14" t="s">
        <v>11</v>
      </c>
      <c r="I110" s="14" t="s">
        <v>479</v>
      </c>
      <c r="J110" s="16">
        <v>250</v>
      </c>
      <c r="K110" s="14" t="s">
        <v>88</v>
      </c>
      <c r="L110" s="14" t="s">
        <v>575</v>
      </c>
      <c r="M110" s="14" t="s">
        <v>122</v>
      </c>
      <c r="N110" s="14" t="s">
        <v>151</v>
      </c>
      <c r="O110" s="14" t="s">
        <v>122</v>
      </c>
      <c r="P110" s="14" t="s">
        <v>151</v>
      </c>
      <c r="Q110" s="14" t="s">
        <v>583</v>
      </c>
      <c r="R110" s="14"/>
      <c r="S110" s="14"/>
    </row>
    <row r="111" spans="1:20" x14ac:dyDescent="0.35">
      <c r="A111" s="11">
        <v>43894</v>
      </c>
      <c r="B111" s="11">
        <v>43894</v>
      </c>
      <c r="C111" s="1">
        <v>5</v>
      </c>
      <c r="D111" s="14" t="s">
        <v>9</v>
      </c>
      <c r="F111" t="s">
        <v>20</v>
      </c>
      <c r="G111" s="14" t="s">
        <v>11</v>
      </c>
      <c r="I111" s="14" t="s">
        <v>479</v>
      </c>
      <c r="J111" s="16">
        <v>250</v>
      </c>
      <c r="K111" s="14" t="s">
        <v>89</v>
      </c>
      <c r="L111" s="14" t="s">
        <v>144</v>
      </c>
      <c r="M111" s="14" t="s">
        <v>121</v>
      </c>
      <c r="N111" s="14" t="s">
        <v>609</v>
      </c>
      <c r="O111" s="14" t="s">
        <v>121</v>
      </c>
      <c r="P111" s="14" t="s">
        <v>607</v>
      </c>
      <c r="Q111" s="14" t="s">
        <v>607</v>
      </c>
      <c r="R111" s="14"/>
      <c r="S111" s="14"/>
    </row>
    <row r="112" spans="1:20" x14ac:dyDescent="0.35">
      <c r="A112" s="11">
        <v>43894</v>
      </c>
      <c r="B112" s="11">
        <v>43894</v>
      </c>
      <c r="C112" s="1">
        <v>5</v>
      </c>
      <c r="D112" s="14" t="s">
        <v>9</v>
      </c>
      <c r="F112" t="s">
        <v>20</v>
      </c>
      <c r="G112" s="14" t="s">
        <v>11</v>
      </c>
      <c r="I112" s="14" t="s">
        <v>479</v>
      </c>
      <c r="J112" s="16">
        <v>250</v>
      </c>
      <c r="K112" s="14" t="s">
        <v>90</v>
      </c>
      <c r="L112" s="14" t="s">
        <v>594</v>
      </c>
      <c r="M112" s="14" t="s">
        <v>603</v>
      </c>
      <c r="N112" s="14" t="s">
        <v>93</v>
      </c>
      <c r="O112" s="14" t="s">
        <v>601</v>
      </c>
      <c r="P112" s="14" t="s">
        <v>93</v>
      </c>
      <c r="Q112" s="14" t="s">
        <v>598</v>
      </c>
      <c r="R112" s="14"/>
      <c r="S112" s="14"/>
    </row>
    <row r="113" spans="1:20" s="16" customFormat="1" x14ac:dyDescent="0.35">
      <c r="A113" s="11">
        <f>B113</f>
        <v>43838</v>
      </c>
      <c r="B113" s="8">
        <v>43838</v>
      </c>
      <c r="C113" s="1">
        <v>6</v>
      </c>
      <c r="D113" t="s">
        <v>9</v>
      </c>
      <c r="E113"/>
      <c r="F113" t="s">
        <v>727</v>
      </c>
      <c r="G113" t="s">
        <v>75</v>
      </c>
      <c r="H113"/>
      <c r="I113" t="s">
        <v>6</v>
      </c>
      <c r="J113">
        <v>8</v>
      </c>
      <c r="K113" t="s">
        <v>88</v>
      </c>
      <c r="L113" t="s">
        <v>122</v>
      </c>
      <c r="M113" t="s">
        <v>122</v>
      </c>
      <c r="N113" t="s">
        <v>155</v>
      </c>
      <c r="O113" t="s">
        <v>155</v>
      </c>
      <c r="P113" t="s">
        <v>302</v>
      </c>
      <c r="Q113" t="s">
        <v>96</v>
      </c>
      <c r="R113" t="s">
        <v>204</v>
      </c>
      <c r="S113" t="s">
        <v>200</v>
      </c>
      <c r="T113" t="s">
        <v>208</v>
      </c>
    </row>
    <row r="114" spans="1:20" s="16" customFormat="1" x14ac:dyDescent="0.35">
      <c r="A114" s="11">
        <f>B114</f>
        <v>43838</v>
      </c>
      <c r="B114" s="8">
        <v>43838</v>
      </c>
      <c r="C114" s="1">
        <v>6</v>
      </c>
      <c r="D114" t="s">
        <v>9</v>
      </c>
      <c r="E114"/>
      <c r="F114" t="s">
        <v>727</v>
      </c>
      <c r="G114" t="s">
        <v>75</v>
      </c>
      <c r="H114"/>
      <c r="I114" t="s">
        <v>6</v>
      </c>
      <c r="J114">
        <v>8</v>
      </c>
      <c r="K114" t="s">
        <v>89</v>
      </c>
      <c r="L114" t="s">
        <v>144</v>
      </c>
      <c r="M114" t="s">
        <v>301</v>
      </c>
      <c r="N114" t="s">
        <v>93</v>
      </c>
      <c r="O114" t="s">
        <v>93</v>
      </c>
      <c r="P114" t="s">
        <v>144</v>
      </c>
      <c r="Q114" t="s">
        <v>116</v>
      </c>
      <c r="R114" t="s">
        <v>303</v>
      </c>
      <c r="S114" t="s">
        <v>116</v>
      </c>
      <c r="T114" t="s">
        <v>121</v>
      </c>
    </row>
    <row r="115" spans="1:20" s="16" customFormat="1" x14ac:dyDescent="0.35">
      <c r="A115" s="11">
        <f>B115</f>
        <v>43838</v>
      </c>
      <c r="B115" s="8">
        <v>43838</v>
      </c>
      <c r="C115" s="1">
        <v>6</v>
      </c>
      <c r="D115" t="s">
        <v>9</v>
      </c>
      <c r="E115"/>
      <c r="F115" t="s">
        <v>727</v>
      </c>
      <c r="G115" t="s">
        <v>75</v>
      </c>
      <c r="H115"/>
      <c r="I115" t="s">
        <v>6</v>
      </c>
      <c r="J115">
        <v>8</v>
      </c>
      <c r="K115" t="s">
        <v>90</v>
      </c>
      <c r="L115" t="s">
        <v>86</v>
      </c>
      <c r="M115" t="s">
        <v>106</v>
      </c>
      <c r="N115" t="s">
        <v>93</v>
      </c>
      <c r="O115" t="s">
        <v>93</v>
      </c>
      <c r="P115" t="s">
        <v>86</v>
      </c>
      <c r="Q115" t="s">
        <v>93</v>
      </c>
      <c r="R115" t="s">
        <v>93</v>
      </c>
      <c r="S115" t="s">
        <v>93</v>
      </c>
      <c r="T115" t="s">
        <v>106</v>
      </c>
    </row>
    <row r="116" spans="1:20" x14ac:dyDescent="0.35">
      <c r="A116" s="13">
        <f>DATE(VALUE(RIGHT(B116,4)), VALUE(MID(B116,4,1)), VALUE(LEFT(B116,2)))</f>
        <v>43854</v>
      </c>
      <c r="B116" s="8" t="s">
        <v>269</v>
      </c>
      <c r="C116" s="1">
        <v>6</v>
      </c>
      <c r="D116" t="s">
        <v>9</v>
      </c>
      <c r="F116" t="s">
        <v>727</v>
      </c>
      <c r="G116" t="s">
        <v>75</v>
      </c>
      <c r="I116" t="s">
        <v>217</v>
      </c>
      <c r="J116">
        <v>53</v>
      </c>
      <c r="K116" t="s">
        <v>88</v>
      </c>
      <c r="L116" t="s">
        <v>574</v>
      </c>
      <c r="M116" t="s">
        <v>155</v>
      </c>
      <c r="N116" t="s">
        <v>265</v>
      </c>
      <c r="O116" t="s">
        <v>151</v>
      </c>
      <c r="P116" t="s">
        <v>331</v>
      </c>
      <c r="Q116" t="s">
        <v>151</v>
      </c>
    </row>
    <row r="117" spans="1:20" x14ac:dyDescent="0.35">
      <c r="A117" s="13">
        <f>DATE(VALUE(RIGHT(B117,4)), VALUE(MID(B117,4,1)), VALUE(LEFT(B117,2)))</f>
        <v>43854</v>
      </c>
      <c r="B117" s="8" t="str">
        <f>B116</f>
        <v>24/1/2020</v>
      </c>
      <c r="C117" s="1">
        <v>6</v>
      </c>
      <c r="D117" t="s">
        <v>9</v>
      </c>
      <c r="F117" t="s">
        <v>727</v>
      </c>
      <c r="G117" t="s">
        <v>75</v>
      </c>
      <c r="I117" t="s">
        <v>217</v>
      </c>
      <c r="J117">
        <v>53</v>
      </c>
      <c r="K117" t="s">
        <v>89</v>
      </c>
      <c r="L117" t="s">
        <v>328</v>
      </c>
      <c r="M117" t="s">
        <v>116</v>
      </c>
      <c r="N117" t="s">
        <v>329</v>
      </c>
      <c r="O117" t="s">
        <v>330</v>
      </c>
      <c r="P117" t="s">
        <v>179</v>
      </c>
      <c r="Q117" t="s">
        <v>332</v>
      </c>
    </row>
    <row r="118" spans="1:20" x14ac:dyDescent="0.35">
      <c r="A118" s="13">
        <f>DATE(VALUE(RIGHT(B118,4)), VALUE(MID(B118,4,1)), VALUE(LEFT(B118,2)))</f>
        <v>43854</v>
      </c>
      <c r="B118" s="8" t="str">
        <f>B117</f>
        <v>24/1/2020</v>
      </c>
      <c r="C118" s="1">
        <v>6</v>
      </c>
      <c r="D118" t="s">
        <v>9</v>
      </c>
      <c r="F118" t="s">
        <v>727</v>
      </c>
      <c r="G118" t="s">
        <v>75</v>
      </c>
      <c r="I118" t="s">
        <v>217</v>
      </c>
      <c r="J118">
        <v>53</v>
      </c>
      <c r="K118" t="s">
        <v>90</v>
      </c>
      <c r="L118" t="s">
        <v>86</v>
      </c>
      <c r="M118" t="s">
        <v>93</v>
      </c>
      <c r="N118" t="s">
        <v>93</v>
      </c>
      <c r="O118" t="s">
        <v>93</v>
      </c>
      <c r="P118" t="s">
        <v>93</v>
      </c>
      <c r="Q118" t="s">
        <v>93</v>
      </c>
    </row>
    <row r="119" spans="1:20" x14ac:dyDescent="0.35">
      <c r="A119" s="13">
        <v>43868</v>
      </c>
      <c r="B119" s="8">
        <v>43868</v>
      </c>
      <c r="C119" s="1">
        <v>6</v>
      </c>
      <c r="D119" t="s">
        <v>9</v>
      </c>
      <c r="F119" t="s">
        <v>795</v>
      </c>
      <c r="G119" t="s">
        <v>75</v>
      </c>
      <c r="I119" t="s">
        <v>479</v>
      </c>
      <c r="J119">
        <v>264</v>
      </c>
      <c r="K119" t="s">
        <v>88</v>
      </c>
      <c r="L119" t="s">
        <v>796</v>
      </c>
      <c r="M119" t="s">
        <v>797</v>
      </c>
      <c r="N119" t="s">
        <v>798</v>
      </c>
      <c r="O119" t="s">
        <v>122</v>
      </c>
      <c r="P119" t="s">
        <v>799</v>
      </c>
      <c r="Q119" t="s">
        <v>743</v>
      </c>
      <c r="R119" t="s">
        <v>347</v>
      </c>
      <c r="S119" t="s">
        <v>350</v>
      </c>
      <c r="T119" t="s">
        <v>347</v>
      </c>
    </row>
    <row r="120" spans="1:20" x14ac:dyDescent="0.35">
      <c r="A120" s="13">
        <v>43868</v>
      </c>
      <c r="B120" s="8">
        <v>43868</v>
      </c>
      <c r="C120" s="1">
        <v>6</v>
      </c>
      <c r="D120" t="s">
        <v>9</v>
      </c>
      <c r="F120" t="str">
        <f>F119</f>
        <v>NAMASOKO JOEL</v>
      </c>
      <c r="G120" t="s">
        <v>75</v>
      </c>
      <c r="I120" t="s">
        <v>479</v>
      </c>
      <c r="J120">
        <v>264</v>
      </c>
      <c r="K120" t="s">
        <v>89</v>
      </c>
      <c r="L120" t="s">
        <v>800</v>
      </c>
      <c r="M120" t="s">
        <v>801</v>
      </c>
      <c r="N120" t="s">
        <v>747</v>
      </c>
      <c r="O120" t="s">
        <v>802</v>
      </c>
      <c r="P120" t="s">
        <v>801</v>
      </c>
      <c r="Q120" t="s">
        <v>750</v>
      </c>
      <c r="R120" t="s">
        <v>116</v>
      </c>
      <c r="S120" t="s">
        <v>116</v>
      </c>
      <c r="T120" t="s">
        <v>163</v>
      </c>
    </row>
    <row r="121" spans="1:20" x14ac:dyDescent="0.35">
      <c r="A121" s="13">
        <v>43868</v>
      </c>
      <c r="B121" s="8">
        <v>43868</v>
      </c>
      <c r="C121" s="1">
        <v>6</v>
      </c>
      <c r="D121" t="s">
        <v>9</v>
      </c>
      <c r="F121" t="str">
        <f>F120</f>
        <v>NAMASOKO JOEL</v>
      </c>
      <c r="G121" t="s">
        <v>11</v>
      </c>
      <c r="I121" t="s">
        <v>479</v>
      </c>
      <c r="J121">
        <v>264</v>
      </c>
      <c r="K121" t="s">
        <v>90</v>
      </c>
      <c r="L121" t="s">
        <v>784</v>
      </c>
      <c r="M121" t="s">
        <v>803</v>
      </c>
      <c r="O121" t="s">
        <v>106</v>
      </c>
      <c r="P121" t="s">
        <v>752</v>
      </c>
      <c r="Q121" t="s">
        <v>752</v>
      </c>
      <c r="R121" t="s">
        <v>93</v>
      </c>
      <c r="S121" t="s">
        <v>93</v>
      </c>
      <c r="T121" t="s">
        <v>93</v>
      </c>
    </row>
    <row r="122" spans="1:20" x14ac:dyDescent="0.35">
      <c r="A122" s="13">
        <v>43877</v>
      </c>
      <c r="B122" s="8">
        <v>43877</v>
      </c>
      <c r="C122" s="1">
        <f>VLOOKUP(F122,Motorcycles!$C$2:$L$35,10,0)</f>
        <v>6</v>
      </c>
      <c r="D122" t="s">
        <v>9</v>
      </c>
      <c r="F122" t="s">
        <v>795</v>
      </c>
      <c r="G122" t="s">
        <v>75</v>
      </c>
      <c r="I122" t="s">
        <v>479</v>
      </c>
      <c r="J122">
        <v>300</v>
      </c>
      <c r="K122" t="s">
        <v>88</v>
      </c>
      <c r="L122" t="s">
        <v>319</v>
      </c>
      <c r="M122" t="s">
        <v>319</v>
      </c>
      <c r="N122" t="s">
        <v>151</v>
      </c>
      <c r="O122" t="s">
        <v>122</v>
      </c>
      <c r="P122" t="s">
        <v>151</v>
      </c>
      <c r="Q122" t="s">
        <v>585</v>
      </c>
    </row>
    <row r="123" spans="1:20" x14ac:dyDescent="0.35">
      <c r="A123" s="13">
        <v>43877</v>
      </c>
      <c r="B123" s="8">
        <v>43877</v>
      </c>
      <c r="C123" s="1">
        <f>VLOOKUP(F123,Motorcycles!$C$2:$L$35,10,0)</f>
        <v>6</v>
      </c>
      <c r="D123" t="s">
        <v>9</v>
      </c>
      <c r="F123" t="str">
        <f>F122</f>
        <v>NAMASOKO JOEL</v>
      </c>
      <c r="G123" t="s">
        <v>75</v>
      </c>
      <c r="I123" t="s">
        <v>479</v>
      </c>
      <c r="J123">
        <v>300</v>
      </c>
      <c r="K123" t="s">
        <v>89</v>
      </c>
      <c r="L123" t="s">
        <v>144</v>
      </c>
      <c r="M123" t="s">
        <v>589</v>
      </c>
      <c r="N123" t="s">
        <v>609</v>
      </c>
      <c r="O123" t="s">
        <v>121</v>
      </c>
      <c r="P123" t="s">
        <v>607</v>
      </c>
      <c r="Q123" t="s">
        <v>593</v>
      </c>
    </row>
    <row r="124" spans="1:20" x14ac:dyDescent="0.35">
      <c r="A124" s="13">
        <v>43877</v>
      </c>
      <c r="B124" s="8">
        <v>43877</v>
      </c>
      <c r="C124" s="1">
        <f>VLOOKUP(F124,Motorcycles!$C$2:$L$35,10,0)</f>
        <v>6</v>
      </c>
      <c r="D124" t="s">
        <v>9</v>
      </c>
      <c r="F124" t="str">
        <f>F123</f>
        <v>NAMASOKO JOEL</v>
      </c>
      <c r="G124" t="s">
        <v>75</v>
      </c>
      <c r="I124" t="s">
        <v>479</v>
      </c>
      <c r="J124">
        <v>300</v>
      </c>
      <c r="K124" t="s">
        <v>90</v>
      </c>
      <c r="L124" t="s">
        <v>594</v>
      </c>
      <c r="M124" t="s">
        <v>93</v>
      </c>
      <c r="N124" t="s">
        <v>93</v>
      </c>
      <c r="O124" t="s">
        <v>601</v>
      </c>
      <c r="P124" t="s">
        <v>93</v>
      </c>
      <c r="Q124" t="s">
        <v>596</v>
      </c>
    </row>
    <row r="125" spans="1:20" x14ac:dyDescent="0.35">
      <c r="A125" s="11">
        <v>43884</v>
      </c>
      <c r="B125" s="11">
        <v>43884</v>
      </c>
      <c r="C125" s="1">
        <v>6</v>
      </c>
      <c r="D125" s="14" t="s">
        <v>9</v>
      </c>
      <c r="F125" t="s">
        <v>727</v>
      </c>
      <c r="G125" s="14" t="s">
        <v>75</v>
      </c>
      <c r="I125" s="14" t="s">
        <v>479</v>
      </c>
      <c r="J125" s="16">
        <v>241</v>
      </c>
      <c r="K125" s="14" t="s">
        <v>88</v>
      </c>
      <c r="L125" s="14" t="s">
        <v>122</v>
      </c>
      <c r="M125" s="14" t="s">
        <v>122</v>
      </c>
      <c r="N125" s="14" t="s">
        <v>151</v>
      </c>
      <c r="O125" s="14" t="s">
        <v>575</v>
      </c>
      <c r="P125" s="14" t="s">
        <v>151</v>
      </c>
      <c r="Q125" s="14" t="s">
        <v>583</v>
      </c>
      <c r="R125" s="14"/>
      <c r="S125" s="14"/>
    </row>
    <row r="126" spans="1:20" x14ac:dyDescent="0.35">
      <c r="A126" s="11">
        <v>43884</v>
      </c>
      <c r="B126" s="11">
        <v>43884</v>
      </c>
      <c r="C126" s="1">
        <v>6</v>
      </c>
      <c r="D126" s="14" t="s">
        <v>9</v>
      </c>
      <c r="F126" t="s">
        <v>727</v>
      </c>
      <c r="G126" s="14" t="s">
        <v>75</v>
      </c>
      <c r="I126" s="14" t="s">
        <v>479</v>
      </c>
      <c r="J126" s="16">
        <v>241</v>
      </c>
      <c r="K126" s="14" t="s">
        <v>89</v>
      </c>
      <c r="L126" s="14" t="s">
        <v>144</v>
      </c>
      <c r="M126" s="14" t="s">
        <v>121</v>
      </c>
      <c r="N126" s="14" t="s">
        <v>609</v>
      </c>
      <c r="O126" s="14" t="s">
        <v>121</v>
      </c>
      <c r="P126" s="14" t="s">
        <v>607</v>
      </c>
      <c r="Q126" s="14" t="s">
        <v>607</v>
      </c>
      <c r="R126" s="14"/>
      <c r="S126" s="14"/>
    </row>
    <row r="127" spans="1:20" x14ac:dyDescent="0.35">
      <c r="A127" s="11">
        <v>43884</v>
      </c>
      <c r="B127" s="11">
        <v>43884</v>
      </c>
      <c r="C127" s="1">
        <v>6</v>
      </c>
      <c r="D127" s="14" t="s">
        <v>9</v>
      </c>
      <c r="F127" t="s">
        <v>727</v>
      </c>
      <c r="G127" s="14" t="s">
        <v>75</v>
      </c>
      <c r="I127" s="14" t="s">
        <v>479</v>
      </c>
      <c r="J127" s="16">
        <v>241</v>
      </c>
      <c r="K127" s="14" t="s">
        <v>90</v>
      </c>
      <c r="L127" s="14" t="s">
        <v>594</v>
      </c>
      <c r="M127" s="14" t="s">
        <v>603</v>
      </c>
      <c r="N127" s="14" t="s">
        <v>93</v>
      </c>
      <c r="O127" s="14" t="s">
        <v>601</v>
      </c>
      <c r="P127" s="14" t="s">
        <v>93</v>
      </c>
      <c r="Q127" s="14" t="s">
        <v>598</v>
      </c>
      <c r="R127" s="14"/>
      <c r="S127" s="14"/>
    </row>
    <row r="128" spans="1:20" x14ac:dyDescent="0.35">
      <c r="A128" s="11">
        <v>43894</v>
      </c>
      <c r="B128" s="11">
        <v>43894</v>
      </c>
      <c r="C128" s="1">
        <v>6</v>
      </c>
      <c r="D128" s="14" t="s">
        <v>9</v>
      </c>
      <c r="F128" t="s">
        <v>727</v>
      </c>
      <c r="G128" s="14" t="s">
        <v>11</v>
      </c>
      <c r="I128" s="14" t="s">
        <v>479</v>
      </c>
      <c r="J128" s="16">
        <v>247</v>
      </c>
      <c r="K128" s="14" t="s">
        <v>88</v>
      </c>
      <c r="L128" s="14" t="s">
        <v>575</v>
      </c>
      <c r="M128" s="14" t="s">
        <v>319</v>
      </c>
      <c r="N128" s="14" t="s">
        <v>151</v>
      </c>
      <c r="O128" s="14" t="s">
        <v>122</v>
      </c>
      <c r="P128" s="14" t="s">
        <v>151</v>
      </c>
      <c r="Q128" s="14" t="s">
        <v>583</v>
      </c>
      <c r="R128" s="14"/>
      <c r="S128" s="14"/>
    </row>
    <row r="129" spans="1:20" x14ac:dyDescent="0.35">
      <c r="A129" s="11">
        <v>43894</v>
      </c>
      <c r="B129" s="11">
        <v>43894</v>
      </c>
      <c r="C129" s="1">
        <v>6</v>
      </c>
      <c r="D129" s="14" t="s">
        <v>9</v>
      </c>
      <c r="F129" t="s">
        <v>727</v>
      </c>
      <c r="G129" s="14" t="s">
        <v>11</v>
      </c>
      <c r="I129" s="14" t="s">
        <v>479</v>
      </c>
      <c r="J129" s="16">
        <v>247</v>
      </c>
      <c r="K129" s="14" t="s">
        <v>89</v>
      </c>
      <c r="L129" s="14" t="s">
        <v>144</v>
      </c>
      <c r="M129" s="14" t="s">
        <v>607</v>
      </c>
      <c r="N129" s="14" t="s">
        <v>609</v>
      </c>
      <c r="O129" s="14" t="s">
        <v>121</v>
      </c>
      <c r="P129" s="14" t="s">
        <v>607</v>
      </c>
      <c r="Q129" s="14" t="s">
        <v>607</v>
      </c>
      <c r="R129" s="14"/>
      <c r="S129" s="14"/>
    </row>
    <row r="130" spans="1:20" x14ac:dyDescent="0.35">
      <c r="A130" s="11">
        <v>43894</v>
      </c>
      <c r="B130" s="11">
        <v>43894</v>
      </c>
      <c r="C130" s="1">
        <v>6</v>
      </c>
      <c r="D130" s="14" t="s">
        <v>9</v>
      </c>
      <c r="F130" t="s">
        <v>727</v>
      </c>
      <c r="G130" s="14" t="s">
        <v>11</v>
      </c>
      <c r="I130" s="14" t="s">
        <v>479</v>
      </c>
      <c r="J130" s="16">
        <v>247</v>
      </c>
      <c r="K130" s="14" t="s">
        <v>90</v>
      </c>
      <c r="L130" s="14" t="s">
        <v>594</v>
      </c>
      <c r="M130" s="14" t="s">
        <v>599</v>
      </c>
      <c r="N130" s="14" t="s">
        <v>599</v>
      </c>
      <c r="O130" s="14" t="s">
        <v>601</v>
      </c>
      <c r="P130" s="14" t="s">
        <v>599</v>
      </c>
      <c r="Q130" s="14" t="s">
        <v>598</v>
      </c>
      <c r="R130" s="14"/>
      <c r="S130" s="14"/>
    </row>
    <row r="131" spans="1:20" x14ac:dyDescent="0.35">
      <c r="A131" s="11">
        <v>43899</v>
      </c>
      <c r="B131" s="11">
        <v>43899</v>
      </c>
      <c r="C131" s="1">
        <v>6</v>
      </c>
      <c r="D131" s="14" t="s">
        <v>9</v>
      </c>
      <c r="F131" t="s">
        <v>727</v>
      </c>
      <c r="G131" s="14" t="s">
        <v>75</v>
      </c>
      <c r="I131" s="14" t="s">
        <v>479</v>
      </c>
      <c r="J131" s="16">
        <v>206</v>
      </c>
      <c r="K131" s="14" t="s">
        <v>88</v>
      </c>
      <c r="L131" s="14" t="s">
        <v>122</v>
      </c>
      <c r="M131" s="14" t="s">
        <v>319</v>
      </c>
      <c r="N131" s="14" t="s">
        <v>151</v>
      </c>
      <c r="O131" s="14" t="s">
        <v>154</v>
      </c>
      <c r="P131" s="14" t="s">
        <v>151</v>
      </c>
      <c r="Q131" s="14" t="s">
        <v>583</v>
      </c>
      <c r="R131" s="14"/>
      <c r="S131" s="14"/>
    </row>
    <row r="132" spans="1:20" x14ac:dyDescent="0.35">
      <c r="A132" s="11">
        <v>43899</v>
      </c>
      <c r="B132" s="11">
        <v>43899</v>
      </c>
      <c r="C132" s="1">
        <v>6</v>
      </c>
      <c r="D132" s="14" t="s">
        <v>9</v>
      </c>
      <c r="F132" t="s">
        <v>727</v>
      </c>
      <c r="G132" s="14" t="s">
        <v>75</v>
      </c>
      <c r="I132" s="14" t="s">
        <v>479</v>
      </c>
      <c r="J132" s="16">
        <v>206</v>
      </c>
      <c r="K132" s="14" t="s">
        <v>89</v>
      </c>
      <c r="L132" s="14" t="s">
        <v>144</v>
      </c>
      <c r="M132" s="14" t="s">
        <v>607</v>
      </c>
      <c r="N132" s="14" t="s">
        <v>609</v>
      </c>
      <c r="O132" s="14" t="s">
        <v>607</v>
      </c>
      <c r="P132" s="14" t="s">
        <v>607</v>
      </c>
      <c r="Q132" s="14" t="s">
        <v>607</v>
      </c>
      <c r="R132" s="14"/>
      <c r="S132" s="14"/>
    </row>
    <row r="133" spans="1:20" x14ac:dyDescent="0.35">
      <c r="A133" s="11">
        <v>43899</v>
      </c>
      <c r="B133" s="11">
        <v>43899</v>
      </c>
      <c r="C133" s="1">
        <v>6</v>
      </c>
      <c r="D133" s="14" t="s">
        <v>9</v>
      </c>
      <c r="F133" t="s">
        <v>727</v>
      </c>
      <c r="G133" s="14" t="s">
        <v>75</v>
      </c>
      <c r="I133" s="14" t="s">
        <v>479</v>
      </c>
      <c r="J133" s="16">
        <v>206</v>
      </c>
      <c r="K133" s="14" t="s">
        <v>90</v>
      </c>
      <c r="L133" s="14" t="s">
        <v>594</v>
      </c>
      <c r="M133" s="14" t="s">
        <v>93</v>
      </c>
      <c r="N133" s="14" t="s">
        <v>93</v>
      </c>
      <c r="O133" s="14" t="s">
        <v>93</v>
      </c>
      <c r="P133" s="14" t="s">
        <v>93</v>
      </c>
      <c r="Q133" s="14" t="s">
        <v>598</v>
      </c>
      <c r="R133" s="14"/>
      <c r="S133" s="14"/>
    </row>
    <row r="134" spans="1:20" x14ac:dyDescent="0.35">
      <c r="A134" s="11">
        <f t="shared" ref="A134:A139" si="3">B134</f>
        <v>43838</v>
      </c>
      <c r="B134" s="8">
        <v>43838</v>
      </c>
      <c r="C134" s="1">
        <v>7</v>
      </c>
      <c r="D134" t="s">
        <v>9</v>
      </c>
      <c r="F134" t="s">
        <v>23</v>
      </c>
      <c r="G134" t="s">
        <v>75</v>
      </c>
      <c r="I134" t="s">
        <v>6</v>
      </c>
      <c r="J134">
        <v>3</v>
      </c>
      <c r="K134" t="s">
        <v>88</v>
      </c>
      <c r="L134" t="s">
        <v>111</v>
      </c>
      <c r="M134" t="s">
        <v>111</v>
      </c>
      <c r="N134" t="s">
        <v>172</v>
      </c>
      <c r="O134" t="s">
        <v>173</v>
      </c>
      <c r="P134" t="s">
        <v>174</v>
      </c>
      <c r="Q134" t="s">
        <v>175</v>
      </c>
      <c r="R134" t="s">
        <v>178</v>
      </c>
      <c r="S134" t="s">
        <v>180</v>
      </c>
      <c r="T134" t="s">
        <v>178</v>
      </c>
    </row>
    <row r="135" spans="1:20" x14ac:dyDescent="0.35">
      <c r="A135" s="11">
        <f t="shared" si="3"/>
        <v>43838</v>
      </c>
      <c r="B135" s="8">
        <v>43838</v>
      </c>
      <c r="C135" s="1">
        <v>7</v>
      </c>
      <c r="D135" t="s">
        <v>9</v>
      </c>
      <c r="F135" t="s">
        <v>23</v>
      </c>
      <c r="G135" t="s">
        <v>75</v>
      </c>
      <c r="I135" t="s">
        <v>6</v>
      </c>
      <c r="J135">
        <v>3</v>
      </c>
      <c r="K135" t="s">
        <v>89</v>
      </c>
      <c r="L135" t="s">
        <v>144</v>
      </c>
      <c r="M135" t="s">
        <v>170</v>
      </c>
      <c r="N135" t="s">
        <v>93</v>
      </c>
      <c r="O135" t="s">
        <v>93</v>
      </c>
      <c r="P135" t="s">
        <v>144</v>
      </c>
      <c r="Q135" t="s">
        <v>176</v>
      </c>
      <c r="R135" t="s">
        <v>179</v>
      </c>
      <c r="S135" t="s">
        <v>170</v>
      </c>
      <c r="T135" t="s">
        <v>176</v>
      </c>
    </row>
    <row r="136" spans="1:20" x14ac:dyDescent="0.35">
      <c r="A136" s="11">
        <f t="shared" si="3"/>
        <v>43838</v>
      </c>
      <c r="B136" s="8">
        <v>43838</v>
      </c>
      <c r="C136" s="1">
        <v>7</v>
      </c>
      <c r="D136" t="s">
        <v>9</v>
      </c>
      <c r="F136" t="s">
        <v>23</v>
      </c>
      <c r="G136" t="s">
        <v>75</v>
      </c>
      <c r="I136" t="s">
        <v>6</v>
      </c>
      <c r="J136">
        <v>3</v>
      </c>
      <c r="K136" t="s">
        <v>90</v>
      </c>
      <c r="L136" t="s">
        <v>86</v>
      </c>
      <c r="M136" t="s">
        <v>171</v>
      </c>
      <c r="N136" t="s">
        <v>93</v>
      </c>
      <c r="O136" t="s">
        <v>93</v>
      </c>
      <c r="P136" t="s">
        <v>86</v>
      </c>
      <c r="Q136" t="s">
        <v>177</v>
      </c>
      <c r="R136" t="s">
        <v>177</v>
      </c>
      <c r="S136" t="s">
        <v>171</v>
      </c>
      <c r="T136" t="s">
        <v>93</v>
      </c>
    </row>
    <row r="137" spans="1:20" x14ac:dyDescent="0.35">
      <c r="A137" s="11">
        <f t="shared" si="3"/>
        <v>43840</v>
      </c>
      <c r="B137" s="8">
        <v>43840</v>
      </c>
      <c r="C137" s="1">
        <v>8</v>
      </c>
      <c r="D137" t="s">
        <v>9</v>
      </c>
      <c r="F137" t="s">
        <v>26</v>
      </c>
      <c r="G137" t="s">
        <v>75</v>
      </c>
      <c r="I137" t="s">
        <v>6</v>
      </c>
      <c r="J137">
        <v>21</v>
      </c>
      <c r="K137" t="s">
        <v>88</v>
      </c>
      <c r="L137" t="s">
        <v>122</v>
      </c>
      <c r="M137" t="s">
        <v>111</v>
      </c>
      <c r="N137" t="s">
        <v>181</v>
      </c>
      <c r="O137" t="s">
        <v>111</v>
      </c>
      <c r="P137" t="s">
        <v>184</v>
      </c>
      <c r="Q137" t="s">
        <v>178</v>
      </c>
      <c r="R137" t="s">
        <v>185</v>
      </c>
      <c r="S137" t="s">
        <v>187</v>
      </c>
      <c r="T137" t="s">
        <v>111</v>
      </c>
    </row>
    <row r="138" spans="1:20" x14ac:dyDescent="0.35">
      <c r="A138" s="11">
        <f t="shared" si="3"/>
        <v>43840</v>
      </c>
      <c r="B138" s="8">
        <v>43840</v>
      </c>
      <c r="C138" s="1">
        <v>8</v>
      </c>
      <c r="D138" t="s">
        <v>9</v>
      </c>
      <c r="F138" t="s">
        <v>26</v>
      </c>
      <c r="G138" t="s">
        <v>75</v>
      </c>
      <c r="I138" t="s">
        <v>6</v>
      </c>
      <c r="J138">
        <v>21</v>
      </c>
      <c r="K138" t="s">
        <v>89</v>
      </c>
      <c r="L138" t="s">
        <v>144</v>
      </c>
      <c r="M138" t="s">
        <v>121</v>
      </c>
      <c r="N138" t="s">
        <v>182</v>
      </c>
      <c r="O138" t="s">
        <v>125</v>
      </c>
      <c r="P138" t="s">
        <v>179</v>
      </c>
      <c r="Q138" t="s">
        <v>144</v>
      </c>
      <c r="R138" t="s">
        <v>186</v>
      </c>
      <c r="S138" t="s">
        <v>188</v>
      </c>
      <c r="T138" t="s">
        <v>189</v>
      </c>
    </row>
    <row r="139" spans="1:20" x14ac:dyDescent="0.35">
      <c r="A139" s="11">
        <f t="shared" si="3"/>
        <v>43840</v>
      </c>
      <c r="B139" s="8">
        <v>43840</v>
      </c>
      <c r="C139" s="1">
        <v>8</v>
      </c>
      <c r="D139" t="s">
        <v>9</v>
      </c>
      <c r="F139" t="s">
        <v>26</v>
      </c>
      <c r="G139" t="s">
        <v>75</v>
      </c>
      <c r="I139" t="s">
        <v>6</v>
      </c>
      <c r="J139">
        <v>21</v>
      </c>
      <c r="K139" t="s">
        <v>90</v>
      </c>
      <c r="L139" t="s">
        <v>86</v>
      </c>
      <c r="M139" t="s">
        <v>106</v>
      </c>
      <c r="N139" t="s">
        <v>183</v>
      </c>
      <c r="O139" t="s">
        <v>106</v>
      </c>
      <c r="P139" t="s">
        <v>177</v>
      </c>
      <c r="Q139" t="s">
        <v>86</v>
      </c>
      <c r="R139" t="s">
        <v>93</v>
      </c>
      <c r="S139" t="s">
        <v>93</v>
      </c>
      <c r="T139" t="s">
        <v>190</v>
      </c>
    </row>
    <row r="140" spans="1:20" x14ac:dyDescent="0.35">
      <c r="A140" s="13">
        <f>DATE(VALUE(RIGHT(B140,4)), VALUE(MID(B140,4,1)), VALUE(LEFT(B140,2)))</f>
        <v>43853</v>
      </c>
      <c r="B140" s="8" t="s">
        <v>239</v>
      </c>
      <c r="C140" s="1">
        <v>10</v>
      </c>
      <c r="D140" s="20" t="s">
        <v>9</v>
      </c>
      <c r="E140" s="1"/>
      <c r="F140" s="1" t="s">
        <v>30</v>
      </c>
      <c r="G140" t="s">
        <v>75</v>
      </c>
      <c r="I140" t="s">
        <v>6</v>
      </c>
      <c r="J140">
        <v>14</v>
      </c>
      <c r="K140" t="s">
        <v>88</v>
      </c>
      <c r="L140" t="s">
        <v>111</v>
      </c>
      <c r="M140" t="s">
        <v>284</v>
      </c>
      <c r="N140" t="s">
        <v>115</v>
      </c>
      <c r="O140" t="s">
        <v>288</v>
      </c>
      <c r="P140" t="s">
        <v>290</v>
      </c>
      <c r="Q140" t="s">
        <v>291</v>
      </c>
      <c r="R140" t="s">
        <v>293</v>
      </c>
      <c r="S140" t="s">
        <v>294</v>
      </c>
      <c r="T140" t="s">
        <v>295</v>
      </c>
    </row>
    <row r="141" spans="1:20" x14ac:dyDescent="0.35">
      <c r="A141" s="13">
        <f>DATE(VALUE(RIGHT(B141,4)), VALUE(MID(B141,4,1)), VALUE(LEFT(B141,2)))</f>
        <v>43853</v>
      </c>
      <c r="B141" s="8" t="str">
        <f>B140</f>
        <v>23/1/2020</v>
      </c>
      <c r="C141" s="1">
        <v>10</v>
      </c>
      <c r="D141" s="20" t="s">
        <v>9</v>
      </c>
      <c r="E141" s="1"/>
      <c r="F141" s="1" t="s">
        <v>30</v>
      </c>
      <c r="G141" t="s">
        <v>75</v>
      </c>
      <c r="I141" t="s">
        <v>6</v>
      </c>
      <c r="J141">
        <v>14</v>
      </c>
      <c r="K141" t="s">
        <v>89</v>
      </c>
      <c r="L141" t="s">
        <v>283</v>
      </c>
      <c r="M141" t="s">
        <v>285</v>
      </c>
      <c r="N141" t="s">
        <v>287</v>
      </c>
      <c r="O141" t="s">
        <v>97</v>
      </c>
      <c r="P141" t="s">
        <v>95</v>
      </c>
      <c r="Q141" t="s">
        <v>292</v>
      </c>
      <c r="R141" t="s">
        <v>179</v>
      </c>
      <c r="S141" t="s">
        <v>116</v>
      </c>
      <c r="T141" t="s">
        <v>163</v>
      </c>
    </row>
    <row r="142" spans="1:20" x14ac:dyDescent="0.35">
      <c r="A142" s="13">
        <f>DATE(VALUE(RIGHT(B142,4)), VALUE(MID(B142,4,1)), VALUE(LEFT(B142,2)))</f>
        <v>43853</v>
      </c>
      <c r="B142" s="8" t="str">
        <f>B141</f>
        <v>23/1/2020</v>
      </c>
      <c r="C142" s="1">
        <v>10</v>
      </c>
      <c r="D142" s="20" t="s">
        <v>9</v>
      </c>
      <c r="E142" s="1"/>
      <c r="F142" s="1" t="s">
        <v>30</v>
      </c>
      <c r="G142" t="s">
        <v>75</v>
      </c>
      <c r="I142" t="s">
        <v>6</v>
      </c>
      <c r="J142">
        <v>14</v>
      </c>
      <c r="K142" t="s">
        <v>90</v>
      </c>
      <c r="L142" t="s">
        <v>86</v>
      </c>
      <c r="M142" t="s">
        <v>286</v>
      </c>
      <c r="N142" t="s">
        <v>93</v>
      </c>
      <c r="O142" t="s">
        <v>289</v>
      </c>
      <c r="P142" t="s">
        <v>93</v>
      </c>
      <c r="Q142" t="s">
        <v>93</v>
      </c>
      <c r="R142" t="s">
        <v>93</v>
      </c>
      <c r="S142" t="s">
        <v>93</v>
      </c>
      <c r="T142" t="s">
        <v>93</v>
      </c>
    </row>
    <row r="143" spans="1:20" x14ac:dyDescent="0.35">
      <c r="A143" s="13">
        <v>43868</v>
      </c>
      <c r="B143" s="8">
        <v>43868</v>
      </c>
      <c r="C143" s="1">
        <v>10</v>
      </c>
      <c r="D143" s="20" t="s">
        <v>9</v>
      </c>
      <c r="E143" s="1"/>
      <c r="F143" s="1" t="s">
        <v>30</v>
      </c>
      <c r="G143" t="s">
        <v>75</v>
      </c>
      <c r="I143" t="s">
        <v>479</v>
      </c>
      <c r="J143">
        <v>284</v>
      </c>
      <c r="K143" t="s">
        <v>88</v>
      </c>
      <c r="L143" t="s">
        <v>821</v>
      </c>
      <c r="M143" t="s">
        <v>135</v>
      </c>
      <c r="N143" t="s">
        <v>150</v>
      </c>
      <c r="O143" t="s">
        <v>822</v>
      </c>
      <c r="P143" t="s">
        <v>378</v>
      </c>
      <c r="Q143" t="s">
        <v>351</v>
      </c>
      <c r="R143" t="s">
        <v>178</v>
      </c>
      <c r="S143" t="s">
        <v>350</v>
      </c>
      <c r="T143" t="s">
        <v>350</v>
      </c>
    </row>
    <row r="144" spans="1:20" x14ac:dyDescent="0.35">
      <c r="A144" s="13">
        <v>43868</v>
      </c>
      <c r="B144" s="8">
        <v>43868</v>
      </c>
      <c r="C144" s="1">
        <v>10</v>
      </c>
      <c r="D144" s="20" t="s">
        <v>9</v>
      </c>
      <c r="E144" s="1"/>
      <c r="F144" s="1" t="s">
        <v>30</v>
      </c>
      <c r="G144" t="s">
        <v>75</v>
      </c>
      <c r="I144" t="s">
        <v>479</v>
      </c>
      <c r="J144">
        <v>284</v>
      </c>
      <c r="K144" t="s">
        <v>89</v>
      </c>
      <c r="L144" t="s">
        <v>823</v>
      </c>
      <c r="M144" t="s">
        <v>750</v>
      </c>
      <c r="N144" t="s">
        <v>747</v>
      </c>
      <c r="O144" t="s">
        <v>824</v>
      </c>
      <c r="P144" t="s">
        <v>750</v>
      </c>
      <c r="Q144" t="s">
        <v>825</v>
      </c>
      <c r="R144" t="s">
        <v>179</v>
      </c>
      <c r="S144" t="s">
        <v>826</v>
      </c>
      <c r="T144" t="s">
        <v>116</v>
      </c>
    </row>
    <row r="145" spans="1:20" x14ac:dyDescent="0.35">
      <c r="A145" s="13">
        <v>43868</v>
      </c>
      <c r="B145" s="8">
        <v>43868</v>
      </c>
      <c r="C145" s="1">
        <v>10</v>
      </c>
      <c r="D145" s="20" t="s">
        <v>9</v>
      </c>
      <c r="E145" s="1"/>
      <c r="F145" s="1" t="s">
        <v>30</v>
      </c>
      <c r="G145" t="s">
        <v>75</v>
      </c>
      <c r="I145" t="s">
        <v>479</v>
      </c>
      <c r="J145">
        <v>284</v>
      </c>
      <c r="K145" t="s">
        <v>90</v>
      </c>
      <c r="L145" t="s">
        <v>827</v>
      </c>
      <c r="M145" t="s">
        <v>752</v>
      </c>
      <c r="N145" t="s">
        <v>752</v>
      </c>
      <c r="O145" t="s">
        <v>752</v>
      </c>
      <c r="P145" t="s">
        <v>752</v>
      </c>
      <c r="Q145" t="s">
        <v>828</v>
      </c>
      <c r="R145" t="s">
        <v>93</v>
      </c>
      <c r="S145" t="s">
        <v>93</v>
      </c>
      <c r="T145" t="s">
        <v>93</v>
      </c>
    </row>
    <row r="146" spans="1:20" x14ac:dyDescent="0.35">
      <c r="A146" s="13">
        <v>43877</v>
      </c>
      <c r="B146" s="8">
        <v>43877</v>
      </c>
      <c r="C146" s="1">
        <f>VLOOKUP(F146,Motorcycles!$C$2:$L$35,10,0)</f>
        <v>10</v>
      </c>
      <c r="D146" s="20" t="s">
        <v>9</v>
      </c>
      <c r="E146" s="1"/>
      <c r="F146" s="1" t="s">
        <v>30</v>
      </c>
      <c r="G146" t="s">
        <v>75</v>
      </c>
      <c r="I146" t="s">
        <v>479</v>
      </c>
      <c r="J146">
        <v>298</v>
      </c>
      <c r="K146" t="s">
        <v>88</v>
      </c>
      <c r="L146" t="s">
        <v>575</v>
      </c>
      <c r="M146" t="s">
        <v>122</v>
      </c>
      <c r="N146" t="s">
        <v>151</v>
      </c>
      <c r="O146" t="s">
        <v>122</v>
      </c>
      <c r="P146" t="s">
        <v>151</v>
      </c>
      <c r="Q146" t="s">
        <v>585</v>
      </c>
    </row>
    <row r="147" spans="1:20" x14ac:dyDescent="0.35">
      <c r="A147" s="13">
        <v>43877</v>
      </c>
      <c r="B147" s="8">
        <v>43877</v>
      </c>
      <c r="C147" s="1">
        <f>VLOOKUP(F147,Motorcycles!$C$2:$L$35,10,0)</f>
        <v>10</v>
      </c>
      <c r="D147" s="20" t="s">
        <v>9</v>
      </c>
      <c r="E147" s="1"/>
      <c r="F147" s="1" t="s">
        <v>30</v>
      </c>
      <c r="G147" t="s">
        <v>75</v>
      </c>
      <c r="I147" t="s">
        <v>479</v>
      </c>
      <c r="J147">
        <v>298</v>
      </c>
      <c r="K147" t="s">
        <v>89</v>
      </c>
      <c r="L147" t="s">
        <v>144</v>
      </c>
      <c r="M147" t="s">
        <v>590</v>
      </c>
      <c r="N147" t="s">
        <v>609</v>
      </c>
      <c r="O147" t="s">
        <v>121</v>
      </c>
      <c r="P147" t="s">
        <v>606</v>
      </c>
      <c r="Q147" t="s">
        <v>593</v>
      </c>
    </row>
    <row r="148" spans="1:20" x14ac:dyDescent="0.35">
      <c r="A148" s="13">
        <v>43877</v>
      </c>
      <c r="B148" s="8">
        <v>43877</v>
      </c>
      <c r="C148" s="1">
        <f>VLOOKUP(F148,Motorcycles!$C$2:$L$35,10,0)</f>
        <v>10</v>
      </c>
      <c r="D148" s="20" t="s">
        <v>9</v>
      </c>
      <c r="E148" s="1"/>
      <c r="F148" s="1" t="s">
        <v>30</v>
      </c>
      <c r="G148" t="s">
        <v>75</v>
      </c>
      <c r="I148" t="s">
        <v>479</v>
      </c>
      <c r="J148">
        <v>298</v>
      </c>
      <c r="K148" t="s">
        <v>90</v>
      </c>
      <c r="L148" t="s">
        <v>594</v>
      </c>
      <c r="M148" t="s">
        <v>603</v>
      </c>
      <c r="N148" t="s">
        <v>93</v>
      </c>
      <c r="O148" t="s">
        <v>601</v>
      </c>
      <c r="P148" t="s">
        <v>93</v>
      </c>
      <c r="Q148" t="s">
        <v>596</v>
      </c>
    </row>
    <row r="149" spans="1:20" x14ac:dyDescent="0.35">
      <c r="A149" s="11">
        <v>43884</v>
      </c>
      <c r="B149" s="11">
        <v>43884</v>
      </c>
      <c r="C149" s="1">
        <v>10</v>
      </c>
      <c r="D149" s="14" t="s">
        <v>9</v>
      </c>
      <c r="F149" t="s">
        <v>30</v>
      </c>
      <c r="G149" s="14" t="s">
        <v>75</v>
      </c>
      <c r="I149" s="14" t="s">
        <v>479</v>
      </c>
      <c r="J149" s="16">
        <v>226</v>
      </c>
      <c r="K149" s="14" t="s">
        <v>88</v>
      </c>
      <c r="L149" s="14" t="s">
        <v>122</v>
      </c>
      <c r="M149" s="14" t="s">
        <v>122</v>
      </c>
      <c r="N149" s="14" t="s">
        <v>151</v>
      </c>
      <c r="O149" s="14" t="s">
        <v>122</v>
      </c>
      <c r="P149" s="14" t="s">
        <v>151</v>
      </c>
      <c r="Q149" s="14" t="s">
        <v>583</v>
      </c>
      <c r="R149" s="14"/>
      <c r="S149" s="14"/>
    </row>
    <row r="150" spans="1:20" x14ac:dyDescent="0.35">
      <c r="A150" s="11">
        <v>43884</v>
      </c>
      <c r="B150" s="11">
        <v>43884</v>
      </c>
      <c r="C150" s="1">
        <v>10</v>
      </c>
      <c r="D150" s="14" t="s">
        <v>9</v>
      </c>
      <c r="F150" t="s">
        <v>30</v>
      </c>
      <c r="G150" s="14" t="s">
        <v>75</v>
      </c>
      <c r="I150" s="14" t="s">
        <v>479</v>
      </c>
      <c r="J150" s="16">
        <v>226</v>
      </c>
      <c r="K150" s="14" t="s">
        <v>89</v>
      </c>
      <c r="L150" s="14" t="s">
        <v>144</v>
      </c>
      <c r="M150" s="14" t="s">
        <v>121</v>
      </c>
      <c r="N150" s="14" t="s">
        <v>609</v>
      </c>
      <c r="O150" s="14" t="s">
        <v>121</v>
      </c>
      <c r="P150" s="14" t="s">
        <v>606</v>
      </c>
      <c r="Q150" s="14" t="s">
        <v>607</v>
      </c>
      <c r="R150" s="14"/>
      <c r="S150" s="14"/>
    </row>
    <row r="151" spans="1:20" x14ac:dyDescent="0.35">
      <c r="A151" s="11">
        <v>43884</v>
      </c>
      <c r="B151" s="11">
        <v>43884</v>
      </c>
      <c r="C151" s="1">
        <v>10</v>
      </c>
      <c r="D151" s="14" t="s">
        <v>9</v>
      </c>
      <c r="F151" t="s">
        <v>30</v>
      </c>
      <c r="G151" s="14" t="s">
        <v>75</v>
      </c>
      <c r="I151" s="14" t="s">
        <v>479</v>
      </c>
      <c r="J151" s="16">
        <v>226</v>
      </c>
      <c r="K151" s="14" t="s">
        <v>90</v>
      </c>
      <c r="L151" s="14" t="s">
        <v>594</v>
      </c>
      <c r="M151" s="14" t="s">
        <v>603</v>
      </c>
      <c r="N151" s="14" t="s">
        <v>93</v>
      </c>
      <c r="O151" s="14" t="s">
        <v>601</v>
      </c>
      <c r="P151" s="14" t="s">
        <v>93</v>
      </c>
      <c r="Q151" s="14" t="s">
        <v>598</v>
      </c>
      <c r="R151" s="14"/>
      <c r="S151" s="14"/>
    </row>
    <row r="152" spans="1:20" x14ac:dyDescent="0.35">
      <c r="A152" s="11">
        <v>43892</v>
      </c>
      <c r="B152" s="11">
        <v>43892</v>
      </c>
      <c r="C152" s="1">
        <v>10</v>
      </c>
      <c r="D152" s="14" t="s">
        <v>9</v>
      </c>
      <c r="F152" t="s">
        <v>30</v>
      </c>
      <c r="G152" s="14" t="s">
        <v>75</v>
      </c>
      <c r="I152" s="14" t="s">
        <v>479</v>
      </c>
      <c r="J152" s="16">
        <v>258</v>
      </c>
      <c r="K152" s="14" t="s">
        <v>88</v>
      </c>
      <c r="L152" s="14" t="s">
        <v>122</v>
      </c>
      <c r="M152" s="14" t="s">
        <v>122</v>
      </c>
      <c r="N152" s="14" t="s">
        <v>151</v>
      </c>
      <c r="O152" s="14" t="s">
        <v>122</v>
      </c>
      <c r="P152" s="14" t="s">
        <v>151</v>
      </c>
      <c r="Q152" s="14" t="s">
        <v>583</v>
      </c>
      <c r="R152" s="14"/>
      <c r="S152" s="14"/>
    </row>
    <row r="153" spans="1:20" x14ac:dyDescent="0.35">
      <c r="A153" s="11">
        <v>43892</v>
      </c>
      <c r="B153" s="11">
        <v>43892</v>
      </c>
      <c r="C153" s="1">
        <v>10</v>
      </c>
      <c r="D153" s="14" t="s">
        <v>9</v>
      </c>
      <c r="F153" t="s">
        <v>30</v>
      </c>
      <c r="G153" s="14" t="s">
        <v>75</v>
      </c>
      <c r="I153" s="14" t="s">
        <v>479</v>
      </c>
      <c r="J153" s="16">
        <v>258</v>
      </c>
      <c r="K153" s="14" t="s">
        <v>89</v>
      </c>
      <c r="L153" s="14" t="s">
        <v>144</v>
      </c>
      <c r="M153" s="14" t="s">
        <v>121</v>
      </c>
      <c r="N153" s="14" t="s">
        <v>609</v>
      </c>
      <c r="O153" s="14" t="s">
        <v>121</v>
      </c>
      <c r="P153" s="14" t="s">
        <v>607</v>
      </c>
      <c r="Q153" s="14" t="s">
        <v>607</v>
      </c>
      <c r="R153" s="14"/>
      <c r="S153" s="14"/>
    </row>
    <row r="154" spans="1:20" x14ac:dyDescent="0.35">
      <c r="A154" s="11">
        <v>43892</v>
      </c>
      <c r="B154" s="11">
        <v>43892</v>
      </c>
      <c r="C154" s="1">
        <v>10</v>
      </c>
      <c r="D154" s="14" t="s">
        <v>9</v>
      </c>
      <c r="F154" t="s">
        <v>30</v>
      </c>
      <c r="G154" s="14" t="s">
        <v>75</v>
      </c>
      <c r="I154" s="14" t="s">
        <v>479</v>
      </c>
      <c r="J154" s="16">
        <v>258</v>
      </c>
      <c r="K154" s="14" t="s">
        <v>90</v>
      </c>
      <c r="L154" s="14" t="s">
        <v>594</v>
      </c>
      <c r="M154" s="14" t="s">
        <v>603</v>
      </c>
      <c r="N154" s="14" t="s">
        <v>93</v>
      </c>
      <c r="O154" s="14" t="s">
        <v>601</v>
      </c>
      <c r="P154" s="14" t="s">
        <v>599</v>
      </c>
      <c r="Q154" s="14" t="s">
        <v>598</v>
      </c>
      <c r="R154" s="14"/>
      <c r="S154" s="14"/>
    </row>
    <row r="155" spans="1:20" x14ac:dyDescent="0.35">
      <c r="A155" s="11">
        <v>43900</v>
      </c>
      <c r="B155" s="11">
        <v>43900</v>
      </c>
      <c r="C155" s="1">
        <v>10</v>
      </c>
      <c r="D155" s="20" t="s">
        <v>9</v>
      </c>
      <c r="E155" s="1"/>
      <c r="F155" s="1" t="s">
        <v>30</v>
      </c>
      <c r="G155" s="14" t="s">
        <v>75</v>
      </c>
      <c r="I155" s="14" t="s">
        <v>479</v>
      </c>
      <c r="J155" s="16">
        <v>208</v>
      </c>
      <c r="K155" s="14" t="s">
        <v>88</v>
      </c>
      <c r="L155" s="14" t="s">
        <v>575</v>
      </c>
      <c r="M155" s="14" t="s">
        <v>154</v>
      </c>
      <c r="N155" s="14" t="s">
        <v>151</v>
      </c>
      <c r="O155" s="14" t="s">
        <v>122</v>
      </c>
      <c r="P155" s="14" t="s">
        <v>151</v>
      </c>
      <c r="Q155" s="14" t="s">
        <v>583</v>
      </c>
      <c r="R155" s="14"/>
      <c r="S155" s="14"/>
    </row>
    <row r="156" spans="1:20" x14ac:dyDescent="0.35">
      <c r="A156" s="11">
        <v>43900</v>
      </c>
      <c r="B156" s="11">
        <v>43900</v>
      </c>
      <c r="C156" s="1">
        <v>10</v>
      </c>
      <c r="D156" s="20" t="s">
        <v>9</v>
      </c>
      <c r="E156" s="1"/>
      <c r="F156" s="1" t="s">
        <v>30</v>
      </c>
      <c r="G156" s="14" t="s">
        <v>75</v>
      </c>
      <c r="I156" s="14" t="s">
        <v>479</v>
      </c>
      <c r="J156" s="16">
        <v>208</v>
      </c>
      <c r="K156" s="14" t="s">
        <v>89</v>
      </c>
      <c r="L156" s="14" t="s">
        <v>144</v>
      </c>
      <c r="M156" s="14" t="s">
        <v>607</v>
      </c>
      <c r="N156" s="14" t="s">
        <v>609</v>
      </c>
      <c r="O156" s="14" t="s">
        <v>121</v>
      </c>
      <c r="P156" s="14" t="s">
        <v>607</v>
      </c>
      <c r="Q156" s="14" t="s">
        <v>607</v>
      </c>
      <c r="R156" s="14"/>
      <c r="S156" s="14"/>
    </row>
    <row r="157" spans="1:20" x14ac:dyDescent="0.35">
      <c r="A157" s="11">
        <v>43900</v>
      </c>
      <c r="B157" s="11">
        <v>43900</v>
      </c>
      <c r="C157" s="1">
        <v>10</v>
      </c>
      <c r="D157" s="20" t="s">
        <v>9</v>
      </c>
      <c r="E157" s="1"/>
      <c r="F157" s="1" t="s">
        <v>30</v>
      </c>
      <c r="G157" s="14" t="s">
        <v>75</v>
      </c>
      <c r="I157" s="14" t="s">
        <v>479</v>
      </c>
      <c r="J157" s="16">
        <v>208</v>
      </c>
      <c r="K157" s="14" t="s">
        <v>90</v>
      </c>
      <c r="L157" s="14" t="s">
        <v>594</v>
      </c>
      <c r="M157" s="14" t="s">
        <v>93</v>
      </c>
      <c r="N157" s="14" t="s">
        <v>93</v>
      </c>
      <c r="O157" s="14" t="s">
        <v>601</v>
      </c>
      <c r="P157" s="14" t="s">
        <v>93</v>
      </c>
      <c r="Q157" s="14" t="s">
        <v>598</v>
      </c>
      <c r="R157" s="14"/>
      <c r="S157" s="14"/>
    </row>
    <row r="158" spans="1:20" x14ac:dyDescent="0.35">
      <c r="A158" s="11">
        <f>B158</f>
        <v>43841</v>
      </c>
      <c r="B158" s="8">
        <v>43841</v>
      </c>
      <c r="C158" s="1">
        <v>11</v>
      </c>
      <c r="D158" t="s">
        <v>9</v>
      </c>
      <c r="F158" t="s">
        <v>33</v>
      </c>
      <c r="G158" t="s">
        <v>34</v>
      </c>
      <c r="I158" t="s">
        <v>6</v>
      </c>
      <c r="J158">
        <v>23</v>
      </c>
      <c r="K158" t="s">
        <v>88</v>
      </c>
      <c r="L158" t="s">
        <v>319</v>
      </c>
      <c r="M158" t="s">
        <v>135</v>
      </c>
      <c r="N158" t="s">
        <v>137</v>
      </c>
      <c r="O158" t="s">
        <v>122</v>
      </c>
      <c r="P158" t="s">
        <v>115</v>
      </c>
      <c r="Q158" t="s">
        <v>140</v>
      </c>
      <c r="R158" t="s">
        <v>192</v>
      </c>
      <c r="S158" t="s">
        <v>115</v>
      </c>
      <c r="T158" t="s">
        <v>143</v>
      </c>
    </row>
    <row r="159" spans="1:20" x14ac:dyDescent="0.35">
      <c r="A159" s="11">
        <f>B159</f>
        <v>43841</v>
      </c>
      <c r="B159" s="8">
        <v>43841</v>
      </c>
      <c r="C159" s="1">
        <v>11</v>
      </c>
      <c r="D159" t="s">
        <v>9</v>
      </c>
      <c r="F159" t="s">
        <v>33</v>
      </c>
      <c r="G159" t="s">
        <v>34</v>
      </c>
      <c r="I159" t="s">
        <v>6</v>
      </c>
      <c r="J159">
        <v>23</v>
      </c>
      <c r="K159" t="s">
        <v>89</v>
      </c>
      <c r="L159" t="s">
        <v>144</v>
      </c>
      <c r="M159" t="s">
        <v>136</v>
      </c>
      <c r="N159" t="s">
        <v>110</v>
      </c>
      <c r="O159" t="s">
        <v>139</v>
      </c>
      <c r="P159" t="s">
        <v>116</v>
      </c>
      <c r="Q159" t="s">
        <v>95</v>
      </c>
      <c r="R159" t="s">
        <v>141</v>
      </c>
      <c r="S159" t="s">
        <v>142</v>
      </c>
      <c r="T159" t="s">
        <v>116</v>
      </c>
    </row>
    <row r="160" spans="1:20" x14ac:dyDescent="0.35">
      <c r="A160" s="11">
        <f>B160</f>
        <v>43841</v>
      </c>
      <c r="B160" s="8">
        <v>43841</v>
      </c>
      <c r="C160" s="1">
        <v>11</v>
      </c>
      <c r="D160" t="s">
        <v>9</v>
      </c>
      <c r="F160" t="s">
        <v>33</v>
      </c>
      <c r="G160" t="s">
        <v>34</v>
      </c>
      <c r="I160" t="s">
        <v>6</v>
      </c>
      <c r="J160">
        <v>23</v>
      </c>
      <c r="K160" t="s">
        <v>90</v>
      </c>
      <c r="L160" t="s">
        <v>86</v>
      </c>
      <c r="M160" t="s">
        <v>93</v>
      </c>
      <c r="N160" t="s">
        <v>138</v>
      </c>
      <c r="O160" t="s">
        <v>106</v>
      </c>
      <c r="P160" t="s">
        <v>93</v>
      </c>
      <c r="Q160" t="s">
        <v>93</v>
      </c>
      <c r="R160" t="s">
        <v>93</v>
      </c>
      <c r="S160" t="s">
        <v>93</v>
      </c>
      <c r="T160" t="s">
        <v>93</v>
      </c>
    </row>
    <row r="161" spans="1:20" x14ac:dyDescent="0.35">
      <c r="A161" s="13">
        <f t="shared" ref="A161:A169" si="4">DATE(VALUE(RIGHT(B161,4)), VALUE(MID(B161,4,1)), VALUE(LEFT(B161,2)))</f>
        <v>43848</v>
      </c>
      <c r="B161" s="8" t="s">
        <v>243</v>
      </c>
      <c r="C161" s="1">
        <v>11</v>
      </c>
      <c r="D161" t="s">
        <v>9</v>
      </c>
      <c r="F161" t="s">
        <v>33</v>
      </c>
      <c r="G161" t="s">
        <v>34</v>
      </c>
      <c r="I161" t="s">
        <v>217</v>
      </c>
      <c r="J161">
        <v>48</v>
      </c>
      <c r="K161" t="s">
        <v>88</v>
      </c>
      <c r="L161" t="s">
        <v>319</v>
      </c>
      <c r="M161" t="s">
        <v>155</v>
      </c>
      <c r="N161" t="s">
        <v>245</v>
      </c>
      <c r="O161" t="s">
        <v>154</v>
      </c>
      <c r="P161" t="s">
        <v>151</v>
      </c>
      <c r="Q161" t="s">
        <v>155</v>
      </c>
    </row>
    <row r="162" spans="1:20" x14ac:dyDescent="0.35">
      <c r="A162" s="13">
        <f t="shared" si="4"/>
        <v>43848</v>
      </c>
      <c r="B162" s="8" t="str">
        <f>B161</f>
        <v>18/1/2020</v>
      </c>
      <c r="C162" s="1">
        <v>11</v>
      </c>
      <c r="D162" t="s">
        <v>9</v>
      </c>
      <c r="F162" t="s">
        <v>33</v>
      </c>
      <c r="G162" t="s">
        <v>34</v>
      </c>
      <c r="I162" t="s">
        <v>217</v>
      </c>
      <c r="J162">
        <v>48</v>
      </c>
      <c r="K162" t="s">
        <v>89</v>
      </c>
      <c r="L162" t="s">
        <v>244</v>
      </c>
      <c r="M162" t="s">
        <v>136</v>
      </c>
      <c r="N162" t="s">
        <v>99</v>
      </c>
      <c r="O162" t="s">
        <v>97</v>
      </c>
      <c r="P162" t="s">
        <v>116</v>
      </c>
      <c r="Q162" t="s">
        <v>247</v>
      </c>
    </row>
    <row r="163" spans="1:20" x14ac:dyDescent="0.35">
      <c r="A163" s="13">
        <f t="shared" si="4"/>
        <v>43848</v>
      </c>
      <c r="B163" s="8" t="str">
        <f>B162</f>
        <v>18/1/2020</v>
      </c>
      <c r="C163" s="1">
        <v>11</v>
      </c>
      <c r="D163" t="s">
        <v>9</v>
      </c>
      <c r="F163" t="s">
        <v>33</v>
      </c>
      <c r="G163" t="s">
        <v>34</v>
      </c>
      <c r="I163" t="s">
        <v>217</v>
      </c>
      <c r="J163">
        <v>48</v>
      </c>
      <c r="K163" t="s">
        <v>90</v>
      </c>
      <c r="L163" t="s">
        <v>86</v>
      </c>
      <c r="M163" t="s">
        <v>93</v>
      </c>
      <c r="N163" t="s">
        <v>93</v>
      </c>
      <c r="O163" t="s">
        <v>246</v>
      </c>
      <c r="P163" t="s">
        <v>93</v>
      </c>
      <c r="Q163" t="s">
        <v>93</v>
      </c>
    </row>
    <row r="164" spans="1:20" x14ac:dyDescent="0.35">
      <c r="A164" s="13">
        <f t="shared" si="4"/>
        <v>43854</v>
      </c>
      <c r="B164" s="8" t="s">
        <v>296</v>
      </c>
      <c r="C164" s="1">
        <v>11</v>
      </c>
      <c r="D164" t="s">
        <v>9</v>
      </c>
      <c r="F164" t="s">
        <v>33</v>
      </c>
      <c r="G164" t="s">
        <v>34</v>
      </c>
      <c r="I164" t="s">
        <v>217</v>
      </c>
      <c r="J164">
        <v>41</v>
      </c>
      <c r="K164" t="s">
        <v>88</v>
      </c>
      <c r="L164" t="s">
        <v>319</v>
      </c>
      <c r="M164" t="s">
        <v>96</v>
      </c>
      <c r="N164" t="s">
        <v>200</v>
      </c>
      <c r="O164" t="s">
        <v>288</v>
      </c>
      <c r="P164" t="s">
        <v>115</v>
      </c>
      <c r="Q164" t="s">
        <v>300</v>
      </c>
    </row>
    <row r="165" spans="1:20" x14ac:dyDescent="0.35">
      <c r="A165" s="13">
        <f t="shared" si="4"/>
        <v>43854</v>
      </c>
      <c r="B165" s="8" t="str">
        <f>B164</f>
        <v>24/1/12020</v>
      </c>
      <c r="C165" s="1">
        <v>11</v>
      </c>
      <c r="D165" t="s">
        <v>9</v>
      </c>
      <c r="F165" t="s">
        <v>33</v>
      </c>
      <c r="G165" t="s">
        <v>34</v>
      </c>
      <c r="I165" t="s">
        <v>217</v>
      </c>
      <c r="J165">
        <v>41</v>
      </c>
      <c r="K165" t="s">
        <v>89</v>
      </c>
      <c r="L165" t="s">
        <v>218</v>
      </c>
      <c r="M165" t="s">
        <v>297</v>
      </c>
      <c r="N165" t="s">
        <v>298</v>
      </c>
      <c r="O165" t="s">
        <v>219</v>
      </c>
      <c r="P165" t="s">
        <v>116</v>
      </c>
      <c r="Q165" t="s">
        <v>116</v>
      </c>
    </row>
    <row r="166" spans="1:20" x14ac:dyDescent="0.35">
      <c r="A166" s="13">
        <f t="shared" si="4"/>
        <v>43854</v>
      </c>
      <c r="B166" s="8" t="str">
        <f>B165</f>
        <v>24/1/12020</v>
      </c>
      <c r="C166" s="1">
        <v>11</v>
      </c>
      <c r="D166" t="s">
        <v>9</v>
      </c>
      <c r="F166" t="s">
        <v>33</v>
      </c>
      <c r="G166" t="s">
        <v>34</v>
      </c>
      <c r="I166" t="s">
        <v>217</v>
      </c>
      <c r="J166">
        <v>41</v>
      </c>
      <c r="K166" t="s">
        <v>90</v>
      </c>
      <c r="L166" t="s">
        <v>86</v>
      </c>
      <c r="M166" t="s">
        <v>93</v>
      </c>
      <c r="N166" t="s">
        <v>93</v>
      </c>
      <c r="O166" t="s">
        <v>299</v>
      </c>
      <c r="P166" t="s">
        <v>93</v>
      </c>
      <c r="Q166" t="s">
        <v>93</v>
      </c>
    </row>
    <row r="167" spans="1:20" x14ac:dyDescent="0.35">
      <c r="A167" s="13">
        <f t="shared" si="4"/>
        <v>43861</v>
      </c>
      <c r="B167" s="8" t="s">
        <v>344</v>
      </c>
      <c r="C167" s="1">
        <v>11</v>
      </c>
      <c r="D167" t="s">
        <v>9</v>
      </c>
      <c r="F167" t="s">
        <v>33</v>
      </c>
      <c r="G167" t="s">
        <v>34</v>
      </c>
      <c r="I167" t="s">
        <v>217</v>
      </c>
      <c r="J167">
        <v>59</v>
      </c>
      <c r="K167" t="s">
        <v>88</v>
      </c>
      <c r="L167" t="s">
        <v>122</v>
      </c>
      <c r="M167" t="s">
        <v>151</v>
      </c>
      <c r="N167" t="s">
        <v>316</v>
      </c>
      <c r="O167" t="s">
        <v>370</v>
      </c>
      <c r="P167" t="s">
        <v>371</v>
      </c>
      <c r="Q167" t="s">
        <v>245</v>
      </c>
      <c r="R167" t="s">
        <v>372</v>
      </c>
      <c r="S167" t="s">
        <v>155</v>
      </c>
      <c r="T167" t="s">
        <v>245</v>
      </c>
    </row>
    <row r="168" spans="1:20" x14ac:dyDescent="0.35">
      <c r="A168" s="13">
        <f t="shared" si="4"/>
        <v>43861</v>
      </c>
      <c r="B168" s="8" t="str">
        <f>B167</f>
        <v>31/1/2020</v>
      </c>
      <c r="C168" s="1">
        <v>11</v>
      </c>
      <c r="D168" t="s">
        <v>9</v>
      </c>
      <c r="F168" t="s">
        <v>33</v>
      </c>
      <c r="G168" t="s">
        <v>34</v>
      </c>
      <c r="I168" t="s">
        <v>217</v>
      </c>
      <c r="J168">
        <v>59</v>
      </c>
      <c r="K168" t="s">
        <v>89</v>
      </c>
      <c r="L168" t="s">
        <v>314</v>
      </c>
      <c r="M168" t="s">
        <v>363</v>
      </c>
      <c r="N168" t="s">
        <v>369</v>
      </c>
      <c r="O168" t="s">
        <v>358</v>
      </c>
      <c r="P168" t="s">
        <v>95</v>
      </c>
      <c r="Q168" t="s">
        <v>92</v>
      </c>
      <c r="R168" t="s">
        <v>93</v>
      </c>
      <c r="S168" t="s">
        <v>116</v>
      </c>
      <c r="T168" t="s">
        <v>367</v>
      </c>
    </row>
    <row r="169" spans="1:20" x14ac:dyDescent="0.35">
      <c r="A169" s="13">
        <f t="shared" si="4"/>
        <v>43861</v>
      </c>
      <c r="B169" s="8" t="str">
        <f>B168</f>
        <v>31/1/2020</v>
      </c>
      <c r="C169" s="1">
        <v>11</v>
      </c>
      <c r="D169" t="s">
        <v>9</v>
      </c>
      <c r="F169" t="s">
        <v>33</v>
      </c>
      <c r="G169" t="s">
        <v>34</v>
      </c>
      <c r="I169" t="s">
        <v>217</v>
      </c>
      <c r="J169">
        <v>59</v>
      </c>
      <c r="K169" t="s">
        <v>90</v>
      </c>
      <c r="L169" t="s">
        <v>368</v>
      </c>
      <c r="M169" t="s">
        <v>93</v>
      </c>
      <c r="N169" t="s">
        <v>93</v>
      </c>
      <c r="O169" t="s">
        <v>93</v>
      </c>
      <c r="P169" t="s">
        <v>93</v>
      </c>
      <c r="Q169" t="s">
        <v>93</v>
      </c>
      <c r="R169" t="s">
        <v>93</v>
      </c>
      <c r="S169" t="s">
        <v>93</v>
      </c>
      <c r="T169" t="s">
        <v>93</v>
      </c>
    </row>
    <row r="170" spans="1:20" x14ac:dyDescent="0.35">
      <c r="A170" s="13">
        <v>43868</v>
      </c>
      <c r="B170" s="8">
        <v>43868</v>
      </c>
      <c r="C170" s="1">
        <v>11</v>
      </c>
      <c r="D170" t="s">
        <v>9</v>
      </c>
      <c r="F170" t="s">
        <v>728</v>
      </c>
      <c r="G170" t="s">
        <v>34</v>
      </c>
      <c r="I170" t="s">
        <v>479</v>
      </c>
      <c r="J170">
        <v>286</v>
      </c>
      <c r="K170" t="s">
        <v>88</v>
      </c>
      <c r="L170" t="s">
        <v>729</v>
      </c>
      <c r="M170" t="s">
        <v>730</v>
      </c>
      <c r="N170" t="s">
        <v>731</v>
      </c>
      <c r="O170" t="s">
        <v>730</v>
      </c>
      <c r="P170" t="s">
        <v>350</v>
      </c>
      <c r="Q170" t="s">
        <v>350</v>
      </c>
      <c r="R170" t="s">
        <v>350</v>
      </c>
      <c r="S170" t="s">
        <v>379</v>
      </c>
      <c r="T170" t="s">
        <v>732</v>
      </c>
    </row>
    <row r="171" spans="1:20" x14ac:dyDescent="0.35">
      <c r="A171" s="13">
        <v>43868</v>
      </c>
      <c r="B171" s="8">
        <v>43868</v>
      </c>
      <c r="C171" s="1">
        <v>11</v>
      </c>
      <c r="D171" t="s">
        <v>9</v>
      </c>
      <c r="F171" t="str">
        <f>F170</f>
        <v>Nashimolo sam festo</v>
      </c>
      <c r="G171" t="s">
        <v>34</v>
      </c>
      <c r="I171" t="s">
        <v>479</v>
      </c>
      <c r="J171">
        <v>286</v>
      </c>
      <c r="K171" t="s">
        <v>89</v>
      </c>
      <c r="L171" t="s">
        <v>733</v>
      </c>
      <c r="M171" t="s">
        <v>734</v>
      </c>
      <c r="N171" t="s">
        <v>735</v>
      </c>
      <c r="O171" t="s">
        <v>736</v>
      </c>
      <c r="P171" t="s">
        <v>92</v>
      </c>
      <c r="Q171" t="s">
        <v>225</v>
      </c>
      <c r="R171" t="s">
        <v>737</v>
      </c>
      <c r="S171" t="s">
        <v>205</v>
      </c>
      <c r="T171" t="s">
        <v>223</v>
      </c>
    </row>
    <row r="172" spans="1:20" x14ac:dyDescent="0.35">
      <c r="A172" s="13">
        <v>43868</v>
      </c>
      <c r="B172" s="8">
        <v>43868</v>
      </c>
      <c r="C172" s="1">
        <v>11</v>
      </c>
      <c r="D172" t="s">
        <v>9</v>
      </c>
      <c r="F172" t="str">
        <f>F171</f>
        <v>Nashimolo sam festo</v>
      </c>
      <c r="G172" t="s">
        <v>34</v>
      </c>
      <c r="I172" t="s">
        <v>479</v>
      </c>
      <c r="J172">
        <v>286</v>
      </c>
      <c r="K172" t="s">
        <v>90</v>
      </c>
      <c r="L172" t="s">
        <v>738</v>
      </c>
      <c r="M172" t="s">
        <v>93</v>
      </c>
      <c r="N172" t="s">
        <v>93</v>
      </c>
      <c r="O172" t="s">
        <v>93</v>
      </c>
      <c r="P172" t="s">
        <v>93</v>
      </c>
      <c r="Q172" t="s">
        <v>93</v>
      </c>
      <c r="R172" t="s">
        <v>93</v>
      </c>
      <c r="S172" t="s">
        <v>93</v>
      </c>
      <c r="T172" t="s">
        <v>93</v>
      </c>
    </row>
    <row r="173" spans="1:20" x14ac:dyDescent="0.35">
      <c r="A173" s="11">
        <f>B173</f>
        <v>43841</v>
      </c>
      <c r="B173" s="8">
        <v>43841</v>
      </c>
      <c r="C173" s="1">
        <v>12</v>
      </c>
      <c r="D173" t="s">
        <v>9</v>
      </c>
      <c r="F173" t="s">
        <v>37</v>
      </c>
      <c r="G173" t="s">
        <v>34</v>
      </c>
      <c r="I173" t="s">
        <v>6</v>
      </c>
      <c r="J173">
        <v>4</v>
      </c>
      <c r="K173" t="s">
        <v>88</v>
      </c>
      <c r="L173" t="s">
        <v>154</v>
      </c>
      <c r="M173" t="s">
        <v>96</v>
      </c>
      <c r="N173" t="s">
        <v>155</v>
      </c>
      <c r="O173" t="s">
        <v>157</v>
      </c>
      <c r="P173" t="s">
        <v>94</v>
      </c>
      <c r="Q173" t="s">
        <v>159</v>
      </c>
      <c r="R173" t="s">
        <v>160</v>
      </c>
      <c r="S173" t="s">
        <v>162</v>
      </c>
      <c r="T173" t="s">
        <v>154</v>
      </c>
    </row>
    <row r="174" spans="1:20" x14ac:dyDescent="0.35">
      <c r="A174" s="11">
        <f>B174</f>
        <v>43841</v>
      </c>
      <c r="B174" s="8">
        <v>43841</v>
      </c>
      <c r="C174" s="1">
        <v>12</v>
      </c>
      <c r="D174" t="s">
        <v>9</v>
      </c>
      <c r="F174" t="s">
        <v>37</v>
      </c>
      <c r="G174" t="s">
        <v>34</v>
      </c>
      <c r="I174" t="s">
        <v>6</v>
      </c>
      <c r="J174">
        <v>4</v>
      </c>
      <c r="K174" t="s">
        <v>89</v>
      </c>
      <c r="L174" t="s">
        <v>136</v>
      </c>
      <c r="M174" t="s">
        <v>105</v>
      </c>
      <c r="N174" t="s">
        <v>156</v>
      </c>
      <c r="O174" t="s">
        <v>158</v>
      </c>
      <c r="P174" t="s">
        <v>158</v>
      </c>
      <c r="Q174" t="s">
        <v>116</v>
      </c>
      <c r="R174" t="s">
        <v>161</v>
      </c>
      <c r="S174" t="s">
        <v>163</v>
      </c>
      <c r="T174" t="s">
        <v>116</v>
      </c>
    </row>
    <row r="175" spans="1:20" x14ac:dyDescent="0.35">
      <c r="A175" s="11">
        <f>B175</f>
        <v>43841</v>
      </c>
      <c r="B175" s="8">
        <v>43841</v>
      </c>
      <c r="C175" s="1">
        <v>12</v>
      </c>
      <c r="D175" t="s">
        <v>9</v>
      </c>
      <c r="F175" t="s">
        <v>37</v>
      </c>
      <c r="G175" t="s">
        <v>34</v>
      </c>
      <c r="I175" t="s">
        <v>6</v>
      </c>
      <c r="J175">
        <v>4</v>
      </c>
      <c r="K175" t="s">
        <v>90</v>
      </c>
      <c r="L175" t="s">
        <v>93</v>
      </c>
      <c r="M175" t="s">
        <v>93</v>
      </c>
      <c r="N175" t="s">
        <v>93</v>
      </c>
      <c r="O175" t="s">
        <v>93</v>
      </c>
      <c r="P175" t="s">
        <v>93</v>
      </c>
      <c r="Q175" t="s">
        <v>93</v>
      </c>
      <c r="R175" t="s">
        <v>93</v>
      </c>
      <c r="S175" t="s">
        <v>93</v>
      </c>
      <c r="T175" t="s">
        <v>93</v>
      </c>
    </row>
    <row r="176" spans="1:20" x14ac:dyDescent="0.35">
      <c r="A176" s="13">
        <f t="shared" ref="A176:A181" si="5">DATE(VALUE(RIGHT(B176,4)), VALUE(MID(B176,4,1)), VALUE(LEFT(B176,2)))</f>
        <v>43854</v>
      </c>
      <c r="B176" s="8" t="s">
        <v>269</v>
      </c>
      <c r="C176" s="1">
        <v>12</v>
      </c>
      <c r="D176" t="s">
        <v>9</v>
      </c>
      <c r="F176" t="s">
        <v>37</v>
      </c>
      <c r="G176" t="s">
        <v>34</v>
      </c>
      <c r="I176" t="s">
        <v>217</v>
      </c>
      <c r="J176">
        <v>15</v>
      </c>
      <c r="K176" t="s">
        <v>88</v>
      </c>
      <c r="L176" t="s">
        <v>122</v>
      </c>
      <c r="M176" t="s">
        <v>154</v>
      </c>
      <c r="N176" t="s">
        <v>316</v>
      </c>
      <c r="O176" t="s">
        <v>154</v>
      </c>
      <c r="P176" t="s">
        <v>200</v>
      </c>
      <c r="Q176" t="s">
        <v>245</v>
      </c>
    </row>
    <row r="177" spans="1:20" x14ac:dyDescent="0.35">
      <c r="A177" s="13">
        <f t="shared" si="5"/>
        <v>43854</v>
      </c>
      <c r="B177" s="8" t="str">
        <f>B176</f>
        <v>24/1/2020</v>
      </c>
      <c r="C177" s="1">
        <v>12</v>
      </c>
      <c r="D177" t="s">
        <v>9</v>
      </c>
      <c r="F177" t="s">
        <v>37</v>
      </c>
      <c r="G177" t="s">
        <v>34</v>
      </c>
      <c r="I177" t="s">
        <v>217</v>
      </c>
      <c r="J177">
        <v>15</v>
      </c>
      <c r="K177" t="s">
        <v>89</v>
      </c>
      <c r="L177" t="s">
        <v>314</v>
      </c>
      <c r="M177" t="s">
        <v>315</v>
      </c>
      <c r="N177" t="s">
        <v>99</v>
      </c>
      <c r="O177" t="s">
        <v>317</v>
      </c>
      <c r="P177" t="s">
        <v>95</v>
      </c>
      <c r="Q177" t="s">
        <v>99</v>
      </c>
    </row>
    <row r="178" spans="1:20" x14ac:dyDescent="0.35">
      <c r="A178" s="13">
        <f t="shared" si="5"/>
        <v>43854</v>
      </c>
      <c r="B178" s="8" t="str">
        <f>B177</f>
        <v>24/1/2020</v>
      </c>
      <c r="C178" s="1">
        <v>12</v>
      </c>
      <c r="D178" t="s">
        <v>9</v>
      </c>
      <c r="F178" t="s">
        <v>37</v>
      </c>
      <c r="G178" t="s">
        <v>34</v>
      </c>
      <c r="I178" t="s">
        <v>217</v>
      </c>
      <c r="J178">
        <v>15</v>
      </c>
      <c r="K178" t="s">
        <v>90</v>
      </c>
      <c r="L178" t="s">
        <v>86</v>
      </c>
      <c r="M178" t="s">
        <v>93</v>
      </c>
      <c r="N178" t="s">
        <v>93</v>
      </c>
      <c r="O178" t="s">
        <v>318</v>
      </c>
      <c r="P178" t="s">
        <v>93</v>
      </c>
      <c r="Q178" t="s">
        <v>93</v>
      </c>
    </row>
    <row r="179" spans="1:20" x14ac:dyDescent="0.35">
      <c r="A179" s="13">
        <f t="shared" si="5"/>
        <v>43861</v>
      </c>
      <c r="B179" s="8" t="s">
        <v>344</v>
      </c>
      <c r="C179" s="1">
        <v>12</v>
      </c>
      <c r="D179" t="s">
        <v>9</v>
      </c>
      <c r="F179" t="s">
        <v>37</v>
      </c>
      <c r="G179" t="s">
        <v>34</v>
      </c>
      <c r="I179" t="s">
        <v>217</v>
      </c>
      <c r="J179">
        <v>57</v>
      </c>
      <c r="K179" t="s">
        <v>88</v>
      </c>
      <c r="L179" t="s">
        <v>319</v>
      </c>
      <c r="M179" t="s">
        <v>357</v>
      </c>
      <c r="N179" t="s">
        <v>290</v>
      </c>
      <c r="O179" t="s">
        <v>347</v>
      </c>
      <c r="P179" t="s">
        <v>200</v>
      </c>
      <c r="Q179" t="s">
        <v>359</v>
      </c>
      <c r="R179" t="s">
        <v>100</v>
      </c>
      <c r="S179" t="s">
        <v>200</v>
      </c>
      <c r="T179" t="s">
        <v>200</v>
      </c>
    </row>
    <row r="180" spans="1:20" x14ac:dyDescent="0.35">
      <c r="A180" s="13">
        <f t="shared" si="5"/>
        <v>43861</v>
      </c>
      <c r="B180" s="8" t="str">
        <f>B179</f>
        <v>31/1/2020</v>
      </c>
      <c r="C180" s="1">
        <v>12</v>
      </c>
      <c r="D180" t="s">
        <v>9</v>
      </c>
      <c r="F180" t="s">
        <v>37</v>
      </c>
      <c r="G180" t="s">
        <v>34</v>
      </c>
      <c r="I180" t="s">
        <v>217</v>
      </c>
      <c r="J180">
        <v>57</v>
      </c>
      <c r="K180" t="s">
        <v>89</v>
      </c>
      <c r="L180" t="s">
        <v>144</v>
      </c>
      <c r="M180" t="s">
        <v>95</v>
      </c>
      <c r="N180" t="s">
        <v>348</v>
      </c>
      <c r="O180" t="s">
        <v>358</v>
      </c>
      <c r="P180" t="s">
        <v>95</v>
      </c>
      <c r="Q180" t="s">
        <v>336</v>
      </c>
      <c r="R180" t="s">
        <v>116</v>
      </c>
      <c r="S180" t="s">
        <v>360</v>
      </c>
      <c r="T180" t="s">
        <v>361</v>
      </c>
    </row>
    <row r="181" spans="1:20" x14ac:dyDescent="0.35">
      <c r="A181" s="13">
        <f t="shared" si="5"/>
        <v>43861</v>
      </c>
      <c r="B181" s="8" t="str">
        <f>B180</f>
        <v>31/1/2020</v>
      </c>
      <c r="C181" s="1">
        <v>12</v>
      </c>
      <c r="D181" t="s">
        <v>9</v>
      </c>
      <c r="F181" t="s">
        <v>37</v>
      </c>
      <c r="G181" t="s">
        <v>34</v>
      </c>
      <c r="I181" t="s">
        <v>217</v>
      </c>
      <c r="J181">
        <v>57</v>
      </c>
      <c r="K181" t="s">
        <v>90</v>
      </c>
      <c r="L181" t="s">
        <v>86</v>
      </c>
      <c r="M181" t="s">
        <v>93</v>
      </c>
      <c r="N181" t="s">
        <v>93</v>
      </c>
      <c r="O181" t="s">
        <v>93</v>
      </c>
      <c r="P181" t="s">
        <v>93</v>
      </c>
      <c r="Q181" t="s">
        <v>93</v>
      </c>
      <c r="R181" t="s">
        <v>93</v>
      </c>
      <c r="S181" t="s">
        <v>93</v>
      </c>
      <c r="T181" t="s">
        <v>93</v>
      </c>
    </row>
    <row r="182" spans="1:20" x14ac:dyDescent="0.35">
      <c r="A182" s="13">
        <v>43868</v>
      </c>
      <c r="B182" s="8">
        <v>43868</v>
      </c>
      <c r="C182" s="1">
        <v>12</v>
      </c>
      <c r="D182" t="s">
        <v>9</v>
      </c>
      <c r="F182" t="s">
        <v>804</v>
      </c>
      <c r="G182" t="s">
        <v>11</v>
      </c>
      <c r="I182" t="s">
        <v>479</v>
      </c>
      <c r="J182">
        <v>270</v>
      </c>
      <c r="K182" t="s">
        <v>88</v>
      </c>
      <c r="L182" t="s">
        <v>805</v>
      </c>
      <c r="M182" t="s">
        <v>350</v>
      </c>
      <c r="N182" t="s">
        <v>806</v>
      </c>
      <c r="O182" t="s">
        <v>350</v>
      </c>
      <c r="P182" t="s">
        <v>766</v>
      </c>
      <c r="Q182" t="s">
        <v>350</v>
      </c>
      <c r="R182" t="s">
        <v>807</v>
      </c>
      <c r="S182" t="s">
        <v>350</v>
      </c>
      <c r="T182" t="s">
        <v>350</v>
      </c>
    </row>
    <row r="183" spans="1:20" x14ac:dyDescent="0.35">
      <c r="A183" s="13">
        <v>43868</v>
      </c>
      <c r="B183" s="8">
        <v>43868</v>
      </c>
      <c r="C183" s="1">
        <v>12</v>
      </c>
      <c r="D183" t="s">
        <v>9</v>
      </c>
      <c r="F183" t="str">
        <f>F182</f>
        <v>masaba paul</v>
      </c>
      <c r="G183" t="s">
        <v>11</v>
      </c>
      <c r="I183" t="s">
        <v>479</v>
      </c>
      <c r="J183">
        <v>270</v>
      </c>
      <c r="K183" t="s">
        <v>89</v>
      </c>
      <c r="L183" t="s">
        <v>808</v>
      </c>
      <c r="M183" t="s">
        <v>809</v>
      </c>
      <c r="N183" t="s">
        <v>810</v>
      </c>
      <c r="O183" t="s">
        <v>811</v>
      </c>
      <c r="P183" t="s">
        <v>116</v>
      </c>
      <c r="Q183" t="s">
        <v>249</v>
      </c>
      <c r="R183" t="s">
        <v>812</v>
      </c>
      <c r="S183" t="s">
        <v>99</v>
      </c>
      <c r="T183" t="s">
        <v>813</v>
      </c>
    </row>
    <row r="184" spans="1:20" x14ac:dyDescent="0.35">
      <c r="A184" s="13">
        <v>43868</v>
      </c>
      <c r="B184" s="8">
        <v>43868</v>
      </c>
      <c r="C184" s="1">
        <v>12</v>
      </c>
      <c r="D184" t="s">
        <v>9</v>
      </c>
      <c r="F184" t="str">
        <f>F183</f>
        <v>masaba paul</v>
      </c>
      <c r="G184" t="s">
        <v>11</v>
      </c>
      <c r="I184" t="s">
        <v>479</v>
      </c>
      <c r="J184">
        <v>270</v>
      </c>
      <c r="K184" t="s">
        <v>90</v>
      </c>
      <c r="L184" t="s">
        <v>251</v>
      </c>
      <c r="M184" t="s">
        <v>93</v>
      </c>
      <c r="N184" t="s">
        <v>93</v>
      </c>
      <c r="O184" t="s">
        <v>390</v>
      </c>
      <c r="P184" t="s">
        <v>93</v>
      </c>
      <c r="Q184" t="s">
        <v>93</v>
      </c>
      <c r="R184" t="s">
        <v>93</v>
      </c>
      <c r="S184" t="s">
        <v>93</v>
      </c>
      <c r="T184" t="s">
        <v>93</v>
      </c>
    </row>
    <row r="185" spans="1:20" x14ac:dyDescent="0.35">
      <c r="A185" s="11">
        <f>B185</f>
        <v>43841</v>
      </c>
      <c r="B185" s="8">
        <v>43841</v>
      </c>
      <c r="C185" s="1">
        <v>13</v>
      </c>
      <c r="D185" t="s">
        <v>9</v>
      </c>
      <c r="F185" t="s">
        <v>40</v>
      </c>
      <c r="G185" t="s">
        <v>34</v>
      </c>
      <c r="I185" t="s">
        <v>6</v>
      </c>
      <c r="J185">
        <v>5</v>
      </c>
      <c r="K185" t="s">
        <v>88</v>
      </c>
      <c r="L185" t="s">
        <v>122</v>
      </c>
      <c r="M185" t="s">
        <v>148</v>
      </c>
      <c r="N185" t="s">
        <v>145</v>
      </c>
      <c r="O185" t="s">
        <v>147</v>
      </c>
      <c r="P185" t="s">
        <v>96</v>
      </c>
      <c r="Q185" t="s">
        <v>149</v>
      </c>
      <c r="R185" t="s">
        <v>150</v>
      </c>
      <c r="S185" t="s">
        <v>151</v>
      </c>
      <c r="T185" t="s">
        <v>152</v>
      </c>
    </row>
    <row r="186" spans="1:20" x14ac:dyDescent="0.35">
      <c r="A186" s="11">
        <f>B186</f>
        <v>43841</v>
      </c>
      <c r="B186" s="8">
        <v>43841</v>
      </c>
      <c r="C186" s="1">
        <v>13</v>
      </c>
      <c r="D186" t="s">
        <v>9</v>
      </c>
      <c r="F186" t="s">
        <v>40</v>
      </c>
      <c r="G186" t="s">
        <v>34</v>
      </c>
      <c r="I186" t="s">
        <v>6</v>
      </c>
      <c r="J186">
        <v>5</v>
      </c>
      <c r="K186" t="s">
        <v>89</v>
      </c>
      <c r="L186" t="s">
        <v>144</v>
      </c>
      <c r="M186" t="s">
        <v>125</v>
      </c>
      <c r="N186" t="s">
        <v>146</v>
      </c>
      <c r="O186" t="s">
        <v>125</v>
      </c>
      <c r="P186" t="s">
        <v>134</v>
      </c>
      <c r="Q186" t="s">
        <v>116</v>
      </c>
      <c r="R186" t="s">
        <v>116</v>
      </c>
      <c r="S186" t="s">
        <v>95</v>
      </c>
      <c r="T186" t="s">
        <v>153</v>
      </c>
    </row>
    <row r="187" spans="1:20" x14ac:dyDescent="0.35">
      <c r="A187" s="11">
        <f>B187</f>
        <v>43841</v>
      </c>
      <c r="B187" s="8">
        <v>43841</v>
      </c>
      <c r="C187" s="1">
        <v>13</v>
      </c>
      <c r="D187" t="s">
        <v>9</v>
      </c>
      <c r="F187" t="s">
        <v>40</v>
      </c>
      <c r="G187" t="s">
        <v>34</v>
      </c>
      <c r="I187" t="s">
        <v>6</v>
      </c>
      <c r="J187">
        <v>5</v>
      </c>
      <c r="K187" t="s">
        <v>90</v>
      </c>
      <c r="L187" t="s">
        <v>86</v>
      </c>
      <c r="M187" t="s">
        <v>106</v>
      </c>
      <c r="N187" t="s">
        <v>93</v>
      </c>
      <c r="O187" t="s">
        <v>106</v>
      </c>
      <c r="P187" t="s">
        <v>93</v>
      </c>
      <c r="Q187" t="s">
        <v>93</v>
      </c>
      <c r="R187" t="s">
        <v>93</v>
      </c>
      <c r="S187" t="s">
        <v>93</v>
      </c>
      <c r="T187" t="s">
        <v>93</v>
      </c>
    </row>
    <row r="188" spans="1:20" x14ac:dyDescent="0.35">
      <c r="A188" s="13">
        <f t="shared" ref="A188:A196" si="6">DATE(VALUE(RIGHT(B188,4)), VALUE(MID(B188,4,1)), VALUE(LEFT(B188,2)))</f>
        <v>43848</v>
      </c>
      <c r="B188" s="8" t="s">
        <v>243</v>
      </c>
      <c r="C188" s="1">
        <v>13</v>
      </c>
      <c r="D188" t="s">
        <v>9</v>
      </c>
      <c r="F188" t="s">
        <v>40</v>
      </c>
      <c r="G188" t="s">
        <v>34</v>
      </c>
      <c r="I188" t="s">
        <v>217</v>
      </c>
      <c r="J188">
        <v>50</v>
      </c>
      <c r="K188" t="s">
        <v>88</v>
      </c>
      <c r="L188" t="s">
        <v>319</v>
      </c>
      <c r="M188" t="s">
        <v>155</v>
      </c>
      <c r="N188" t="s">
        <v>245</v>
      </c>
      <c r="O188" t="s">
        <v>154</v>
      </c>
      <c r="P188" t="s">
        <v>151</v>
      </c>
      <c r="Q188" t="s">
        <v>151</v>
      </c>
    </row>
    <row r="189" spans="1:20" x14ac:dyDescent="0.35">
      <c r="A189" s="13">
        <f t="shared" si="6"/>
        <v>43848</v>
      </c>
      <c r="B189" s="8" t="str">
        <f>B188</f>
        <v>18/1/2020</v>
      </c>
      <c r="C189" s="1">
        <v>13</v>
      </c>
      <c r="D189" t="s">
        <v>9</v>
      </c>
      <c r="F189" t="s">
        <v>40</v>
      </c>
      <c r="G189" t="s">
        <v>34</v>
      </c>
      <c r="I189" t="s">
        <v>217</v>
      </c>
      <c r="J189">
        <v>50</v>
      </c>
      <c r="K189" t="s">
        <v>89</v>
      </c>
      <c r="L189" t="s">
        <v>248</v>
      </c>
      <c r="M189" t="s">
        <v>136</v>
      </c>
      <c r="N189" t="s">
        <v>99</v>
      </c>
      <c r="O189" t="s">
        <v>97</v>
      </c>
      <c r="P189" t="s">
        <v>136</v>
      </c>
      <c r="Q189" t="s">
        <v>249</v>
      </c>
    </row>
    <row r="190" spans="1:20" x14ac:dyDescent="0.35">
      <c r="A190" s="13">
        <f t="shared" si="6"/>
        <v>43848</v>
      </c>
      <c r="B190" s="8" t="str">
        <f>B189</f>
        <v>18/1/2020</v>
      </c>
      <c r="C190" s="1">
        <v>13</v>
      </c>
      <c r="D190" t="s">
        <v>9</v>
      </c>
      <c r="F190" t="s">
        <v>40</v>
      </c>
      <c r="G190" t="s">
        <v>34</v>
      </c>
      <c r="I190" t="s">
        <v>217</v>
      </c>
      <c r="J190">
        <v>50</v>
      </c>
      <c r="K190" t="s">
        <v>90</v>
      </c>
      <c r="L190" t="s">
        <v>86</v>
      </c>
      <c r="M190" t="s">
        <v>93</v>
      </c>
      <c r="N190" t="s">
        <v>93</v>
      </c>
      <c r="O190" t="s">
        <v>93</v>
      </c>
      <c r="P190" t="s">
        <v>93</v>
      </c>
      <c r="Q190" t="s">
        <v>93</v>
      </c>
    </row>
    <row r="191" spans="1:20" x14ac:dyDescent="0.35">
      <c r="A191" s="13">
        <f t="shared" si="6"/>
        <v>43854</v>
      </c>
      <c r="B191" s="8" t="s">
        <v>269</v>
      </c>
      <c r="C191" s="1">
        <v>13</v>
      </c>
      <c r="D191" t="s">
        <v>9</v>
      </c>
      <c r="F191" t="s">
        <v>40</v>
      </c>
      <c r="G191" t="s">
        <v>34</v>
      </c>
      <c r="I191" t="s">
        <v>217</v>
      </c>
      <c r="J191">
        <v>17</v>
      </c>
      <c r="K191" t="s">
        <v>88</v>
      </c>
      <c r="L191" t="s">
        <v>111</v>
      </c>
      <c r="M191" t="s">
        <v>334</v>
      </c>
      <c r="N191" t="s">
        <v>275</v>
      </c>
      <c r="O191" t="s">
        <v>154</v>
      </c>
      <c r="P191" t="s">
        <v>115</v>
      </c>
      <c r="Q191" t="s">
        <v>275</v>
      </c>
    </row>
    <row r="192" spans="1:20" x14ac:dyDescent="0.35">
      <c r="A192" s="13">
        <f t="shared" si="6"/>
        <v>43854</v>
      </c>
      <c r="B192" s="8" t="str">
        <f>B191</f>
        <v>24/1/2020</v>
      </c>
      <c r="C192" s="1">
        <v>13</v>
      </c>
      <c r="D192" t="s">
        <v>9</v>
      </c>
      <c r="F192" t="s">
        <v>40</v>
      </c>
      <c r="G192" t="s">
        <v>34</v>
      </c>
      <c r="I192" t="s">
        <v>217</v>
      </c>
      <c r="J192">
        <v>17</v>
      </c>
      <c r="K192" t="s">
        <v>89</v>
      </c>
      <c r="L192" t="s">
        <v>333</v>
      </c>
      <c r="M192" t="s">
        <v>335</v>
      </c>
      <c r="N192" t="s">
        <v>95</v>
      </c>
      <c r="O192" t="s">
        <v>262</v>
      </c>
      <c r="Q192" t="s">
        <v>116</v>
      </c>
    </row>
    <row r="193" spans="1:20" x14ac:dyDescent="0.35">
      <c r="A193" s="13">
        <f t="shared" si="6"/>
        <v>43854</v>
      </c>
      <c r="B193" s="8" t="str">
        <f>B192</f>
        <v>24/1/2020</v>
      </c>
      <c r="C193" s="1">
        <v>13</v>
      </c>
      <c r="D193" t="s">
        <v>9</v>
      </c>
      <c r="F193" t="s">
        <v>40</v>
      </c>
      <c r="G193" t="s">
        <v>34</v>
      </c>
      <c r="I193" t="s">
        <v>217</v>
      </c>
      <c r="J193">
        <v>17</v>
      </c>
      <c r="K193" t="s">
        <v>90</v>
      </c>
      <c r="L193" t="s">
        <v>86</v>
      </c>
      <c r="M193" t="s">
        <v>93</v>
      </c>
      <c r="N193" t="s">
        <v>93</v>
      </c>
      <c r="O193" t="s">
        <v>93</v>
      </c>
      <c r="P193" t="s">
        <v>336</v>
      </c>
      <c r="Q193" t="s">
        <v>93</v>
      </c>
    </row>
    <row r="194" spans="1:20" x14ac:dyDescent="0.35">
      <c r="A194" s="13">
        <f t="shared" si="6"/>
        <v>43861</v>
      </c>
      <c r="B194" s="8" t="s">
        <v>344</v>
      </c>
      <c r="C194" s="1">
        <v>13</v>
      </c>
      <c r="D194" t="s">
        <v>9</v>
      </c>
      <c r="F194" t="s">
        <v>40</v>
      </c>
      <c r="G194" t="s">
        <v>34</v>
      </c>
      <c r="I194" t="s">
        <v>217</v>
      </c>
      <c r="J194">
        <v>263</v>
      </c>
      <c r="K194" t="s">
        <v>88</v>
      </c>
      <c r="L194" t="s">
        <v>319</v>
      </c>
      <c r="M194" t="s">
        <v>346</v>
      </c>
      <c r="N194" t="s">
        <v>347</v>
      </c>
      <c r="O194" t="s">
        <v>347</v>
      </c>
      <c r="P194" t="s">
        <v>350</v>
      </c>
      <c r="Q194" t="s">
        <v>351</v>
      </c>
      <c r="R194" t="s">
        <v>352</v>
      </c>
      <c r="S194" t="s">
        <v>354</v>
      </c>
      <c r="T194" t="s">
        <v>355</v>
      </c>
    </row>
    <row r="195" spans="1:20" x14ac:dyDescent="0.35">
      <c r="A195" s="13">
        <f t="shared" si="6"/>
        <v>43861</v>
      </c>
      <c r="B195" s="8" t="str">
        <f>B194</f>
        <v>31/1/2020</v>
      </c>
      <c r="C195" s="1">
        <v>13</v>
      </c>
      <c r="D195" t="s">
        <v>9</v>
      </c>
      <c r="F195" t="s">
        <v>40</v>
      </c>
      <c r="G195" t="s">
        <v>34</v>
      </c>
      <c r="I195" t="s">
        <v>217</v>
      </c>
      <c r="J195">
        <v>263</v>
      </c>
      <c r="K195" t="s">
        <v>89</v>
      </c>
      <c r="L195" t="s">
        <v>345</v>
      </c>
      <c r="M195" t="s">
        <v>95</v>
      </c>
      <c r="N195" t="s">
        <v>348</v>
      </c>
      <c r="O195" t="s">
        <v>349</v>
      </c>
      <c r="P195" t="s">
        <v>116</v>
      </c>
      <c r="Q195" t="s">
        <v>247</v>
      </c>
      <c r="R195" t="s">
        <v>353</v>
      </c>
      <c r="S195" t="s">
        <v>92</v>
      </c>
      <c r="T195" t="s">
        <v>356</v>
      </c>
    </row>
    <row r="196" spans="1:20" x14ac:dyDescent="0.35">
      <c r="A196" s="13">
        <f t="shared" si="6"/>
        <v>43861</v>
      </c>
      <c r="B196" s="8" t="str">
        <f>B195</f>
        <v>31/1/2020</v>
      </c>
      <c r="C196" s="1">
        <v>13</v>
      </c>
      <c r="D196" t="s">
        <v>9</v>
      </c>
      <c r="F196" t="s">
        <v>40</v>
      </c>
      <c r="G196" t="s">
        <v>34</v>
      </c>
      <c r="I196" t="s">
        <v>217</v>
      </c>
      <c r="J196">
        <v>263</v>
      </c>
      <c r="K196" t="s">
        <v>90</v>
      </c>
      <c r="L196" t="s">
        <v>86</v>
      </c>
      <c r="M196" t="s">
        <v>93</v>
      </c>
      <c r="N196" t="s">
        <v>93</v>
      </c>
      <c r="O196" t="s">
        <v>93</v>
      </c>
      <c r="P196" t="s">
        <v>93</v>
      </c>
      <c r="Q196" t="s">
        <v>93</v>
      </c>
      <c r="R196" t="s">
        <v>93</v>
      </c>
      <c r="S196" t="s">
        <v>93</v>
      </c>
      <c r="T196" t="s">
        <v>93</v>
      </c>
    </row>
    <row r="197" spans="1:20" x14ac:dyDescent="0.35">
      <c r="A197" s="13">
        <v>43877</v>
      </c>
      <c r="B197" s="8">
        <v>43877</v>
      </c>
      <c r="C197" s="1">
        <f>VLOOKUP(F197,Motorcycles!$C$2:$L$35,10,0)</f>
        <v>13</v>
      </c>
      <c r="D197" t="s">
        <v>9</v>
      </c>
      <c r="F197" t="s">
        <v>845</v>
      </c>
      <c r="G197" t="s">
        <v>34</v>
      </c>
      <c r="I197" t="s">
        <v>479</v>
      </c>
      <c r="J197">
        <v>291</v>
      </c>
      <c r="K197" t="s">
        <v>88</v>
      </c>
      <c r="L197" t="s">
        <v>319</v>
      </c>
      <c r="M197" t="s">
        <v>154</v>
      </c>
      <c r="N197" t="s">
        <v>151</v>
      </c>
      <c r="O197" t="s">
        <v>154</v>
      </c>
      <c r="P197" t="s">
        <v>151</v>
      </c>
      <c r="Q197" t="s">
        <v>583</v>
      </c>
    </row>
    <row r="198" spans="1:20" x14ac:dyDescent="0.35">
      <c r="A198" s="13">
        <v>43877</v>
      </c>
      <c r="B198" s="8">
        <v>43877</v>
      </c>
      <c r="C198" s="1">
        <f>VLOOKUP(F198,Motorcycles!$C$2:$L$35,10,0)</f>
        <v>13</v>
      </c>
      <c r="D198" t="s">
        <v>9</v>
      </c>
      <c r="F198" t="str">
        <f>F197</f>
        <v>MUTENYO ALEX</v>
      </c>
      <c r="G198" t="s">
        <v>34</v>
      </c>
      <c r="I198" t="s">
        <v>479</v>
      </c>
      <c r="J198">
        <v>291</v>
      </c>
      <c r="K198" t="s">
        <v>89</v>
      </c>
      <c r="L198" t="s">
        <v>144</v>
      </c>
      <c r="M198" t="s">
        <v>607</v>
      </c>
      <c r="N198" t="s">
        <v>609</v>
      </c>
      <c r="O198" t="s">
        <v>607</v>
      </c>
      <c r="P198" t="s">
        <v>606</v>
      </c>
      <c r="Q198" t="s">
        <v>607</v>
      </c>
    </row>
    <row r="199" spans="1:20" x14ac:dyDescent="0.35">
      <c r="A199" s="13">
        <v>43877</v>
      </c>
      <c r="B199" s="8">
        <v>43877</v>
      </c>
      <c r="C199" s="1">
        <f>VLOOKUP(F199,Motorcycles!$C$2:$L$35,10,0)</f>
        <v>13</v>
      </c>
      <c r="D199" t="s">
        <v>9</v>
      </c>
      <c r="F199" t="str">
        <f>F198</f>
        <v>MUTENYO ALEX</v>
      </c>
      <c r="G199" t="s">
        <v>34</v>
      </c>
      <c r="I199" t="s">
        <v>479</v>
      </c>
      <c r="J199">
        <v>291</v>
      </c>
      <c r="K199" t="s">
        <v>90</v>
      </c>
      <c r="L199" t="s">
        <v>594</v>
      </c>
      <c r="M199" t="s">
        <v>93</v>
      </c>
      <c r="N199" t="s">
        <v>93</v>
      </c>
      <c r="O199" t="s">
        <v>93</v>
      </c>
      <c r="P199" t="s">
        <v>93</v>
      </c>
      <c r="Q199" t="s">
        <v>598</v>
      </c>
    </row>
    <row r="200" spans="1:20" x14ac:dyDescent="0.35">
      <c r="A200" s="11">
        <v>43884</v>
      </c>
      <c r="B200" s="11">
        <v>43884</v>
      </c>
      <c r="C200" s="1">
        <v>13</v>
      </c>
      <c r="D200" s="14" t="s">
        <v>9</v>
      </c>
      <c r="F200" t="s">
        <v>40</v>
      </c>
      <c r="G200" s="14" t="s">
        <v>34</v>
      </c>
      <c r="I200" s="14" t="s">
        <v>479</v>
      </c>
      <c r="J200" s="16">
        <v>245</v>
      </c>
      <c r="K200" s="14" t="s">
        <v>88</v>
      </c>
      <c r="L200" s="14" t="s">
        <v>575</v>
      </c>
      <c r="M200" s="14" t="s">
        <v>319</v>
      </c>
      <c r="N200" s="14" t="s">
        <v>151</v>
      </c>
      <c r="O200" s="14" t="s">
        <v>319</v>
      </c>
      <c r="P200" s="14" t="s">
        <v>151</v>
      </c>
      <c r="Q200" s="14" t="s">
        <v>583</v>
      </c>
      <c r="R200" s="14"/>
      <c r="S200" s="14"/>
    </row>
    <row r="201" spans="1:20" x14ac:dyDescent="0.35">
      <c r="A201" s="11">
        <v>43884</v>
      </c>
      <c r="B201" s="11">
        <v>43884</v>
      </c>
      <c r="C201" s="1">
        <v>13</v>
      </c>
      <c r="D201" s="14" t="s">
        <v>9</v>
      </c>
      <c r="F201" t="s">
        <v>40</v>
      </c>
      <c r="G201" s="14" t="s">
        <v>34</v>
      </c>
      <c r="I201" s="14" t="s">
        <v>479</v>
      </c>
      <c r="J201" s="16">
        <v>245</v>
      </c>
      <c r="K201" s="14" t="s">
        <v>89</v>
      </c>
      <c r="L201" s="14" t="s">
        <v>144</v>
      </c>
      <c r="M201" s="14" t="s">
        <v>607</v>
      </c>
      <c r="N201" s="14" t="s">
        <v>609</v>
      </c>
      <c r="O201" s="14" t="s">
        <v>604</v>
      </c>
      <c r="P201" s="14" t="s">
        <v>607</v>
      </c>
      <c r="Q201" s="14" t="s">
        <v>607</v>
      </c>
      <c r="R201" s="14"/>
      <c r="S201" s="14"/>
    </row>
    <row r="202" spans="1:20" x14ac:dyDescent="0.35">
      <c r="A202" s="11">
        <v>43884</v>
      </c>
      <c r="B202" s="11">
        <v>43884</v>
      </c>
      <c r="C202" s="1">
        <v>13</v>
      </c>
      <c r="D202" s="14" t="s">
        <v>9</v>
      </c>
      <c r="F202" t="s">
        <v>40</v>
      </c>
      <c r="G202" s="14" t="s">
        <v>34</v>
      </c>
      <c r="I202" s="14" t="s">
        <v>479</v>
      </c>
      <c r="J202" s="16">
        <v>245</v>
      </c>
      <c r="K202" s="14" t="s">
        <v>90</v>
      </c>
      <c r="L202" s="14" t="s">
        <v>594</v>
      </c>
      <c r="M202" s="14" t="s">
        <v>599</v>
      </c>
      <c r="N202" s="14" t="s">
        <v>599</v>
      </c>
      <c r="O202" s="14" t="s">
        <v>93</v>
      </c>
      <c r="P202" s="14" t="s">
        <v>93</v>
      </c>
      <c r="Q202" s="14" t="s">
        <v>598</v>
      </c>
      <c r="R202" s="14"/>
      <c r="S202" s="14"/>
    </row>
    <row r="203" spans="1:20" x14ac:dyDescent="0.35">
      <c r="A203" s="8">
        <v>43892</v>
      </c>
      <c r="B203" s="8">
        <v>43892</v>
      </c>
      <c r="C203" s="1">
        <v>13</v>
      </c>
      <c r="D203" s="14" t="s">
        <v>9</v>
      </c>
      <c r="E203" s="16"/>
      <c r="F203" t="s">
        <v>40</v>
      </c>
      <c r="G203" s="14" t="s">
        <v>34</v>
      </c>
      <c r="H203" s="16"/>
      <c r="I203" s="14" t="s">
        <v>479</v>
      </c>
      <c r="J203" s="16">
        <v>253</v>
      </c>
      <c r="K203" s="14" t="s">
        <v>88</v>
      </c>
      <c r="L203" s="14" t="s">
        <v>122</v>
      </c>
      <c r="M203" s="14" t="s">
        <v>319</v>
      </c>
      <c r="N203" s="14" t="s">
        <v>151</v>
      </c>
      <c r="O203" s="14" t="s">
        <v>122</v>
      </c>
      <c r="P203" s="14" t="s">
        <v>151</v>
      </c>
      <c r="Q203" s="14" t="s">
        <v>583</v>
      </c>
      <c r="R203" s="14"/>
      <c r="S203" s="14"/>
      <c r="T203" s="16"/>
    </row>
    <row r="204" spans="1:20" x14ac:dyDescent="0.35">
      <c r="A204" s="8">
        <v>43892</v>
      </c>
      <c r="B204" s="8">
        <v>43892</v>
      </c>
      <c r="C204" s="1">
        <v>13</v>
      </c>
      <c r="D204" s="14" t="s">
        <v>9</v>
      </c>
      <c r="E204" s="16"/>
      <c r="F204" t="s">
        <v>40</v>
      </c>
      <c r="G204" s="14" t="s">
        <v>34</v>
      </c>
      <c r="H204" s="16"/>
      <c r="I204" s="14" t="s">
        <v>479</v>
      </c>
      <c r="J204" s="16">
        <v>253</v>
      </c>
      <c r="K204" s="14" t="s">
        <v>89</v>
      </c>
      <c r="L204" s="14" t="s">
        <v>144</v>
      </c>
      <c r="M204" s="14" t="s">
        <v>590</v>
      </c>
      <c r="N204" s="14" t="s">
        <v>609</v>
      </c>
      <c r="O204" s="14" t="s">
        <v>121</v>
      </c>
      <c r="P204" s="14" t="s">
        <v>606</v>
      </c>
      <c r="Q204" s="14" t="s">
        <v>607</v>
      </c>
      <c r="R204" s="14"/>
      <c r="S204" s="14"/>
      <c r="T204" s="16"/>
    </row>
    <row r="205" spans="1:20" x14ac:dyDescent="0.35">
      <c r="A205" s="8">
        <v>43892</v>
      </c>
      <c r="B205" s="8">
        <v>43892</v>
      </c>
      <c r="C205" s="1">
        <v>13</v>
      </c>
      <c r="D205" s="14" t="s">
        <v>9</v>
      </c>
      <c r="E205" s="16"/>
      <c r="F205" t="s">
        <v>40</v>
      </c>
      <c r="G205" s="14" t="s">
        <v>34</v>
      </c>
      <c r="H205" s="16"/>
      <c r="I205" s="14" t="s">
        <v>479</v>
      </c>
      <c r="J205" s="16">
        <v>253</v>
      </c>
      <c r="K205" s="14" t="s">
        <v>90</v>
      </c>
      <c r="L205" s="14" t="s">
        <v>594</v>
      </c>
      <c r="M205" s="14" t="s">
        <v>93</v>
      </c>
      <c r="N205" s="14" t="s">
        <v>93</v>
      </c>
      <c r="O205" s="14" t="s">
        <v>601</v>
      </c>
      <c r="P205" s="14" t="s">
        <v>93</v>
      </c>
      <c r="Q205" s="14" t="s">
        <v>598</v>
      </c>
      <c r="R205" s="14"/>
      <c r="S205" s="14"/>
      <c r="T205" s="16"/>
    </row>
    <row r="206" spans="1:20" s="16" customFormat="1" x14ac:dyDescent="0.35">
      <c r="A206" s="11">
        <v>43898</v>
      </c>
      <c r="B206" s="11">
        <v>43898</v>
      </c>
      <c r="C206" s="1">
        <v>13</v>
      </c>
      <c r="D206" s="14" t="s">
        <v>9</v>
      </c>
      <c r="E206"/>
      <c r="F206" t="s">
        <v>40</v>
      </c>
      <c r="G206" s="14" t="s">
        <v>34</v>
      </c>
      <c r="H206"/>
      <c r="I206" s="14" t="s">
        <v>479</v>
      </c>
      <c r="J206" s="16">
        <v>259</v>
      </c>
      <c r="K206" s="14" t="s">
        <v>88</v>
      </c>
      <c r="L206" s="14" t="s">
        <v>122</v>
      </c>
      <c r="M206" s="14" t="s">
        <v>122</v>
      </c>
      <c r="N206" s="14" t="s">
        <v>137</v>
      </c>
      <c r="O206" s="14" t="s">
        <v>122</v>
      </c>
      <c r="P206" s="14" t="s">
        <v>151</v>
      </c>
      <c r="Q206" s="14" t="s">
        <v>583</v>
      </c>
      <c r="R206" s="14"/>
      <c r="S206" s="14"/>
      <c r="T206"/>
    </row>
    <row r="207" spans="1:20" s="16" customFormat="1" x14ac:dyDescent="0.35">
      <c r="A207" s="11">
        <v>43898</v>
      </c>
      <c r="B207" s="11">
        <v>43898</v>
      </c>
      <c r="C207" s="1">
        <v>13</v>
      </c>
      <c r="D207" s="14" t="s">
        <v>9</v>
      </c>
      <c r="E207"/>
      <c r="F207" t="s">
        <v>40</v>
      </c>
      <c r="G207" s="14" t="s">
        <v>34</v>
      </c>
      <c r="H207"/>
      <c r="I207" s="14" t="s">
        <v>479</v>
      </c>
      <c r="J207" s="16">
        <v>259</v>
      </c>
      <c r="K207" s="14" t="s">
        <v>89</v>
      </c>
      <c r="L207" s="14" t="s">
        <v>144</v>
      </c>
      <c r="M207" s="14" t="s">
        <v>121</v>
      </c>
      <c r="N207" s="14" t="s">
        <v>586</v>
      </c>
      <c r="O207" s="14" t="s">
        <v>121</v>
      </c>
      <c r="P207" s="14" t="s">
        <v>607</v>
      </c>
      <c r="Q207" s="14" t="s">
        <v>607</v>
      </c>
      <c r="R207" s="14"/>
      <c r="S207" s="14"/>
      <c r="T207"/>
    </row>
    <row r="208" spans="1:20" s="16" customFormat="1" x14ac:dyDescent="0.35">
      <c r="A208" s="11">
        <v>43898</v>
      </c>
      <c r="B208" s="11">
        <v>43898</v>
      </c>
      <c r="C208" s="1">
        <v>13</v>
      </c>
      <c r="D208" s="14" t="s">
        <v>9</v>
      </c>
      <c r="E208"/>
      <c r="F208" t="s">
        <v>40</v>
      </c>
      <c r="G208" s="14" t="s">
        <v>34</v>
      </c>
      <c r="H208"/>
      <c r="I208" s="14" t="s">
        <v>479</v>
      </c>
      <c r="J208" s="16">
        <v>259</v>
      </c>
      <c r="K208" s="14" t="s">
        <v>90</v>
      </c>
      <c r="L208" s="14" t="s">
        <v>594</v>
      </c>
      <c r="M208" s="14" t="s">
        <v>603</v>
      </c>
      <c r="N208" s="14" t="s">
        <v>602</v>
      </c>
      <c r="O208" s="14" t="s">
        <v>601</v>
      </c>
      <c r="P208" s="14" t="s">
        <v>93</v>
      </c>
      <c r="Q208" s="14" t="s">
        <v>598</v>
      </c>
      <c r="R208" s="14"/>
      <c r="S208" s="14"/>
      <c r="T208"/>
    </row>
    <row r="209" spans="1:20" s="16" customFormat="1" x14ac:dyDescent="0.35">
      <c r="A209" s="11">
        <f>B209</f>
        <v>43841</v>
      </c>
      <c r="B209" s="8">
        <v>43841</v>
      </c>
      <c r="C209" s="1">
        <v>14</v>
      </c>
      <c r="D209" t="s">
        <v>9</v>
      </c>
      <c r="E209"/>
      <c r="F209" t="s">
        <v>43</v>
      </c>
      <c r="G209" t="s">
        <v>34</v>
      </c>
      <c r="H209"/>
      <c r="I209" t="s">
        <v>6</v>
      </c>
      <c r="J209">
        <v>26</v>
      </c>
      <c r="K209" t="s">
        <v>88</v>
      </c>
      <c r="L209" t="s">
        <v>319</v>
      </c>
      <c r="M209" t="s">
        <v>91</v>
      </c>
      <c r="N209" t="s">
        <v>94</v>
      </c>
      <c r="O209" t="s">
        <v>96</v>
      </c>
      <c r="P209" t="s">
        <v>98</v>
      </c>
      <c r="Q209" t="s">
        <v>100</v>
      </c>
      <c r="R209" t="s">
        <v>91</v>
      </c>
      <c r="S209" t="s">
        <v>102</v>
      </c>
      <c r="T209" t="s">
        <v>104</v>
      </c>
    </row>
    <row r="210" spans="1:20" s="16" customFormat="1" x14ac:dyDescent="0.35">
      <c r="A210" s="11">
        <f>B210</f>
        <v>43841</v>
      </c>
      <c r="B210" s="8">
        <v>43841</v>
      </c>
      <c r="C210" s="1">
        <v>14</v>
      </c>
      <c r="D210" t="s">
        <v>9</v>
      </c>
      <c r="E210"/>
      <c r="F210" t="s">
        <v>43</v>
      </c>
      <c r="G210" t="s">
        <v>34</v>
      </c>
      <c r="H210"/>
      <c r="I210" t="s">
        <v>6</v>
      </c>
      <c r="J210">
        <v>26</v>
      </c>
      <c r="K210" t="s">
        <v>89</v>
      </c>
      <c r="L210" t="s">
        <v>85</v>
      </c>
      <c r="M210" t="s">
        <v>92</v>
      </c>
      <c r="N210" t="s">
        <v>95</v>
      </c>
      <c r="O210" t="s">
        <v>97</v>
      </c>
      <c r="P210" t="s">
        <v>99</v>
      </c>
      <c r="Q210" t="s">
        <v>99</v>
      </c>
      <c r="R210" t="s">
        <v>101</v>
      </c>
      <c r="S210" t="s">
        <v>103</v>
      </c>
      <c r="T210" t="s">
        <v>105</v>
      </c>
    </row>
    <row r="211" spans="1:20" s="16" customFormat="1" x14ac:dyDescent="0.35">
      <c r="A211" s="11">
        <f>B211</f>
        <v>43841</v>
      </c>
      <c r="B211" s="8">
        <v>43841</v>
      </c>
      <c r="C211" s="1">
        <v>14</v>
      </c>
      <c r="D211" t="s">
        <v>9</v>
      </c>
      <c r="E211"/>
      <c r="F211" t="s">
        <v>43</v>
      </c>
      <c r="G211" t="s">
        <v>34</v>
      </c>
      <c r="H211"/>
      <c r="I211" t="s">
        <v>6</v>
      </c>
      <c r="J211">
        <v>26</v>
      </c>
      <c r="K211" t="s">
        <v>90</v>
      </c>
      <c r="L211" t="s">
        <v>86</v>
      </c>
      <c r="M211" t="s">
        <v>93</v>
      </c>
      <c r="N211" t="s">
        <v>93</v>
      </c>
      <c r="O211" t="s">
        <v>93</v>
      </c>
      <c r="P211" t="s">
        <v>93</v>
      </c>
      <c r="Q211" t="s">
        <v>93</v>
      </c>
      <c r="R211" t="s">
        <v>93</v>
      </c>
      <c r="S211" t="s">
        <v>93</v>
      </c>
      <c r="T211" t="s">
        <v>106</v>
      </c>
    </row>
    <row r="212" spans="1:20" x14ac:dyDescent="0.35">
      <c r="A212" s="13">
        <f t="shared" ref="A212:A217" si="7">DATE(VALUE(RIGHT(B212,4)), VALUE(MID(B212,4,1)), VALUE(LEFT(B212,2)))</f>
        <v>43854</v>
      </c>
      <c r="B212" s="8" t="s">
        <v>269</v>
      </c>
      <c r="C212" s="1">
        <v>14</v>
      </c>
      <c r="D212" t="s">
        <v>9</v>
      </c>
      <c r="F212" t="s">
        <v>43</v>
      </c>
      <c r="G212" t="s">
        <v>34</v>
      </c>
      <c r="I212" t="s">
        <v>217</v>
      </c>
      <c r="J212">
        <v>18</v>
      </c>
      <c r="K212" t="s">
        <v>88</v>
      </c>
      <c r="L212" t="s">
        <v>122</v>
      </c>
      <c r="M212" t="s">
        <v>319</v>
      </c>
      <c r="N212" t="s">
        <v>275</v>
      </c>
      <c r="O212" t="s">
        <v>320</v>
      </c>
      <c r="P212" t="s">
        <v>200</v>
      </c>
      <c r="Q212" t="s">
        <v>245</v>
      </c>
    </row>
    <row r="213" spans="1:20" x14ac:dyDescent="0.35">
      <c r="A213" s="13">
        <f t="shared" si="7"/>
        <v>43854</v>
      </c>
      <c r="B213" s="8" t="str">
        <f>B212</f>
        <v>24/1/2020</v>
      </c>
      <c r="C213" s="1">
        <v>14</v>
      </c>
      <c r="D213" t="s">
        <v>9</v>
      </c>
      <c r="F213" t="s">
        <v>43</v>
      </c>
      <c r="G213" t="s">
        <v>34</v>
      </c>
      <c r="I213" t="s">
        <v>217</v>
      </c>
      <c r="J213">
        <v>18</v>
      </c>
      <c r="K213" t="s">
        <v>89</v>
      </c>
      <c r="L213" t="s">
        <v>193</v>
      </c>
      <c r="M213" t="s">
        <v>163</v>
      </c>
      <c r="N213" t="s">
        <v>304</v>
      </c>
      <c r="O213" t="s">
        <v>321</v>
      </c>
      <c r="P213" t="s">
        <v>99</v>
      </c>
      <c r="Q213" t="s">
        <v>116</v>
      </c>
    </row>
    <row r="214" spans="1:20" x14ac:dyDescent="0.35">
      <c r="A214" s="13">
        <f t="shared" si="7"/>
        <v>43854</v>
      </c>
      <c r="B214" s="8" t="str">
        <f>B213</f>
        <v>24/1/2020</v>
      </c>
      <c r="C214" s="1">
        <v>14</v>
      </c>
      <c r="D214" t="s">
        <v>9</v>
      </c>
      <c r="F214" t="s">
        <v>43</v>
      </c>
      <c r="G214" t="s">
        <v>34</v>
      </c>
      <c r="I214" t="s">
        <v>217</v>
      </c>
      <c r="J214">
        <v>18</v>
      </c>
      <c r="K214" t="s">
        <v>90</v>
      </c>
      <c r="L214" t="s">
        <v>86</v>
      </c>
      <c r="M214" t="s">
        <v>93</v>
      </c>
      <c r="N214" t="s">
        <v>93</v>
      </c>
      <c r="O214" t="s">
        <v>93</v>
      </c>
      <c r="P214" t="s">
        <v>93</v>
      </c>
      <c r="Q214" t="s">
        <v>93</v>
      </c>
    </row>
    <row r="215" spans="1:20" x14ac:dyDescent="0.35">
      <c r="A215" s="13">
        <f t="shared" si="7"/>
        <v>43861</v>
      </c>
      <c r="B215" s="8" t="s">
        <v>344</v>
      </c>
      <c r="C215" s="1">
        <v>14</v>
      </c>
      <c r="D215" t="s">
        <v>9</v>
      </c>
      <c r="F215" t="s">
        <v>43</v>
      </c>
      <c r="G215" t="s">
        <v>34</v>
      </c>
      <c r="I215" t="s">
        <v>217</v>
      </c>
      <c r="J215">
        <v>60</v>
      </c>
      <c r="K215" t="s">
        <v>88</v>
      </c>
      <c r="L215" t="s">
        <v>319</v>
      </c>
      <c r="M215" t="s">
        <v>384</v>
      </c>
      <c r="N215" t="s">
        <v>316</v>
      </c>
      <c r="O215" t="s">
        <v>147</v>
      </c>
      <c r="P215" t="s">
        <v>364</v>
      </c>
      <c r="Q215" t="s">
        <v>275</v>
      </c>
      <c r="R215" t="s">
        <v>372</v>
      </c>
      <c r="S215" t="s">
        <v>198</v>
      </c>
      <c r="T215" t="s">
        <v>157</v>
      </c>
    </row>
    <row r="216" spans="1:20" x14ac:dyDescent="0.35">
      <c r="A216" s="13">
        <f t="shared" si="7"/>
        <v>43861</v>
      </c>
      <c r="B216" s="8" t="str">
        <f>B215</f>
        <v>31/1/2020</v>
      </c>
      <c r="C216" s="1">
        <v>14</v>
      </c>
      <c r="D216" t="s">
        <v>9</v>
      </c>
      <c r="F216" t="s">
        <v>43</v>
      </c>
      <c r="G216" t="s">
        <v>34</v>
      </c>
      <c r="I216" t="s">
        <v>217</v>
      </c>
      <c r="J216">
        <v>60</v>
      </c>
      <c r="K216" t="s">
        <v>89</v>
      </c>
      <c r="L216" t="s">
        <v>144</v>
      </c>
      <c r="M216" t="s">
        <v>99</v>
      </c>
      <c r="N216" t="s">
        <v>385</v>
      </c>
      <c r="O216" t="s">
        <v>219</v>
      </c>
      <c r="P216" t="s">
        <v>336</v>
      </c>
      <c r="Q216" t="s">
        <v>116</v>
      </c>
      <c r="R216" t="s">
        <v>205</v>
      </c>
      <c r="S216" t="s">
        <v>188</v>
      </c>
      <c r="T216" t="s">
        <v>92</v>
      </c>
    </row>
    <row r="217" spans="1:20" x14ac:dyDescent="0.35">
      <c r="A217" s="13">
        <f t="shared" si="7"/>
        <v>43861</v>
      </c>
      <c r="B217" s="8" t="str">
        <f>B216</f>
        <v>31/1/2020</v>
      </c>
      <c r="C217" s="1">
        <v>14</v>
      </c>
      <c r="D217" t="s">
        <v>9</v>
      </c>
      <c r="F217" t="s">
        <v>43</v>
      </c>
      <c r="G217" t="s">
        <v>34</v>
      </c>
      <c r="I217" t="s">
        <v>217</v>
      </c>
      <c r="J217">
        <v>60</v>
      </c>
      <c r="K217" t="s">
        <v>90</v>
      </c>
      <c r="L217" t="s">
        <v>86</v>
      </c>
      <c r="M217" t="s">
        <v>93</v>
      </c>
      <c r="N217" t="s">
        <v>93</v>
      </c>
      <c r="O217" t="s">
        <v>106</v>
      </c>
      <c r="P217" t="s">
        <v>93</v>
      </c>
      <c r="Q217" t="s">
        <v>93</v>
      </c>
      <c r="R217" t="s">
        <v>93</v>
      </c>
      <c r="S217" t="s">
        <v>93</v>
      </c>
      <c r="T217" t="s">
        <v>93</v>
      </c>
    </row>
    <row r="218" spans="1:20" x14ac:dyDescent="0.35">
      <c r="A218" s="13">
        <f>DATE(VALUE(RIGHT(B218,4)), VALUE(MID(B218,4,2)), VALUE(LEFT(B218,2)))</f>
        <v>43846</v>
      </c>
      <c r="B218" s="12" t="s">
        <v>579</v>
      </c>
      <c r="C218" s="1">
        <v>15</v>
      </c>
      <c r="D218" t="s">
        <v>9</v>
      </c>
      <c r="F218" t="s">
        <v>46</v>
      </c>
      <c r="G218" t="s">
        <v>75</v>
      </c>
      <c r="I218" t="s">
        <v>6</v>
      </c>
      <c r="J218">
        <v>22</v>
      </c>
      <c r="K218" t="s">
        <v>88</v>
      </c>
      <c r="L218" t="s">
        <v>319</v>
      </c>
      <c r="M218" t="s">
        <v>111</v>
      </c>
      <c r="N218" t="s">
        <v>212</v>
      </c>
      <c r="O218" t="s">
        <v>111</v>
      </c>
      <c r="P218" t="s">
        <v>100</v>
      </c>
      <c r="Q218" t="s">
        <v>151</v>
      </c>
      <c r="R218" t="s">
        <v>214</v>
      </c>
      <c r="S218" t="s">
        <v>215</v>
      </c>
      <c r="T218" t="s">
        <v>96</v>
      </c>
    </row>
    <row r="219" spans="1:20" x14ac:dyDescent="0.35">
      <c r="A219" s="13">
        <f>DATE(VALUE(RIGHT(B219,4)), VALUE(MID(B219,4,2)), VALUE(LEFT(B219,2)))</f>
        <v>43846</v>
      </c>
      <c r="B219" s="8" t="s">
        <v>579</v>
      </c>
      <c r="C219" s="1">
        <v>15</v>
      </c>
      <c r="D219" t="s">
        <v>9</v>
      </c>
      <c r="F219" t="s">
        <v>46</v>
      </c>
      <c r="G219" t="s">
        <v>75</v>
      </c>
      <c r="I219" t="s">
        <v>6</v>
      </c>
      <c r="J219">
        <v>22</v>
      </c>
      <c r="K219" t="s">
        <v>89</v>
      </c>
      <c r="L219" t="s">
        <v>210</v>
      </c>
      <c r="M219" t="s">
        <v>211</v>
      </c>
      <c r="N219" t="s">
        <v>110</v>
      </c>
      <c r="O219" t="s">
        <v>125</v>
      </c>
      <c r="P219" t="s">
        <v>213</v>
      </c>
      <c r="Q219" t="s">
        <v>136</v>
      </c>
      <c r="R219" t="s">
        <v>205</v>
      </c>
      <c r="S219" t="s">
        <v>136</v>
      </c>
      <c r="T219" t="s">
        <v>216</v>
      </c>
    </row>
    <row r="220" spans="1:20" x14ac:dyDescent="0.35">
      <c r="A220" s="13">
        <f>DATE(VALUE(RIGHT(B220,4)), VALUE(MID(B220,4,2)), VALUE(LEFT(B220,2)))</f>
        <v>43846</v>
      </c>
      <c r="B220" s="8" t="s">
        <v>579</v>
      </c>
      <c r="C220" s="1">
        <v>15</v>
      </c>
      <c r="D220" t="s">
        <v>9</v>
      </c>
      <c r="F220" t="s">
        <v>46</v>
      </c>
      <c r="G220" t="s">
        <v>75</v>
      </c>
      <c r="I220" t="s">
        <v>6</v>
      </c>
      <c r="J220">
        <v>22</v>
      </c>
      <c r="K220" t="s">
        <v>90</v>
      </c>
      <c r="L220" t="s">
        <v>86</v>
      </c>
      <c r="M220" t="s">
        <v>106</v>
      </c>
      <c r="N220" t="s">
        <v>197</v>
      </c>
      <c r="O220" t="s">
        <v>106</v>
      </c>
      <c r="P220" t="s">
        <v>93</v>
      </c>
      <c r="Q220" t="s">
        <v>93</v>
      </c>
      <c r="R220" t="s">
        <v>93</v>
      </c>
      <c r="S220" t="s">
        <v>93</v>
      </c>
      <c r="T220" t="s">
        <v>93</v>
      </c>
    </row>
    <row r="221" spans="1:20" x14ac:dyDescent="0.35">
      <c r="A221" s="13">
        <f>DATE(VALUE(RIGHT(B221,4)), VALUE(MID(B221,4,1)), VALUE(LEFT(B221,2)))</f>
        <v>43854</v>
      </c>
      <c r="B221" s="8" t="s">
        <v>269</v>
      </c>
      <c r="C221" s="1">
        <v>15</v>
      </c>
      <c r="D221" t="s">
        <v>9</v>
      </c>
      <c r="F221" t="s">
        <v>46</v>
      </c>
      <c r="G221" t="s">
        <v>75</v>
      </c>
      <c r="I221" t="s">
        <v>217</v>
      </c>
      <c r="J221">
        <v>15</v>
      </c>
      <c r="K221" t="s">
        <v>88</v>
      </c>
      <c r="L221" t="s">
        <v>319</v>
      </c>
      <c r="M221" t="s">
        <v>96</v>
      </c>
      <c r="N221" t="s">
        <v>137</v>
      </c>
      <c r="O221" t="s">
        <v>273</v>
      </c>
      <c r="P221" t="s">
        <v>274</v>
      </c>
      <c r="Q221" t="s">
        <v>275</v>
      </c>
    </row>
    <row r="222" spans="1:20" x14ac:dyDescent="0.35">
      <c r="A222" s="13">
        <f>DATE(VALUE(RIGHT(B222,4)), VALUE(MID(B222,4,1)), VALUE(LEFT(B222,2)))</f>
        <v>43854</v>
      </c>
      <c r="B222" s="8" t="str">
        <f>B221</f>
        <v>24/1/2020</v>
      </c>
      <c r="C222" s="1">
        <v>15</v>
      </c>
      <c r="D222" t="s">
        <v>9</v>
      </c>
      <c r="F222" t="s">
        <v>46</v>
      </c>
      <c r="G222" t="s">
        <v>75</v>
      </c>
      <c r="I222" t="s">
        <v>217</v>
      </c>
      <c r="J222">
        <v>15</v>
      </c>
      <c r="K222" t="s">
        <v>89</v>
      </c>
      <c r="L222" t="s">
        <v>218</v>
      </c>
      <c r="M222" t="s">
        <v>99</v>
      </c>
      <c r="N222" t="s">
        <v>110</v>
      </c>
      <c r="O222" t="s">
        <v>116</v>
      </c>
      <c r="P222" t="s">
        <v>144</v>
      </c>
      <c r="Q222" t="s">
        <v>116</v>
      </c>
    </row>
    <row r="223" spans="1:20" x14ac:dyDescent="0.35">
      <c r="A223" s="13">
        <f>DATE(VALUE(RIGHT(B223,4)), VALUE(MID(B223,4,1)), VALUE(LEFT(B223,2)))</f>
        <v>43854</v>
      </c>
      <c r="B223" s="8" t="str">
        <f>B222</f>
        <v>24/1/2020</v>
      </c>
      <c r="C223" s="1">
        <v>15</v>
      </c>
      <c r="D223" t="s">
        <v>9</v>
      </c>
      <c r="F223" t="s">
        <v>46</v>
      </c>
      <c r="G223" t="s">
        <v>75</v>
      </c>
      <c r="I223" t="s">
        <v>217</v>
      </c>
      <c r="J223">
        <v>15</v>
      </c>
      <c r="K223" t="s">
        <v>90</v>
      </c>
      <c r="L223" t="s">
        <v>86</v>
      </c>
      <c r="M223" t="s">
        <v>93</v>
      </c>
      <c r="N223" t="s">
        <v>93</v>
      </c>
      <c r="O223" t="s">
        <v>93</v>
      </c>
      <c r="P223" t="s">
        <v>93</v>
      </c>
      <c r="Q223" t="s">
        <v>93</v>
      </c>
    </row>
    <row r="224" spans="1:20" x14ac:dyDescent="0.35">
      <c r="A224" s="13">
        <v>43868</v>
      </c>
      <c r="B224" s="8">
        <v>43868</v>
      </c>
      <c r="C224" s="1">
        <v>15</v>
      </c>
      <c r="D224" t="s">
        <v>9</v>
      </c>
      <c r="F224" t="s">
        <v>46</v>
      </c>
      <c r="G224" t="s">
        <v>34</v>
      </c>
      <c r="I224" t="s">
        <v>479</v>
      </c>
      <c r="J224">
        <v>265</v>
      </c>
      <c r="K224" t="s">
        <v>88</v>
      </c>
      <c r="L224" t="s">
        <v>739</v>
      </c>
      <c r="M224" t="s">
        <v>154</v>
      </c>
      <c r="N224" t="s">
        <v>740</v>
      </c>
      <c r="O224" t="s">
        <v>741</v>
      </c>
      <c r="P224" t="s">
        <v>742</v>
      </c>
      <c r="Q224" t="s">
        <v>743</v>
      </c>
      <c r="R224" t="s">
        <v>744</v>
      </c>
      <c r="S224" t="s">
        <v>150</v>
      </c>
      <c r="T224" t="s">
        <v>91</v>
      </c>
    </row>
    <row r="225" spans="1:20" x14ac:dyDescent="0.35">
      <c r="A225" s="13">
        <v>43868</v>
      </c>
      <c r="B225" s="8">
        <v>43868</v>
      </c>
      <c r="C225" s="1">
        <v>15</v>
      </c>
      <c r="D225" t="s">
        <v>9</v>
      </c>
      <c r="F225" t="str">
        <f>F224</f>
        <v>NABWAMBI MICHEAL</v>
      </c>
      <c r="G225" t="s">
        <v>34</v>
      </c>
      <c r="I225" t="s">
        <v>479</v>
      </c>
      <c r="J225">
        <v>265</v>
      </c>
      <c r="K225" t="s">
        <v>89</v>
      </c>
      <c r="L225" t="s">
        <v>373</v>
      </c>
      <c r="M225" t="s">
        <v>745</v>
      </c>
      <c r="N225" t="s">
        <v>746</v>
      </c>
      <c r="O225" t="s">
        <v>747</v>
      </c>
      <c r="P225" t="s">
        <v>748</v>
      </c>
      <c r="Q225" t="s">
        <v>749</v>
      </c>
      <c r="R225" t="s">
        <v>116</v>
      </c>
      <c r="S225" t="s">
        <v>750</v>
      </c>
      <c r="T225" t="s">
        <v>751</v>
      </c>
    </row>
    <row r="226" spans="1:20" x14ac:dyDescent="0.35">
      <c r="A226" s="13">
        <v>43868</v>
      </c>
      <c r="B226" s="8">
        <v>43868</v>
      </c>
      <c r="C226" s="1">
        <v>15</v>
      </c>
      <c r="D226" t="s">
        <v>9</v>
      </c>
      <c r="F226" t="str">
        <f>F225</f>
        <v>NABWAMBI MICHEAL</v>
      </c>
      <c r="G226" t="s">
        <v>34</v>
      </c>
      <c r="I226" t="s">
        <v>479</v>
      </c>
      <c r="J226">
        <v>265</v>
      </c>
      <c r="K226" t="s">
        <v>90</v>
      </c>
      <c r="L226" t="s">
        <v>86</v>
      </c>
      <c r="M226" t="s">
        <v>752</v>
      </c>
      <c r="N226" t="s">
        <v>753</v>
      </c>
      <c r="O226" t="s">
        <v>752</v>
      </c>
      <c r="P226" t="s">
        <v>752</v>
      </c>
      <c r="Q226" t="s">
        <v>752</v>
      </c>
      <c r="R226" t="s">
        <v>93</v>
      </c>
      <c r="S226" t="s">
        <v>752</v>
      </c>
      <c r="T226" t="s">
        <v>752</v>
      </c>
    </row>
    <row r="227" spans="1:20" x14ac:dyDescent="0.35">
      <c r="A227" s="11">
        <v>43878</v>
      </c>
      <c r="B227" s="11">
        <v>43878</v>
      </c>
      <c r="C227" s="1">
        <f>VLOOKUP(F227,Motorcycles!$C$2:$L$35,10,0)</f>
        <v>15</v>
      </c>
      <c r="D227" s="14" t="s">
        <v>9</v>
      </c>
      <c r="F227" t="s">
        <v>46</v>
      </c>
      <c r="G227" s="14" t="s">
        <v>34</v>
      </c>
      <c r="I227" s="14" t="s">
        <v>479</v>
      </c>
      <c r="J227" s="16">
        <v>224</v>
      </c>
      <c r="K227" s="14" t="s">
        <v>88</v>
      </c>
      <c r="L227" s="14" t="s">
        <v>154</v>
      </c>
      <c r="M227" s="14" t="s">
        <v>154</v>
      </c>
      <c r="N227" s="14" t="s">
        <v>151</v>
      </c>
      <c r="O227" s="14" t="s">
        <v>154</v>
      </c>
      <c r="P227" s="14" t="s">
        <v>151</v>
      </c>
      <c r="Q227" s="14" t="s">
        <v>583</v>
      </c>
    </row>
    <row r="228" spans="1:20" x14ac:dyDescent="0.35">
      <c r="A228" s="11">
        <v>43878</v>
      </c>
      <c r="B228" s="11">
        <v>43878</v>
      </c>
      <c r="C228" s="1">
        <f>VLOOKUP(F228,Motorcycles!$C$2:$L$35,10,0)</f>
        <v>15</v>
      </c>
      <c r="D228" s="14" t="s">
        <v>9</v>
      </c>
      <c r="F228" t="str">
        <f>F227</f>
        <v>NABWAMBI MICHEAL</v>
      </c>
      <c r="G228" s="14" t="s">
        <v>34</v>
      </c>
      <c r="I228" s="14" t="s">
        <v>479</v>
      </c>
      <c r="J228" s="16">
        <v>224</v>
      </c>
      <c r="K228" s="14" t="s">
        <v>89</v>
      </c>
      <c r="L228" s="14" t="s">
        <v>144</v>
      </c>
      <c r="M228" s="14" t="s">
        <v>607</v>
      </c>
      <c r="N228" s="14" t="s">
        <v>609</v>
      </c>
      <c r="O228" s="14" t="s">
        <v>607</v>
      </c>
      <c r="P228" s="14" t="s">
        <v>606</v>
      </c>
      <c r="Q228" s="14" t="s">
        <v>607</v>
      </c>
    </row>
    <row r="229" spans="1:20" x14ac:dyDescent="0.35">
      <c r="A229" s="11">
        <v>43878</v>
      </c>
      <c r="B229" s="11">
        <v>43878</v>
      </c>
      <c r="C229" s="1">
        <f>VLOOKUP(F229,Motorcycles!$C$2:$L$35,10,0)</f>
        <v>15</v>
      </c>
      <c r="D229" s="14" t="s">
        <v>9</v>
      </c>
      <c r="F229" t="str">
        <f>F228</f>
        <v>NABWAMBI MICHEAL</v>
      </c>
      <c r="G229" s="14" t="s">
        <v>34</v>
      </c>
      <c r="I229" s="14" t="s">
        <v>479</v>
      </c>
      <c r="J229" s="16">
        <v>224</v>
      </c>
      <c r="K229" s="14" t="s">
        <v>90</v>
      </c>
      <c r="L229" s="14" t="s">
        <v>594</v>
      </c>
      <c r="M229" s="14" t="s">
        <v>93</v>
      </c>
      <c r="N229" s="14" t="s">
        <v>93</v>
      </c>
      <c r="O229" s="14" t="s">
        <v>93</v>
      </c>
      <c r="P229" s="14" t="s">
        <v>93</v>
      </c>
      <c r="Q229" s="14" t="s">
        <v>598</v>
      </c>
    </row>
    <row r="230" spans="1:20" x14ac:dyDescent="0.35">
      <c r="A230" s="11">
        <f t="shared" ref="A230:A241" si="8">B230</f>
        <v>43841</v>
      </c>
      <c r="B230" s="8">
        <v>43841</v>
      </c>
      <c r="C230" s="1">
        <v>16</v>
      </c>
      <c r="D230" t="s">
        <v>52</v>
      </c>
      <c r="F230" t="s">
        <v>466</v>
      </c>
      <c r="G230" t="s">
        <v>75</v>
      </c>
      <c r="I230" t="s">
        <v>6</v>
      </c>
      <c r="J230">
        <v>93</v>
      </c>
      <c r="K230" t="s">
        <v>88</v>
      </c>
      <c r="L230" t="s">
        <v>319</v>
      </c>
      <c r="M230" t="s">
        <v>441</v>
      </c>
      <c r="N230" t="s">
        <v>406</v>
      </c>
      <c r="O230" t="s">
        <v>467</v>
      </c>
      <c r="P230" t="s">
        <v>422</v>
      </c>
      <c r="Q230" t="s">
        <v>422</v>
      </c>
      <c r="R230" t="s">
        <v>406</v>
      </c>
      <c r="S230" t="s">
        <v>406</v>
      </c>
      <c r="T230" t="s">
        <v>408</v>
      </c>
    </row>
    <row r="231" spans="1:20" x14ac:dyDescent="0.35">
      <c r="A231" s="11">
        <f t="shared" si="8"/>
        <v>43841</v>
      </c>
      <c r="B231" s="8">
        <f>B230</f>
        <v>43841</v>
      </c>
      <c r="C231" s="1">
        <v>16</v>
      </c>
      <c r="D231" t="s">
        <v>52</v>
      </c>
      <c r="F231" t="s">
        <v>466</v>
      </c>
      <c r="G231" t="s">
        <v>75</v>
      </c>
      <c r="I231" t="s">
        <v>6</v>
      </c>
      <c r="J231">
        <v>93</v>
      </c>
      <c r="K231" t="s">
        <v>89</v>
      </c>
      <c r="L231" t="s">
        <v>425</v>
      </c>
      <c r="M231" t="s">
        <v>136</v>
      </c>
      <c r="N231" t="s">
        <v>136</v>
      </c>
      <c r="O231" t="s">
        <v>136</v>
      </c>
      <c r="P231" t="s">
        <v>136</v>
      </c>
      <c r="Q231" t="s">
        <v>468</v>
      </c>
      <c r="R231" t="s">
        <v>136</v>
      </c>
      <c r="S231" t="s">
        <v>136</v>
      </c>
      <c r="T231" t="s">
        <v>136</v>
      </c>
    </row>
    <row r="232" spans="1:20" x14ac:dyDescent="0.35">
      <c r="A232" s="11">
        <f t="shared" si="8"/>
        <v>43841</v>
      </c>
      <c r="B232" s="8">
        <f>B231</f>
        <v>43841</v>
      </c>
      <c r="C232" s="1">
        <v>16</v>
      </c>
      <c r="D232" t="s">
        <v>52</v>
      </c>
      <c r="F232" t="s">
        <v>466</v>
      </c>
      <c r="G232" t="s">
        <v>75</v>
      </c>
      <c r="I232" t="s">
        <v>6</v>
      </c>
      <c r="J232">
        <v>93</v>
      </c>
      <c r="K232" t="s">
        <v>90</v>
      </c>
      <c r="L232" t="s">
        <v>414</v>
      </c>
      <c r="M232" t="s">
        <v>272</v>
      </c>
      <c r="N232" t="s">
        <v>272</v>
      </c>
      <c r="O232" t="s">
        <v>439</v>
      </c>
      <c r="P232" t="s">
        <v>439</v>
      </c>
      <c r="Q232" t="s">
        <v>272</v>
      </c>
      <c r="R232" t="s">
        <v>272</v>
      </c>
      <c r="S232" t="s">
        <v>419</v>
      </c>
      <c r="T232" t="s">
        <v>416</v>
      </c>
    </row>
    <row r="233" spans="1:20" x14ac:dyDescent="0.35">
      <c r="A233" s="11">
        <f t="shared" si="8"/>
        <v>43855</v>
      </c>
      <c r="B233" s="8">
        <v>43855</v>
      </c>
      <c r="C233" s="1">
        <v>16</v>
      </c>
      <c r="D233" t="s">
        <v>52</v>
      </c>
      <c r="F233" t="s">
        <v>466</v>
      </c>
      <c r="G233" t="s">
        <v>75</v>
      </c>
      <c r="I233" t="s">
        <v>479</v>
      </c>
      <c r="J233">
        <v>63</v>
      </c>
      <c r="K233" t="s">
        <v>88</v>
      </c>
      <c r="L233" t="s">
        <v>319</v>
      </c>
      <c r="M233" t="s">
        <v>521</v>
      </c>
      <c r="N233" t="s">
        <v>408</v>
      </c>
      <c r="O233" t="s">
        <v>408</v>
      </c>
      <c r="P233" t="s">
        <v>408</v>
      </c>
      <c r="Q233" t="s">
        <v>480</v>
      </c>
    </row>
    <row r="234" spans="1:20" x14ac:dyDescent="0.35">
      <c r="A234" s="11">
        <f t="shared" si="8"/>
        <v>43855</v>
      </c>
      <c r="B234" s="8">
        <v>43855</v>
      </c>
      <c r="C234" s="1">
        <v>16</v>
      </c>
      <c r="D234" t="s">
        <v>52</v>
      </c>
      <c r="F234" t="s">
        <v>466</v>
      </c>
      <c r="G234" t="s">
        <v>75</v>
      </c>
      <c r="I234" t="s">
        <v>479</v>
      </c>
      <c r="J234">
        <v>63</v>
      </c>
      <c r="K234" t="s">
        <v>89</v>
      </c>
      <c r="L234" t="s">
        <v>411</v>
      </c>
      <c r="M234" t="s">
        <v>548</v>
      </c>
      <c r="N234" t="s">
        <v>408</v>
      </c>
      <c r="O234" t="s">
        <v>408</v>
      </c>
      <c r="P234" t="s">
        <v>408</v>
      </c>
      <c r="Q234" t="s">
        <v>549</v>
      </c>
    </row>
    <row r="235" spans="1:20" x14ac:dyDescent="0.35">
      <c r="A235" s="11">
        <f t="shared" si="8"/>
        <v>43855</v>
      </c>
      <c r="B235" s="8">
        <v>43855</v>
      </c>
      <c r="C235" s="1">
        <v>16</v>
      </c>
      <c r="D235" t="s">
        <v>52</v>
      </c>
      <c r="F235" t="s">
        <v>466</v>
      </c>
      <c r="G235" t="s">
        <v>75</v>
      </c>
      <c r="I235" t="s">
        <v>479</v>
      </c>
      <c r="J235">
        <v>63</v>
      </c>
      <c r="K235" t="s">
        <v>90</v>
      </c>
      <c r="L235" t="s">
        <v>546</v>
      </c>
      <c r="M235" t="s">
        <v>530</v>
      </c>
      <c r="N235" t="s">
        <v>427</v>
      </c>
      <c r="O235" t="s">
        <v>427</v>
      </c>
      <c r="P235" t="s">
        <v>428</v>
      </c>
      <c r="Q235" t="s">
        <v>550</v>
      </c>
    </row>
    <row r="236" spans="1:20" x14ac:dyDescent="0.35">
      <c r="A236" s="11">
        <f t="shared" si="8"/>
        <v>43862</v>
      </c>
      <c r="B236" s="8">
        <v>43862</v>
      </c>
      <c r="C236" s="1">
        <v>16</v>
      </c>
      <c r="D236" t="s">
        <v>52</v>
      </c>
      <c r="F236" t="s">
        <v>466</v>
      </c>
      <c r="G236" t="s">
        <v>75</v>
      </c>
      <c r="I236" t="s">
        <v>479</v>
      </c>
      <c r="J236">
        <v>89</v>
      </c>
      <c r="K236" t="s">
        <v>88</v>
      </c>
      <c r="L236" t="s">
        <v>151</v>
      </c>
      <c r="M236" t="s">
        <v>408</v>
      </c>
      <c r="N236" t="s">
        <v>408</v>
      </c>
      <c r="O236" t="s">
        <v>408</v>
      </c>
      <c r="P236" t="s">
        <v>408</v>
      </c>
      <c r="Q236" t="s">
        <v>553</v>
      </c>
    </row>
    <row r="237" spans="1:20" x14ac:dyDescent="0.35">
      <c r="A237" s="11">
        <f t="shared" si="8"/>
        <v>43862</v>
      </c>
      <c r="B237" s="8">
        <v>43862</v>
      </c>
      <c r="C237" s="1">
        <v>16</v>
      </c>
      <c r="D237" t="s">
        <v>52</v>
      </c>
      <c r="F237" t="s">
        <v>466</v>
      </c>
      <c r="G237" t="s">
        <v>75</v>
      </c>
      <c r="I237" t="s">
        <v>479</v>
      </c>
      <c r="J237">
        <v>89</v>
      </c>
      <c r="K237" t="s">
        <v>89</v>
      </c>
      <c r="L237" t="s">
        <v>526</v>
      </c>
      <c r="M237" t="s">
        <v>408</v>
      </c>
      <c r="N237" t="s">
        <v>408</v>
      </c>
      <c r="O237" t="s">
        <v>408</v>
      </c>
      <c r="P237" t="s">
        <v>408</v>
      </c>
      <c r="Q237" t="s">
        <v>554</v>
      </c>
    </row>
    <row r="238" spans="1:20" x14ac:dyDescent="0.35">
      <c r="A238" s="11">
        <f t="shared" si="8"/>
        <v>43862</v>
      </c>
      <c r="B238" s="8">
        <v>43862</v>
      </c>
      <c r="C238" s="1">
        <v>16</v>
      </c>
      <c r="D238" t="s">
        <v>52</v>
      </c>
      <c r="F238" t="s">
        <v>466</v>
      </c>
      <c r="G238" t="s">
        <v>75</v>
      </c>
      <c r="I238" t="s">
        <v>479</v>
      </c>
      <c r="J238">
        <v>89</v>
      </c>
      <c r="K238" t="s">
        <v>90</v>
      </c>
      <c r="L238" t="s">
        <v>530</v>
      </c>
      <c r="M238" t="s">
        <v>428</v>
      </c>
      <c r="N238" t="s">
        <v>427</v>
      </c>
      <c r="O238" t="s">
        <v>555</v>
      </c>
      <c r="P238" t="s">
        <v>556</v>
      </c>
      <c r="Q238" t="s">
        <v>530</v>
      </c>
    </row>
    <row r="239" spans="1:20" x14ac:dyDescent="0.35">
      <c r="A239" s="11">
        <f t="shared" si="8"/>
        <v>43848</v>
      </c>
      <c r="B239" s="8">
        <v>43848</v>
      </c>
      <c r="C239" s="1">
        <v>16</v>
      </c>
      <c r="D239" t="s">
        <v>52</v>
      </c>
      <c r="F239" t="s">
        <v>466</v>
      </c>
      <c r="G239" t="s">
        <v>75</v>
      </c>
      <c r="I239" t="s">
        <v>479</v>
      </c>
      <c r="J239">
        <v>34</v>
      </c>
      <c r="K239" t="s">
        <v>88</v>
      </c>
      <c r="L239" t="s">
        <v>319</v>
      </c>
      <c r="M239" t="s">
        <v>422</v>
      </c>
      <c r="N239" t="s">
        <v>408</v>
      </c>
      <c r="O239" t="s">
        <v>408</v>
      </c>
      <c r="P239" t="s">
        <v>493</v>
      </c>
      <c r="Q239" t="s">
        <v>422</v>
      </c>
    </row>
    <row r="240" spans="1:20" x14ac:dyDescent="0.35">
      <c r="A240" s="11">
        <f t="shared" si="8"/>
        <v>43848</v>
      </c>
      <c r="B240" s="8">
        <v>43848</v>
      </c>
      <c r="C240" s="1">
        <v>16</v>
      </c>
      <c r="D240" t="s">
        <v>52</v>
      </c>
      <c r="F240" t="s">
        <v>466</v>
      </c>
      <c r="G240" t="s">
        <v>75</v>
      </c>
      <c r="I240" t="s">
        <v>479</v>
      </c>
      <c r="J240">
        <v>34</v>
      </c>
      <c r="K240" t="s">
        <v>89</v>
      </c>
      <c r="L240" t="s">
        <v>411</v>
      </c>
      <c r="M240" t="s">
        <v>494</v>
      </c>
      <c r="N240" t="s">
        <v>419</v>
      </c>
      <c r="O240" t="s">
        <v>419</v>
      </c>
      <c r="P240" t="s">
        <v>444</v>
      </c>
      <c r="Q240" t="s">
        <v>495</v>
      </c>
    </row>
    <row r="241" spans="1:18" x14ac:dyDescent="0.35">
      <c r="A241" s="11">
        <f t="shared" si="8"/>
        <v>43848</v>
      </c>
      <c r="B241" s="8">
        <v>43848</v>
      </c>
      <c r="C241" s="1">
        <v>16</v>
      </c>
      <c r="D241" t="s">
        <v>52</v>
      </c>
      <c r="F241" t="s">
        <v>466</v>
      </c>
      <c r="G241" t="s">
        <v>75</v>
      </c>
      <c r="I241" t="s">
        <v>479</v>
      </c>
      <c r="J241">
        <v>34</v>
      </c>
      <c r="K241" t="s">
        <v>90</v>
      </c>
      <c r="L241" t="s">
        <v>414</v>
      </c>
      <c r="M241" t="s">
        <v>272</v>
      </c>
      <c r="N241" t="s">
        <v>439</v>
      </c>
      <c r="O241" t="s">
        <v>272</v>
      </c>
      <c r="P241" t="s">
        <v>496</v>
      </c>
      <c r="Q241" t="s">
        <v>272</v>
      </c>
    </row>
    <row r="242" spans="1:18" x14ac:dyDescent="0.35">
      <c r="A242" s="11">
        <v>43869</v>
      </c>
      <c r="B242" s="11">
        <v>43869</v>
      </c>
      <c r="C242" s="1">
        <v>16</v>
      </c>
      <c r="D242" t="s">
        <v>52</v>
      </c>
      <c r="F242" t="s">
        <v>466</v>
      </c>
      <c r="G242" t="s">
        <v>75</v>
      </c>
      <c r="I242" t="s">
        <v>479</v>
      </c>
      <c r="J242">
        <v>191</v>
      </c>
      <c r="K242" t="s">
        <v>88</v>
      </c>
      <c r="L242" t="s">
        <v>615</v>
      </c>
      <c r="M242" t="s">
        <v>408</v>
      </c>
      <c r="N242" t="s">
        <v>408</v>
      </c>
      <c r="O242" t="s">
        <v>408</v>
      </c>
      <c r="P242" t="s">
        <v>621</v>
      </c>
      <c r="Q242" t="s">
        <v>408</v>
      </c>
    </row>
    <row r="243" spans="1:18" x14ac:dyDescent="0.35">
      <c r="A243" s="11">
        <v>43869</v>
      </c>
      <c r="B243" s="11">
        <v>43869</v>
      </c>
      <c r="C243" s="1">
        <v>16</v>
      </c>
      <c r="D243" t="s">
        <v>52</v>
      </c>
      <c r="F243" t="s">
        <v>466</v>
      </c>
      <c r="G243" t="s">
        <v>75</v>
      </c>
      <c r="I243" t="s">
        <v>479</v>
      </c>
      <c r="J243">
        <v>191</v>
      </c>
      <c r="K243" t="s">
        <v>89</v>
      </c>
      <c r="L243" t="s">
        <v>411</v>
      </c>
      <c r="M243" t="s">
        <v>628</v>
      </c>
      <c r="N243" t="s">
        <v>618</v>
      </c>
      <c r="O243" t="s">
        <v>628</v>
      </c>
      <c r="P243" t="s">
        <v>622</v>
      </c>
      <c r="Q243" t="s">
        <v>640</v>
      </c>
    </row>
    <row r="244" spans="1:18" x14ac:dyDescent="0.35">
      <c r="A244" s="11">
        <v>43869</v>
      </c>
      <c r="B244" s="11">
        <v>43869</v>
      </c>
      <c r="C244" s="1">
        <v>16</v>
      </c>
      <c r="D244" t="s">
        <v>52</v>
      </c>
      <c r="F244" t="s">
        <v>466</v>
      </c>
      <c r="G244" t="s">
        <v>75</v>
      </c>
      <c r="I244" t="s">
        <v>479</v>
      </c>
      <c r="J244">
        <v>191</v>
      </c>
      <c r="K244" t="s">
        <v>90</v>
      </c>
      <c r="L244" t="s">
        <v>546</v>
      </c>
      <c r="M244" t="s">
        <v>627</v>
      </c>
      <c r="N244" t="s">
        <v>408</v>
      </c>
      <c r="O244" t="s">
        <v>408</v>
      </c>
      <c r="P244" t="s">
        <v>408</v>
      </c>
      <c r="Q244" t="s">
        <v>521</v>
      </c>
    </row>
    <row r="245" spans="1:18" x14ac:dyDescent="0.35">
      <c r="A245" s="11">
        <v>43876</v>
      </c>
      <c r="B245" s="11">
        <v>43876</v>
      </c>
      <c r="C245" s="1">
        <v>16</v>
      </c>
      <c r="D245" t="s">
        <v>52</v>
      </c>
      <c r="F245" t="s">
        <v>466</v>
      </c>
      <c r="G245" t="s">
        <v>75</v>
      </c>
      <c r="I245" t="s">
        <v>479</v>
      </c>
      <c r="J245">
        <v>128</v>
      </c>
      <c r="K245" t="s">
        <v>88</v>
      </c>
      <c r="L245" t="s">
        <v>615</v>
      </c>
      <c r="M245" t="s">
        <v>408</v>
      </c>
      <c r="N245" t="s">
        <v>684</v>
      </c>
      <c r="O245" t="s">
        <v>563</v>
      </c>
      <c r="P245" t="s">
        <v>621</v>
      </c>
      <c r="Q245" t="s">
        <v>408</v>
      </c>
    </row>
    <row r="246" spans="1:18" x14ac:dyDescent="0.35">
      <c r="A246" s="11">
        <v>43876</v>
      </c>
      <c r="B246" s="11">
        <v>43876</v>
      </c>
      <c r="C246" s="1">
        <v>16</v>
      </c>
      <c r="D246" t="s">
        <v>52</v>
      </c>
      <c r="F246" t="s">
        <v>466</v>
      </c>
      <c r="G246" t="s">
        <v>75</v>
      </c>
      <c r="I246" t="s">
        <v>479</v>
      </c>
      <c r="J246">
        <v>128</v>
      </c>
      <c r="K246" t="s">
        <v>89</v>
      </c>
      <c r="L246" t="s">
        <v>526</v>
      </c>
      <c r="M246" t="s">
        <v>628</v>
      </c>
      <c r="N246" t="s">
        <v>685</v>
      </c>
      <c r="O246" t="s">
        <v>622</v>
      </c>
      <c r="P246" t="s">
        <v>622</v>
      </c>
      <c r="Q246" t="s">
        <v>617</v>
      </c>
    </row>
    <row r="247" spans="1:18" x14ac:dyDescent="0.35">
      <c r="A247" s="11">
        <v>43876</v>
      </c>
      <c r="B247" s="11">
        <v>43876</v>
      </c>
      <c r="C247" s="1">
        <v>16</v>
      </c>
      <c r="D247" t="s">
        <v>52</v>
      </c>
      <c r="F247" t="s">
        <v>466</v>
      </c>
      <c r="G247" t="s">
        <v>75</v>
      </c>
      <c r="I247" t="s">
        <v>479</v>
      </c>
      <c r="J247">
        <v>128</v>
      </c>
      <c r="K247" t="s">
        <v>90</v>
      </c>
      <c r="L247" t="s">
        <v>546</v>
      </c>
      <c r="M247" t="s">
        <v>627</v>
      </c>
      <c r="N247" t="s">
        <v>686</v>
      </c>
      <c r="O247" t="s">
        <v>627</v>
      </c>
      <c r="P247" t="s">
        <v>627</v>
      </c>
      <c r="Q247" t="s">
        <v>627</v>
      </c>
    </row>
    <row r="248" spans="1:18" x14ac:dyDescent="0.35">
      <c r="A248" s="11">
        <v>43885</v>
      </c>
      <c r="B248" s="11">
        <v>43885</v>
      </c>
      <c r="C248" s="1">
        <v>16</v>
      </c>
      <c r="D248" t="s">
        <v>52</v>
      </c>
      <c r="F248" t="s">
        <v>466</v>
      </c>
      <c r="G248" t="s">
        <v>11</v>
      </c>
      <c r="I248" t="s">
        <v>479</v>
      </c>
      <c r="J248">
        <v>149</v>
      </c>
      <c r="K248" s="14" t="s">
        <v>88</v>
      </c>
      <c r="L248" s="14" t="s">
        <v>575</v>
      </c>
      <c r="M248" s="14" t="s">
        <v>122</v>
      </c>
      <c r="N248" s="14" t="s">
        <v>576</v>
      </c>
      <c r="O248" s="14" t="s">
        <v>319</v>
      </c>
      <c r="P248" s="14" t="s">
        <v>578</v>
      </c>
      <c r="Q248" s="14" t="s">
        <v>583</v>
      </c>
      <c r="R248" s="14"/>
    </row>
    <row r="249" spans="1:18" x14ac:dyDescent="0.35">
      <c r="A249" s="11">
        <v>43885</v>
      </c>
      <c r="B249" s="11">
        <v>43885</v>
      </c>
      <c r="C249" s="1">
        <v>16</v>
      </c>
      <c r="D249" t="s">
        <v>52</v>
      </c>
      <c r="F249" t="s">
        <v>466</v>
      </c>
      <c r="G249" t="s">
        <v>11</v>
      </c>
      <c r="I249" t="s">
        <v>479</v>
      </c>
      <c r="J249">
        <v>149</v>
      </c>
      <c r="K249" s="14" t="s">
        <v>89</v>
      </c>
      <c r="L249" s="14" t="s">
        <v>144</v>
      </c>
      <c r="M249" s="14" t="s">
        <v>121</v>
      </c>
      <c r="N249" s="14" t="s">
        <v>586</v>
      </c>
      <c r="O249" s="14" t="s">
        <v>607</v>
      </c>
      <c r="P249" s="14" t="s">
        <v>578</v>
      </c>
      <c r="Q249" s="14" t="s">
        <v>607</v>
      </c>
      <c r="R249" s="14"/>
    </row>
    <row r="250" spans="1:18" x14ac:dyDescent="0.35">
      <c r="A250" s="11">
        <v>43885</v>
      </c>
      <c r="B250" s="11">
        <v>43885</v>
      </c>
      <c r="C250" s="1">
        <v>16</v>
      </c>
      <c r="D250" t="s">
        <v>52</v>
      </c>
      <c r="F250" t="s">
        <v>466</v>
      </c>
      <c r="G250" t="s">
        <v>11</v>
      </c>
      <c r="I250" t="s">
        <v>479</v>
      </c>
      <c r="J250">
        <v>149</v>
      </c>
      <c r="K250" s="14" t="s">
        <v>90</v>
      </c>
      <c r="L250" s="14" t="s">
        <v>594</v>
      </c>
      <c r="M250" s="14" t="s">
        <v>603</v>
      </c>
      <c r="N250" s="14" t="s">
        <v>602</v>
      </c>
      <c r="O250" s="14" t="s">
        <v>93</v>
      </c>
      <c r="P250" s="14" t="s">
        <v>600</v>
      </c>
      <c r="Q250" s="14" t="s">
        <v>598</v>
      </c>
      <c r="R250" s="14"/>
    </row>
    <row r="251" spans="1:18" x14ac:dyDescent="0.35">
      <c r="A251" s="11">
        <v>43892</v>
      </c>
      <c r="B251" s="11">
        <v>43892</v>
      </c>
      <c r="C251" s="1">
        <v>16</v>
      </c>
      <c r="D251" t="s">
        <v>52</v>
      </c>
      <c r="F251" t="s">
        <v>466</v>
      </c>
      <c r="G251" t="s">
        <v>11</v>
      </c>
      <c r="I251" s="14" t="s">
        <v>479</v>
      </c>
      <c r="J251" s="14">
        <v>110</v>
      </c>
      <c r="K251" s="14" t="s">
        <v>88</v>
      </c>
      <c r="L251" s="14" t="s">
        <v>319</v>
      </c>
      <c r="M251" s="14" t="s">
        <v>122</v>
      </c>
      <c r="N251" s="14" t="s">
        <v>577</v>
      </c>
      <c r="O251" s="14" t="s">
        <v>575</v>
      </c>
      <c r="P251" s="14" t="s">
        <v>578</v>
      </c>
      <c r="Q251" s="14" t="s">
        <v>583</v>
      </c>
      <c r="R251" s="14"/>
    </row>
    <row r="252" spans="1:18" x14ac:dyDescent="0.35">
      <c r="A252" s="11">
        <v>43892</v>
      </c>
      <c r="B252" s="11">
        <v>43892</v>
      </c>
      <c r="C252" s="1">
        <v>16</v>
      </c>
      <c r="D252" t="s">
        <v>52</v>
      </c>
      <c r="F252" t="s">
        <v>466</v>
      </c>
      <c r="G252" t="s">
        <v>11</v>
      </c>
      <c r="I252" s="14" t="s">
        <v>479</v>
      </c>
      <c r="J252" s="14">
        <v>110</v>
      </c>
      <c r="K252" s="14" t="s">
        <v>89</v>
      </c>
      <c r="L252" s="14" t="s">
        <v>144</v>
      </c>
      <c r="M252" s="14" t="s">
        <v>121</v>
      </c>
      <c r="N252" s="14" t="s">
        <v>587</v>
      </c>
      <c r="O252" s="14" t="s">
        <v>121</v>
      </c>
      <c r="P252" s="14" t="s">
        <v>578</v>
      </c>
      <c r="Q252" s="14" t="s">
        <v>607</v>
      </c>
      <c r="R252" s="14"/>
    </row>
    <row r="253" spans="1:18" x14ac:dyDescent="0.35">
      <c r="A253" s="11">
        <v>43892</v>
      </c>
      <c r="B253" s="11">
        <v>43892</v>
      </c>
      <c r="C253" s="1">
        <v>16</v>
      </c>
      <c r="D253" t="s">
        <v>52</v>
      </c>
      <c r="F253" t="s">
        <v>466</v>
      </c>
      <c r="G253" t="s">
        <v>11</v>
      </c>
      <c r="I253" s="14" t="s">
        <v>479</v>
      </c>
      <c r="J253" s="14">
        <v>110</v>
      </c>
      <c r="K253" s="14" t="s">
        <v>90</v>
      </c>
      <c r="L253" s="14" t="s">
        <v>594</v>
      </c>
      <c r="M253" s="14" t="s">
        <v>603</v>
      </c>
      <c r="N253" s="14" t="s">
        <v>602</v>
      </c>
      <c r="O253" s="14" t="s">
        <v>601</v>
      </c>
      <c r="P253" s="14" t="s">
        <v>600</v>
      </c>
      <c r="Q253" s="14" t="s">
        <v>599</v>
      </c>
      <c r="R253" s="14"/>
    </row>
    <row r="254" spans="1:18" x14ac:dyDescent="0.35">
      <c r="A254" s="11">
        <v>43899</v>
      </c>
      <c r="B254" s="11">
        <v>43899</v>
      </c>
      <c r="C254" s="1">
        <v>16</v>
      </c>
      <c r="D254" t="s">
        <v>52</v>
      </c>
      <c r="F254" t="s">
        <v>466</v>
      </c>
      <c r="G254" t="s">
        <v>11</v>
      </c>
      <c r="I254" s="14" t="s">
        <v>479</v>
      </c>
      <c r="J254" s="14">
        <v>155</v>
      </c>
      <c r="K254" s="14" t="s">
        <v>88</v>
      </c>
      <c r="L254" s="14" t="s">
        <v>319</v>
      </c>
      <c r="M254" s="14" t="s">
        <v>319</v>
      </c>
      <c r="N254" s="14" t="s">
        <v>137</v>
      </c>
      <c r="O254" s="14" t="s">
        <v>319</v>
      </c>
      <c r="P254" s="14" t="s">
        <v>151</v>
      </c>
      <c r="Q254" s="14" t="s">
        <v>583</v>
      </c>
      <c r="R254" s="14"/>
    </row>
    <row r="255" spans="1:18" x14ac:dyDescent="0.35">
      <c r="A255" s="11">
        <v>43899</v>
      </c>
      <c r="B255" s="11">
        <v>43899</v>
      </c>
      <c r="C255" s="1">
        <v>16</v>
      </c>
      <c r="D255" t="s">
        <v>52</v>
      </c>
      <c r="F255" t="s">
        <v>466</v>
      </c>
      <c r="G255" t="s">
        <v>11</v>
      </c>
      <c r="I255" s="14" t="s">
        <v>479</v>
      </c>
      <c r="J255" s="14">
        <v>155</v>
      </c>
      <c r="K255" s="14" t="s">
        <v>89</v>
      </c>
      <c r="L255" s="14" t="s">
        <v>144</v>
      </c>
      <c r="M255" s="14" t="s">
        <v>607</v>
      </c>
      <c r="N255" s="14" t="s">
        <v>588</v>
      </c>
      <c r="O255" s="14" t="s">
        <v>607</v>
      </c>
      <c r="P255" s="14" t="s">
        <v>607</v>
      </c>
      <c r="Q255" s="14" t="s">
        <v>607</v>
      </c>
      <c r="R255" s="14"/>
    </row>
    <row r="256" spans="1:18" x14ac:dyDescent="0.35">
      <c r="A256" s="11">
        <v>43899</v>
      </c>
      <c r="B256" s="11">
        <v>43899</v>
      </c>
      <c r="C256" s="1">
        <v>16</v>
      </c>
      <c r="D256" t="s">
        <v>52</v>
      </c>
      <c r="F256" t="s">
        <v>466</v>
      </c>
      <c r="G256" t="s">
        <v>11</v>
      </c>
      <c r="I256" s="14" t="s">
        <v>479</v>
      </c>
      <c r="J256" s="14">
        <v>155</v>
      </c>
      <c r="K256" s="14" t="s">
        <v>90</v>
      </c>
      <c r="L256" s="14" t="s">
        <v>594</v>
      </c>
      <c r="M256" s="14" t="s">
        <v>93</v>
      </c>
      <c r="N256" s="14" t="s">
        <v>602</v>
      </c>
      <c r="O256" s="14" t="s">
        <v>93</v>
      </c>
      <c r="P256" s="14" t="s">
        <v>599</v>
      </c>
      <c r="Q256" s="14" t="s">
        <v>598</v>
      </c>
      <c r="R256" s="14"/>
    </row>
    <row r="257" spans="1:28" x14ac:dyDescent="0.35">
      <c r="A257" s="11">
        <f t="shared" ref="A257:A268" si="9">B257</f>
        <v>43841</v>
      </c>
      <c r="B257" s="8">
        <v>43841</v>
      </c>
      <c r="C257" s="1">
        <v>17</v>
      </c>
      <c r="D257" t="s">
        <v>52</v>
      </c>
      <c r="F257" t="s">
        <v>463</v>
      </c>
      <c r="G257" t="s">
        <v>75</v>
      </c>
      <c r="I257" t="s">
        <v>6</v>
      </c>
      <c r="J257">
        <v>96</v>
      </c>
      <c r="K257" t="s">
        <v>88</v>
      </c>
      <c r="L257" t="s">
        <v>459</v>
      </c>
      <c r="M257" t="s">
        <v>408</v>
      </c>
      <c r="N257" t="s">
        <v>452</v>
      </c>
      <c r="O257" t="s">
        <v>408</v>
      </c>
      <c r="P257" t="s">
        <v>422</v>
      </c>
      <c r="Q257" t="s">
        <v>409</v>
      </c>
      <c r="R257" t="s">
        <v>406</v>
      </c>
      <c r="S257" t="s">
        <v>408</v>
      </c>
      <c r="T257" t="s">
        <v>408</v>
      </c>
    </row>
    <row r="258" spans="1:28" x14ac:dyDescent="0.35">
      <c r="A258" s="11">
        <f t="shared" si="9"/>
        <v>43841</v>
      </c>
      <c r="B258" s="8">
        <f>B257</f>
        <v>43841</v>
      </c>
      <c r="C258" s="1">
        <v>17</v>
      </c>
      <c r="D258" t="s">
        <v>52</v>
      </c>
      <c r="F258" t="s">
        <v>463</v>
      </c>
      <c r="G258" t="s">
        <v>75</v>
      </c>
      <c r="I258" t="s">
        <v>6</v>
      </c>
      <c r="J258">
        <v>96</v>
      </c>
      <c r="K258" t="s">
        <v>89</v>
      </c>
      <c r="L258" t="s">
        <v>425</v>
      </c>
      <c r="M258" t="s">
        <v>136</v>
      </c>
      <c r="N258" t="s">
        <v>464</v>
      </c>
      <c r="O258" t="s">
        <v>136</v>
      </c>
      <c r="P258" t="s">
        <v>136</v>
      </c>
      <c r="Q258" t="s">
        <v>136</v>
      </c>
      <c r="R258" t="s">
        <v>116</v>
      </c>
      <c r="S258" t="s">
        <v>136</v>
      </c>
      <c r="T258" t="s">
        <v>136</v>
      </c>
    </row>
    <row r="259" spans="1:28" x14ac:dyDescent="0.35">
      <c r="A259" s="11">
        <f t="shared" si="9"/>
        <v>43841</v>
      </c>
      <c r="B259" s="8">
        <f>B258</f>
        <v>43841</v>
      </c>
      <c r="C259" s="1">
        <v>17</v>
      </c>
      <c r="D259" t="s">
        <v>52</v>
      </c>
      <c r="F259" t="s">
        <v>463</v>
      </c>
      <c r="G259" t="s">
        <v>75</v>
      </c>
      <c r="I259" t="s">
        <v>6</v>
      </c>
      <c r="J259">
        <v>96</v>
      </c>
      <c r="K259" t="s">
        <v>90</v>
      </c>
      <c r="L259" t="s">
        <v>465</v>
      </c>
      <c r="M259" t="s">
        <v>92</v>
      </c>
      <c r="N259" t="s">
        <v>448</v>
      </c>
      <c r="O259" t="s">
        <v>416</v>
      </c>
      <c r="P259" t="s">
        <v>272</v>
      </c>
      <c r="Q259" t="s">
        <v>272</v>
      </c>
      <c r="R259" t="s">
        <v>272</v>
      </c>
      <c r="S259" t="s">
        <v>439</v>
      </c>
      <c r="T259" t="s">
        <v>416</v>
      </c>
    </row>
    <row r="260" spans="1:28" x14ac:dyDescent="0.35">
      <c r="A260" s="11">
        <f t="shared" si="9"/>
        <v>43848</v>
      </c>
      <c r="B260" s="8">
        <v>43848</v>
      </c>
      <c r="C260" s="1">
        <v>17</v>
      </c>
      <c r="D260" t="s">
        <v>52</v>
      </c>
      <c r="F260" t="s">
        <v>463</v>
      </c>
      <c r="G260" t="s">
        <v>75</v>
      </c>
      <c r="I260" t="s">
        <v>479</v>
      </c>
      <c r="J260">
        <v>67</v>
      </c>
      <c r="K260" t="s">
        <v>88</v>
      </c>
      <c r="L260" t="s">
        <v>111</v>
      </c>
      <c r="M260" t="s">
        <v>408</v>
      </c>
      <c r="N260" t="s">
        <v>408</v>
      </c>
      <c r="O260" t="s">
        <v>408</v>
      </c>
      <c r="P260" t="s">
        <v>408</v>
      </c>
      <c r="Q260" t="s">
        <v>480</v>
      </c>
    </row>
    <row r="261" spans="1:28" x14ac:dyDescent="0.35">
      <c r="A261" s="11">
        <f t="shared" si="9"/>
        <v>43848</v>
      </c>
      <c r="B261" s="8">
        <v>43848</v>
      </c>
      <c r="C261" s="1">
        <v>17</v>
      </c>
      <c r="D261" t="s">
        <v>52</v>
      </c>
      <c r="F261" t="s">
        <v>463</v>
      </c>
      <c r="G261" t="s">
        <v>75</v>
      </c>
      <c r="I261" t="s">
        <v>479</v>
      </c>
      <c r="J261">
        <v>67</v>
      </c>
      <c r="K261" t="s">
        <v>89</v>
      </c>
      <c r="L261" t="s">
        <v>481</v>
      </c>
      <c r="M261" t="s">
        <v>425</v>
      </c>
      <c r="N261" t="s">
        <v>419</v>
      </c>
      <c r="O261" t="s">
        <v>419</v>
      </c>
      <c r="P261" t="s">
        <v>419</v>
      </c>
      <c r="Q261" t="s">
        <v>482</v>
      </c>
    </row>
    <row r="262" spans="1:28" x14ac:dyDescent="0.35">
      <c r="A262" s="11">
        <f t="shared" si="9"/>
        <v>43848</v>
      </c>
      <c r="B262" s="8">
        <v>43848</v>
      </c>
      <c r="C262" s="1">
        <v>17</v>
      </c>
      <c r="D262" t="s">
        <v>52</v>
      </c>
      <c r="F262" t="s">
        <v>463</v>
      </c>
      <c r="G262" t="s">
        <v>75</v>
      </c>
      <c r="I262" t="s">
        <v>479</v>
      </c>
      <c r="J262">
        <v>67</v>
      </c>
      <c r="K262" t="s">
        <v>90</v>
      </c>
      <c r="L262" t="s">
        <v>414</v>
      </c>
      <c r="M262" t="s">
        <v>448</v>
      </c>
      <c r="N262" t="s">
        <v>439</v>
      </c>
      <c r="O262" t="s">
        <v>439</v>
      </c>
      <c r="P262" t="s">
        <v>272</v>
      </c>
      <c r="Q262" t="s">
        <v>483</v>
      </c>
    </row>
    <row r="263" spans="1:28" x14ac:dyDescent="0.35">
      <c r="A263" s="11">
        <f t="shared" si="9"/>
        <v>43855</v>
      </c>
      <c r="B263" s="8">
        <v>43855</v>
      </c>
      <c r="C263" s="1">
        <v>17</v>
      </c>
      <c r="D263" t="s">
        <v>52</v>
      </c>
      <c r="F263" t="s">
        <v>463</v>
      </c>
      <c r="G263" t="s">
        <v>75</v>
      </c>
      <c r="I263" t="s">
        <v>479</v>
      </c>
      <c r="J263">
        <v>68</v>
      </c>
      <c r="K263" t="s">
        <v>88</v>
      </c>
      <c r="L263" t="s">
        <v>111</v>
      </c>
      <c r="M263" t="s">
        <v>532</v>
      </c>
      <c r="N263" t="s">
        <v>408</v>
      </c>
      <c r="O263" t="s">
        <v>408</v>
      </c>
      <c r="P263" t="s">
        <v>408</v>
      </c>
      <c r="Q263" t="s">
        <v>480</v>
      </c>
    </row>
    <row r="264" spans="1:28" x14ac:dyDescent="0.35">
      <c r="A264" s="11">
        <f t="shared" si="9"/>
        <v>43855</v>
      </c>
      <c r="B264" s="8">
        <v>43855</v>
      </c>
      <c r="C264" s="1">
        <v>17</v>
      </c>
      <c r="D264" t="s">
        <v>52</v>
      </c>
      <c r="F264" t="s">
        <v>463</v>
      </c>
      <c r="G264" t="s">
        <v>75</v>
      </c>
      <c r="I264" t="s">
        <v>479</v>
      </c>
      <c r="J264">
        <v>68</v>
      </c>
      <c r="K264" t="s">
        <v>89</v>
      </c>
      <c r="L264" t="s">
        <v>533</v>
      </c>
      <c r="M264" t="s">
        <v>408</v>
      </c>
      <c r="N264" t="s">
        <v>408</v>
      </c>
      <c r="O264" t="s">
        <v>408</v>
      </c>
      <c r="P264" t="s">
        <v>408</v>
      </c>
      <c r="Q264" t="s">
        <v>408</v>
      </c>
    </row>
    <row r="265" spans="1:28" x14ac:dyDescent="0.35">
      <c r="A265" s="11">
        <f t="shared" si="9"/>
        <v>43855</v>
      </c>
      <c r="B265" s="8">
        <v>43855</v>
      </c>
      <c r="C265" s="1">
        <v>17</v>
      </c>
      <c r="D265" t="s">
        <v>52</v>
      </c>
      <c r="F265" t="s">
        <v>463</v>
      </c>
      <c r="G265" t="s">
        <v>75</v>
      </c>
      <c r="I265" t="s">
        <v>479</v>
      </c>
      <c r="J265">
        <v>68</v>
      </c>
      <c r="K265" t="s">
        <v>90</v>
      </c>
      <c r="L265" t="s">
        <v>534</v>
      </c>
      <c r="M265" t="s">
        <v>427</v>
      </c>
      <c r="N265" t="s">
        <v>427</v>
      </c>
      <c r="O265" t="s">
        <v>427</v>
      </c>
      <c r="P265" t="s">
        <v>427</v>
      </c>
      <c r="Q265" t="s">
        <v>535</v>
      </c>
    </row>
    <row r="266" spans="1:28" x14ac:dyDescent="0.35">
      <c r="A266" s="11">
        <f t="shared" si="9"/>
        <v>43862</v>
      </c>
      <c r="B266" s="8">
        <v>43862</v>
      </c>
      <c r="C266" s="1">
        <v>17</v>
      </c>
      <c r="D266" t="s">
        <v>52</v>
      </c>
      <c r="F266" t="s">
        <v>463</v>
      </c>
      <c r="G266" t="s">
        <v>75</v>
      </c>
      <c r="I266" t="s">
        <v>479</v>
      </c>
      <c r="J266">
        <v>82</v>
      </c>
      <c r="K266" t="s">
        <v>88</v>
      </c>
      <c r="L266" t="s">
        <v>151</v>
      </c>
      <c r="M266" t="s">
        <v>408</v>
      </c>
      <c r="N266" t="s">
        <v>408</v>
      </c>
      <c r="O266" t="s">
        <v>408</v>
      </c>
      <c r="P266" t="s">
        <v>408</v>
      </c>
      <c r="Q266" t="s">
        <v>557</v>
      </c>
    </row>
    <row r="267" spans="1:28" x14ac:dyDescent="0.35">
      <c r="A267" s="11">
        <f t="shared" si="9"/>
        <v>43862</v>
      </c>
      <c r="B267" s="8">
        <v>43862</v>
      </c>
      <c r="C267" s="1">
        <v>17</v>
      </c>
      <c r="D267" t="s">
        <v>52</v>
      </c>
      <c r="F267" t="s">
        <v>463</v>
      </c>
      <c r="G267" t="s">
        <v>75</v>
      </c>
      <c r="I267" t="s">
        <v>479</v>
      </c>
      <c r="J267">
        <v>82</v>
      </c>
      <c r="K267" t="s">
        <v>89</v>
      </c>
      <c r="L267" t="s">
        <v>526</v>
      </c>
      <c r="M267" t="s">
        <v>408</v>
      </c>
      <c r="N267" t="s">
        <v>408</v>
      </c>
      <c r="O267" t="s">
        <v>408</v>
      </c>
      <c r="P267" t="s">
        <v>408</v>
      </c>
      <c r="Q267" t="s">
        <v>558</v>
      </c>
    </row>
    <row r="268" spans="1:28" x14ac:dyDescent="0.35">
      <c r="A268" s="11">
        <f t="shared" si="9"/>
        <v>43862</v>
      </c>
      <c r="B268" s="8">
        <v>43862</v>
      </c>
      <c r="C268" s="1">
        <v>17</v>
      </c>
      <c r="D268" t="s">
        <v>52</v>
      </c>
      <c r="F268" t="s">
        <v>463</v>
      </c>
      <c r="G268" t="s">
        <v>75</v>
      </c>
      <c r="I268" t="s">
        <v>479</v>
      </c>
      <c r="J268">
        <v>82</v>
      </c>
      <c r="K268" t="s">
        <v>90</v>
      </c>
      <c r="L268" t="s">
        <v>530</v>
      </c>
      <c r="M268" t="s">
        <v>428</v>
      </c>
      <c r="N268" t="s">
        <v>427</v>
      </c>
      <c r="O268" t="s">
        <v>556</v>
      </c>
      <c r="P268" t="s">
        <v>556</v>
      </c>
      <c r="Q268" t="s">
        <v>530</v>
      </c>
    </row>
    <row r="269" spans="1:28" x14ac:dyDescent="0.35">
      <c r="A269" s="11">
        <v>43869</v>
      </c>
      <c r="B269" s="11">
        <v>43869</v>
      </c>
      <c r="C269" s="1">
        <v>17</v>
      </c>
      <c r="D269" t="s">
        <v>52</v>
      </c>
      <c r="E269" s="16"/>
      <c r="F269" t="s">
        <v>463</v>
      </c>
      <c r="G269" t="s">
        <v>75</v>
      </c>
      <c r="H269" s="16"/>
      <c r="I269" t="s">
        <v>479</v>
      </c>
      <c r="J269">
        <v>200</v>
      </c>
      <c r="K269" t="s">
        <v>88</v>
      </c>
      <c r="L269" t="s">
        <v>615</v>
      </c>
      <c r="M269" t="s">
        <v>636</v>
      </c>
      <c r="N269" t="s">
        <v>408</v>
      </c>
      <c r="O269" t="s">
        <v>443</v>
      </c>
      <c r="P269" t="s">
        <v>408</v>
      </c>
      <c r="Q269" t="s">
        <v>408</v>
      </c>
      <c r="R269" s="16"/>
      <c r="S269" s="16"/>
      <c r="T269" s="16"/>
    </row>
    <row r="270" spans="1:28" x14ac:dyDescent="0.35">
      <c r="A270" s="11">
        <v>43869</v>
      </c>
      <c r="B270" s="11">
        <v>43869</v>
      </c>
      <c r="C270" s="1">
        <v>17</v>
      </c>
      <c r="D270" t="s">
        <v>52</v>
      </c>
      <c r="E270" s="16"/>
      <c r="F270" t="s">
        <v>463</v>
      </c>
      <c r="G270" t="s">
        <v>75</v>
      </c>
      <c r="H270" s="16"/>
      <c r="I270" t="s">
        <v>479</v>
      </c>
      <c r="J270">
        <v>200</v>
      </c>
      <c r="K270" t="s">
        <v>89</v>
      </c>
      <c r="L270" t="s">
        <v>411</v>
      </c>
      <c r="M270" t="s">
        <v>408</v>
      </c>
      <c r="N270" t="s">
        <v>408</v>
      </c>
      <c r="O270" t="s">
        <v>408</v>
      </c>
      <c r="P270" t="s">
        <v>471</v>
      </c>
      <c r="Q270" t="s">
        <v>490</v>
      </c>
      <c r="R270" s="16"/>
      <c r="S270" s="16"/>
      <c r="T270" s="16"/>
      <c r="U270" s="14"/>
      <c r="V270" s="14"/>
      <c r="W270" s="14"/>
      <c r="X270" s="14"/>
      <c r="Y270" s="14"/>
      <c r="Z270" s="14"/>
      <c r="AA270" s="14"/>
      <c r="AB270" s="14"/>
    </row>
    <row r="271" spans="1:28" x14ac:dyDescent="0.35">
      <c r="A271" s="11">
        <v>43869</v>
      </c>
      <c r="B271" s="11">
        <v>43869</v>
      </c>
      <c r="C271" s="1">
        <v>17</v>
      </c>
      <c r="D271" t="s">
        <v>52</v>
      </c>
      <c r="E271" s="16"/>
      <c r="F271" t="s">
        <v>463</v>
      </c>
      <c r="G271" t="s">
        <v>75</v>
      </c>
      <c r="H271" s="16"/>
      <c r="I271" t="s">
        <v>479</v>
      </c>
      <c r="J271">
        <v>200</v>
      </c>
      <c r="K271" t="s">
        <v>90</v>
      </c>
      <c r="L271" t="s">
        <v>546</v>
      </c>
      <c r="M271" t="s">
        <v>637</v>
      </c>
      <c r="N271" t="s">
        <v>272</v>
      </c>
      <c r="O271" t="s">
        <v>272</v>
      </c>
      <c r="P271" t="s">
        <v>622</v>
      </c>
      <c r="Q271" t="s">
        <v>510</v>
      </c>
      <c r="R271" s="16"/>
      <c r="S271" s="16"/>
      <c r="T271" s="16"/>
      <c r="U271" s="14"/>
      <c r="V271" s="14"/>
      <c r="W271" s="14"/>
      <c r="X271" s="14"/>
      <c r="Y271" s="14"/>
      <c r="Z271" s="14"/>
      <c r="AA271" s="14"/>
      <c r="AB271" s="14"/>
    </row>
    <row r="272" spans="1:28" x14ac:dyDescent="0.35">
      <c r="A272" s="11">
        <v>43885</v>
      </c>
      <c r="B272" s="11">
        <v>43885</v>
      </c>
      <c r="C272" s="1">
        <v>17</v>
      </c>
      <c r="D272" t="s">
        <v>52</v>
      </c>
      <c r="F272" t="s">
        <v>463</v>
      </c>
      <c r="G272" t="s">
        <v>75</v>
      </c>
      <c r="I272" t="s">
        <v>479</v>
      </c>
      <c r="J272">
        <v>150</v>
      </c>
      <c r="K272" s="14" t="s">
        <v>88</v>
      </c>
      <c r="L272" s="14" t="s">
        <v>122</v>
      </c>
      <c r="M272" s="14" t="s">
        <v>154</v>
      </c>
      <c r="N272" s="14" t="s">
        <v>137</v>
      </c>
      <c r="O272" s="14" t="s">
        <v>122</v>
      </c>
      <c r="P272" s="14" t="s">
        <v>151</v>
      </c>
      <c r="Q272" s="14" t="s">
        <v>583</v>
      </c>
      <c r="R272" s="14"/>
    </row>
    <row r="273" spans="1:28" x14ac:dyDescent="0.35">
      <c r="A273" s="11">
        <v>43885</v>
      </c>
      <c r="B273" s="11">
        <v>43885</v>
      </c>
      <c r="C273" s="1">
        <v>17</v>
      </c>
      <c r="D273" t="s">
        <v>52</v>
      </c>
      <c r="F273" t="s">
        <v>463</v>
      </c>
      <c r="G273" t="s">
        <v>75</v>
      </c>
      <c r="I273" t="s">
        <v>479</v>
      </c>
      <c r="J273">
        <v>150</v>
      </c>
      <c r="K273" s="14" t="s">
        <v>89</v>
      </c>
      <c r="L273" s="14" t="s">
        <v>144</v>
      </c>
      <c r="M273" s="14" t="s">
        <v>607</v>
      </c>
      <c r="N273" s="14" t="s">
        <v>588</v>
      </c>
      <c r="O273" s="14" t="s">
        <v>121</v>
      </c>
      <c r="P273" s="14" t="s">
        <v>606</v>
      </c>
      <c r="Q273" s="14" t="s">
        <v>607</v>
      </c>
      <c r="R273" s="14"/>
    </row>
    <row r="274" spans="1:28" x14ac:dyDescent="0.35">
      <c r="A274" s="11">
        <v>43885</v>
      </c>
      <c r="B274" s="11">
        <v>43885</v>
      </c>
      <c r="C274" s="1">
        <v>17</v>
      </c>
      <c r="D274" t="s">
        <v>52</v>
      </c>
      <c r="F274" t="s">
        <v>463</v>
      </c>
      <c r="G274" t="s">
        <v>75</v>
      </c>
      <c r="I274" t="s">
        <v>479</v>
      </c>
      <c r="J274">
        <v>150</v>
      </c>
      <c r="K274" s="14" t="s">
        <v>90</v>
      </c>
      <c r="L274" s="14" t="s">
        <v>594</v>
      </c>
      <c r="M274" s="14" t="s">
        <v>93</v>
      </c>
      <c r="N274" s="14" t="s">
        <v>602</v>
      </c>
      <c r="O274" s="14" t="s">
        <v>601</v>
      </c>
      <c r="P274" s="14" t="s">
        <v>93</v>
      </c>
      <c r="Q274" s="14" t="s">
        <v>598</v>
      </c>
      <c r="R274" s="14"/>
    </row>
    <row r="275" spans="1:28" x14ac:dyDescent="0.35">
      <c r="A275" s="11">
        <v>43876</v>
      </c>
      <c r="B275" s="11">
        <v>43876</v>
      </c>
      <c r="C275" s="1">
        <v>17</v>
      </c>
      <c r="D275" t="s">
        <v>52</v>
      </c>
      <c r="F275" t="s">
        <v>463</v>
      </c>
      <c r="G275" t="s">
        <v>11</v>
      </c>
      <c r="I275" t="s">
        <v>479</v>
      </c>
      <c r="J275">
        <v>158</v>
      </c>
      <c r="K275" t="s">
        <v>88</v>
      </c>
      <c r="L275" t="s">
        <v>694</v>
      </c>
      <c r="M275" t="s">
        <v>682</v>
      </c>
      <c r="N275" t="s">
        <v>695</v>
      </c>
      <c r="O275" t="s">
        <v>682</v>
      </c>
      <c r="P275" t="s">
        <v>696</v>
      </c>
      <c r="Q275" t="s">
        <v>435</v>
      </c>
      <c r="U275" s="14"/>
      <c r="V275" s="14"/>
      <c r="W275" s="14"/>
      <c r="X275" s="14"/>
      <c r="Y275" s="14"/>
      <c r="Z275" s="14"/>
      <c r="AA275" s="14"/>
      <c r="AB275" s="14"/>
    </row>
    <row r="276" spans="1:28" x14ac:dyDescent="0.35">
      <c r="A276" s="11">
        <v>43876</v>
      </c>
      <c r="B276" s="11">
        <v>43876</v>
      </c>
      <c r="C276" s="1">
        <v>17</v>
      </c>
      <c r="D276" t="s">
        <v>52</v>
      </c>
      <c r="F276" t="s">
        <v>463</v>
      </c>
      <c r="G276" t="s">
        <v>11</v>
      </c>
      <c r="I276" t="s">
        <v>479</v>
      </c>
      <c r="J276">
        <v>158</v>
      </c>
      <c r="K276" t="s">
        <v>89</v>
      </c>
      <c r="L276" t="s">
        <v>697</v>
      </c>
      <c r="M276" t="s">
        <v>698</v>
      </c>
      <c r="N276" t="s">
        <v>699</v>
      </c>
      <c r="O276" t="s">
        <v>700</v>
      </c>
      <c r="P276" t="s">
        <v>701</v>
      </c>
      <c r="Q276" t="s">
        <v>702</v>
      </c>
      <c r="U276" s="14"/>
      <c r="V276" s="14"/>
      <c r="W276" s="14"/>
      <c r="X276" s="14"/>
      <c r="Y276" s="14"/>
      <c r="Z276" s="14"/>
      <c r="AA276" s="14"/>
      <c r="AB276" s="14"/>
    </row>
    <row r="277" spans="1:28" x14ac:dyDescent="0.35">
      <c r="A277" s="11">
        <v>43876</v>
      </c>
      <c r="B277" s="11">
        <v>43876</v>
      </c>
      <c r="C277" s="1">
        <v>17</v>
      </c>
      <c r="D277" t="s">
        <v>52</v>
      </c>
      <c r="F277" t="s">
        <v>463</v>
      </c>
      <c r="G277" t="s">
        <v>11</v>
      </c>
      <c r="I277" t="s">
        <v>479</v>
      </c>
      <c r="J277">
        <v>158</v>
      </c>
      <c r="K277" t="s">
        <v>90</v>
      </c>
      <c r="L277" t="s">
        <v>546</v>
      </c>
      <c r="M277" t="s">
        <v>687</v>
      </c>
      <c r="N277" t="s">
        <v>703</v>
      </c>
      <c r="O277" t="s">
        <v>687</v>
      </c>
      <c r="P277" t="s">
        <v>664</v>
      </c>
      <c r="Q277" t="s">
        <v>433</v>
      </c>
    </row>
    <row r="278" spans="1:28" x14ac:dyDescent="0.35">
      <c r="A278" s="11">
        <v>43892</v>
      </c>
      <c r="B278" s="11">
        <v>43892</v>
      </c>
      <c r="C278" s="1">
        <v>17</v>
      </c>
      <c r="D278" t="s">
        <v>52</v>
      </c>
      <c r="F278" t="s">
        <v>463</v>
      </c>
      <c r="G278" t="s">
        <v>11</v>
      </c>
      <c r="I278" s="14" t="s">
        <v>479</v>
      </c>
      <c r="J278" s="14">
        <v>101</v>
      </c>
      <c r="K278" s="14" t="s">
        <v>88</v>
      </c>
      <c r="L278" s="14" t="s">
        <v>319</v>
      </c>
      <c r="M278" s="14" t="s">
        <v>319</v>
      </c>
      <c r="N278" s="14" t="s">
        <v>151</v>
      </c>
      <c r="O278" s="14" t="s">
        <v>122</v>
      </c>
      <c r="P278" s="14" t="s">
        <v>151</v>
      </c>
      <c r="Q278" s="14" t="s">
        <v>583</v>
      </c>
      <c r="R278" s="14"/>
    </row>
    <row r="279" spans="1:28" x14ac:dyDescent="0.35">
      <c r="A279" s="11">
        <v>43892</v>
      </c>
      <c r="B279" s="11">
        <v>43892</v>
      </c>
      <c r="C279" s="1">
        <v>17</v>
      </c>
      <c r="D279" t="s">
        <v>52</v>
      </c>
      <c r="F279" t="s">
        <v>463</v>
      </c>
      <c r="G279" t="s">
        <v>11</v>
      </c>
      <c r="I279" s="14" t="s">
        <v>479</v>
      </c>
      <c r="J279" s="14">
        <v>101</v>
      </c>
      <c r="K279" s="14" t="s">
        <v>89</v>
      </c>
      <c r="L279" s="14" t="s">
        <v>144</v>
      </c>
      <c r="M279" s="14" t="s">
        <v>607</v>
      </c>
      <c r="N279" s="14" t="s">
        <v>609</v>
      </c>
      <c r="O279" s="14" t="s">
        <v>121</v>
      </c>
      <c r="P279" s="14" t="s">
        <v>607</v>
      </c>
      <c r="Q279" s="14" t="s">
        <v>607</v>
      </c>
      <c r="R279" s="14"/>
    </row>
    <row r="280" spans="1:28" x14ac:dyDescent="0.35">
      <c r="A280" s="11">
        <v>43892</v>
      </c>
      <c r="B280" s="11">
        <v>43892</v>
      </c>
      <c r="C280" s="1">
        <v>17</v>
      </c>
      <c r="D280" t="s">
        <v>52</v>
      </c>
      <c r="F280" t="s">
        <v>463</v>
      </c>
      <c r="G280" t="s">
        <v>11</v>
      </c>
      <c r="I280" s="14" t="s">
        <v>479</v>
      </c>
      <c r="J280" s="14">
        <v>101</v>
      </c>
      <c r="K280" s="14" t="s">
        <v>90</v>
      </c>
      <c r="L280" s="14" t="s">
        <v>594</v>
      </c>
      <c r="M280" s="14" t="s">
        <v>599</v>
      </c>
      <c r="N280" s="14" t="s">
        <v>599</v>
      </c>
      <c r="O280" s="14" t="s">
        <v>601</v>
      </c>
      <c r="P280" s="14" t="s">
        <v>599</v>
      </c>
      <c r="Q280" s="14" t="s">
        <v>598</v>
      </c>
      <c r="R280" s="14"/>
    </row>
    <row r="281" spans="1:28" x14ac:dyDescent="0.35">
      <c r="A281" s="11">
        <f t="shared" ref="A281:A289" si="10">B281</f>
        <v>43841</v>
      </c>
      <c r="B281" s="8">
        <v>43841</v>
      </c>
      <c r="C281" s="1">
        <v>18</v>
      </c>
      <c r="D281" t="s">
        <v>52</v>
      </c>
      <c r="F281" t="s">
        <v>458</v>
      </c>
      <c r="G281" t="s">
        <v>75</v>
      </c>
      <c r="I281" t="s">
        <v>6</v>
      </c>
      <c r="J281">
        <v>98</v>
      </c>
      <c r="K281" t="s">
        <v>88</v>
      </c>
      <c r="L281" t="s">
        <v>459</v>
      </c>
      <c r="M281" t="s">
        <v>408</v>
      </c>
      <c r="N281" t="s">
        <v>460</v>
      </c>
      <c r="O281" t="s">
        <v>408</v>
      </c>
      <c r="P281" t="s">
        <v>422</v>
      </c>
      <c r="Q281" t="s">
        <v>461</v>
      </c>
      <c r="R281" t="s">
        <v>410</v>
      </c>
      <c r="S281" t="s">
        <v>408</v>
      </c>
      <c r="T281" t="s">
        <v>408</v>
      </c>
    </row>
    <row r="282" spans="1:28" x14ac:dyDescent="0.35">
      <c r="A282" s="11">
        <f t="shared" si="10"/>
        <v>43841</v>
      </c>
      <c r="B282" s="8">
        <f>B281</f>
        <v>43841</v>
      </c>
      <c r="C282" s="1">
        <v>18</v>
      </c>
      <c r="D282" t="s">
        <v>52</v>
      </c>
      <c r="F282" t="s">
        <v>458</v>
      </c>
      <c r="G282" t="s">
        <v>75</v>
      </c>
      <c r="I282" t="s">
        <v>6</v>
      </c>
      <c r="J282">
        <v>98</v>
      </c>
      <c r="K282" t="s">
        <v>89</v>
      </c>
      <c r="L282" t="s">
        <v>411</v>
      </c>
      <c r="M282" t="s">
        <v>136</v>
      </c>
      <c r="N282" t="s">
        <v>462</v>
      </c>
      <c r="O282" t="s">
        <v>136</v>
      </c>
      <c r="P282" t="s">
        <v>136</v>
      </c>
      <c r="Q282" t="s">
        <v>437</v>
      </c>
      <c r="R282" t="s">
        <v>413</v>
      </c>
      <c r="S282" t="s">
        <v>136</v>
      </c>
      <c r="T282" t="s">
        <v>136</v>
      </c>
    </row>
    <row r="283" spans="1:28" x14ac:dyDescent="0.35">
      <c r="A283" s="11">
        <f t="shared" si="10"/>
        <v>43841</v>
      </c>
      <c r="B283" s="8">
        <f>B282</f>
        <v>43841</v>
      </c>
      <c r="C283" s="1">
        <v>18</v>
      </c>
      <c r="D283" t="s">
        <v>52</v>
      </c>
      <c r="F283" t="s">
        <v>458</v>
      </c>
      <c r="G283" t="s">
        <v>75</v>
      </c>
      <c r="I283" t="s">
        <v>6</v>
      </c>
      <c r="J283">
        <v>98</v>
      </c>
      <c r="K283" t="s">
        <v>90</v>
      </c>
      <c r="L283" t="s">
        <v>414</v>
      </c>
      <c r="M283" t="s">
        <v>92</v>
      </c>
      <c r="N283" t="s">
        <v>448</v>
      </c>
      <c r="O283" t="s">
        <v>272</v>
      </c>
      <c r="P283" t="s">
        <v>416</v>
      </c>
      <c r="Q283" t="s">
        <v>439</v>
      </c>
      <c r="R283" t="s">
        <v>417</v>
      </c>
      <c r="S283" t="s">
        <v>272</v>
      </c>
      <c r="T283" t="s">
        <v>416</v>
      </c>
    </row>
    <row r="284" spans="1:28" x14ac:dyDescent="0.35">
      <c r="A284" s="11">
        <f t="shared" si="10"/>
        <v>43855</v>
      </c>
      <c r="B284" s="8">
        <v>43855</v>
      </c>
      <c r="C284" s="1">
        <v>18</v>
      </c>
      <c r="D284" t="s">
        <v>52</v>
      </c>
      <c r="F284" t="s">
        <v>458</v>
      </c>
      <c r="G284" t="s">
        <v>75</v>
      </c>
      <c r="I284" t="s">
        <v>479</v>
      </c>
      <c r="J284">
        <v>83</v>
      </c>
      <c r="K284" t="s">
        <v>88</v>
      </c>
      <c r="L284" t="s">
        <v>111</v>
      </c>
      <c r="M284" t="s">
        <v>419</v>
      </c>
      <c r="N284" t="s">
        <v>419</v>
      </c>
      <c r="O284" t="s">
        <v>419</v>
      </c>
      <c r="P284" t="s">
        <v>419</v>
      </c>
      <c r="Q284" t="s">
        <v>480</v>
      </c>
    </row>
    <row r="285" spans="1:28" x14ac:dyDescent="0.35">
      <c r="A285" s="11">
        <f t="shared" si="10"/>
        <v>43855</v>
      </c>
      <c r="B285" s="8">
        <v>43855</v>
      </c>
      <c r="C285" s="1">
        <v>18</v>
      </c>
      <c r="D285" t="s">
        <v>52</v>
      </c>
      <c r="F285" t="s">
        <v>458</v>
      </c>
      <c r="G285" t="s">
        <v>75</v>
      </c>
      <c r="I285" t="s">
        <v>479</v>
      </c>
      <c r="J285">
        <v>83</v>
      </c>
      <c r="K285" t="s">
        <v>89</v>
      </c>
      <c r="L285" t="s">
        <v>411</v>
      </c>
      <c r="M285" t="s">
        <v>419</v>
      </c>
      <c r="N285" t="s">
        <v>419</v>
      </c>
      <c r="O285" t="s">
        <v>419</v>
      </c>
      <c r="P285" t="s">
        <v>419</v>
      </c>
      <c r="Q285" t="s">
        <v>540</v>
      </c>
    </row>
    <row r="286" spans="1:28" x14ac:dyDescent="0.35">
      <c r="A286" s="11">
        <f t="shared" si="10"/>
        <v>43855</v>
      </c>
      <c r="B286" s="8">
        <v>43855</v>
      </c>
      <c r="C286" s="1">
        <v>18</v>
      </c>
      <c r="D286" t="s">
        <v>52</v>
      </c>
      <c r="F286" t="s">
        <v>458</v>
      </c>
      <c r="G286" t="s">
        <v>75</v>
      </c>
      <c r="I286" t="s">
        <v>479</v>
      </c>
      <c r="J286">
        <v>83</v>
      </c>
      <c r="K286" t="s">
        <v>90</v>
      </c>
      <c r="L286" t="s">
        <v>448</v>
      </c>
      <c r="M286" t="s">
        <v>272</v>
      </c>
      <c r="N286" t="s">
        <v>439</v>
      </c>
      <c r="O286" t="s">
        <v>272</v>
      </c>
      <c r="P286" t="s">
        <v>439</v>
      </c>
      <c r="Q286" t="s">
        <v>541</v>
      </c>
    </row>
    <row r="287" spans="1:28" x14ac:dyDescent="0.35">
      <c r="A287" s="11">
        <f t="shared" si="10"/>
        <v>43862</v>
      </c>
      <c r="B287" s="8">
        <v>43862</v>
      </c>
      <c r="C287" s="1">
        <v>18</v>
      </c>
      <c r="D287" t="s">
        <v>52</v>
      </c>
      <c r="F287" t="s">
        <v>458</v>
      </c>
      <c r="G287" t="s">
        <v>11</v>
      </c>
      <c r="I287" t="s">
        <v>479</v>
      </c>
      <c r="J287">
        <v>76</v>
      </c>
      <c r="K287" t="s">
        <v>88</v>
      </c>
      <c r="L287" t="s">
        <v>319</v>
      </c>
      <c r="M287" t="s">
        <v>408</v>
      </c>
      <c r="N287" t="s">
        <v>408</v>
      </c>
      <c r="O287" t="s">
        <v>567</v>
      </c>
      <c r="P287" t="s">
        <v>408</v>
      </c>
      <c r="Q287" t="s">
        <v>435</v>
      </c>
    </row>
    <row r="288" spans="1:28" x14ac:dyDescent="0.35">
      <c r="A288" s="11">
        <f t="shared" si="10"/>
        <v>43862</v>
      </c>
      <c r="B288" s="8">
        <v>43862</v>
      </c>
      <c r="C288" s="1">
        <v>18</v>
      </c>
      <c r="D288" t="s">
        <v>52</v>
      </c>
      <c r="F288" t="s">
        <v>458</v>
      </c>
      <c r="G288" t="s">
        <v>11</v>
      </c>
      <c r="I288" t="s">
        <v>479</v>
      </c>
      <c r="J288">
        <v>76</v>
      </c>
      <c r="K288" t="s">
        <v>89</v>
      </c>
      <c r="L288" t="s">
        <v>526</v>
      </c>
      <c r="M288" t="s">
        <v>408</v>
      </c>
      <c r="N288" t="s">
        <v>408</v>
      </c>
      <c r="O288" t="s">
        <v>408</v>
      </c>
      <c r="P288" t="s">
        <v>408</v>
      </c>
      <c r="Q288" t="s">
        <v>558</v>
      </c>
    </row>
    <row r="289" spans="1:20" x14ac:dyDescent="0.35">
      <c r="A289" s="11">
        <f t="shared" si="10"/>
        <v>43862</v>
      </c>
      <c r="B289" s="8">
        <v>43862</v>
      </c>
      <c r="C289" s="1">
        <v>18</v>
      </c>
      <c r="D289" t="s">
        <v>52</v>
      </c>
      <c r="F289" t="s">
        <v>458</v>
      </c>
      <c r="G289" t="s">
        <v>11</v>
      </c>
      <c r="I289" t="s">
        <v>479</v>
      </c>
      <c r="J289">
        <v>76</v>
      </c>
      <c r="K289" t="s">
        <v>90</v>
      </c>
      <c r="L289" t="s">
        <v>546</v>
      </c>
      <c r="M289" t="s">
        <v>428</v>
      </c>
      <c r="N289" t="s">
        <v>428</v>
      </c>
      <c r="O289" t="s">
        <v>428</v>
      </c>
      <c r="P289" t="s">
        <v>428</v>
      </c>
      <c r="Q289" t="s">
        <v>530</v>
      </c>
    </row>
    <row r="290" spans="1:20" x14ac:dyDescent="0.35">
      <c r="A290" s="11">
        <v>43869</v>
      </c>
      <c r="B290" s="11">
        <v>43869</v>
      </c>
      <c r="C290" s="1">
        <v>18</v>
      </c>
      <c r="D290" t="s">
        <v>52</v>
      </c>
      <c r="E290" s="14"/>
      <c r="F290" t="s">
        <v>458</v>
      </c>
      <c r="G290" t="s">
        <v>75</v>
      </c>
      <c r="H290" s="14"/>
      <c r="I290" t="s">
        <v>479</v>
      </c>
      <c r="J290">
        <v>118</v>
      </c>
      <c r="K290" t="s">
        <v>88</v>
      </c>
      <c r="L290" t="s">
        <v>629</v>
      </c>
      <c r="M290" t="s">
        <v>408</v>
      </c>
      <c r="N290" t="s">
        <v>137</v>
      </c>
      <c r="O290" t="s">
        <v>154</v>
      </c>
      <c r="P290" t="s">
        <v>621</v>
      </c>
      <c r="Q290" t="s">
        <v>630</v>
      </c>
      <c r="R290" s="14"/>
      <c r="S290" s="14"/>
      <c r="T290" s="14"/>
    </row>
    <row r="291" spans="1:20" x14ac:dyDescent="0.35">
      <c r="A291" s="11">
        <v>43869</v>
      </c>
      <c r="B291" s="11">
        <v>43869</v>
      </c>
      <c r="C291" s="1">
        <v>18</v>
      </c>
      <c r="D291" t="s">
        <v>52</v>
      </c>
      <c r="E291" s="14"/>
      <c r="F291" t="s">
        <v>458</v>
      </c>
      <c r="G291" t="s">
        <v>75</v>
      </c>
      <c r="H291" s="14"/>
      <c r="I291" t="s">
        <v>479</v>
      </c>
      <c r="J291">
        <v>118</v>
      </c>
      <c r="K291" t="s">
        <v>89</v>
      </c>
      <c r="L291" t="s">
        <v>631</v>
      </c>
      <c r="M291" t="s">
        <v>408</v>
      </c>
      <c r="N291" t="s">
        <v>632</v>
      </c>
      <c r="O291" t="s">
        <v>622</v>
      </c>
      <c r="P291" t="s">
        <v>622</v>
      </c>
      <c r="Q291" t="s">
        <v>490</v>
      </c>
      <c r="R291" s="14"/>
      <c r="S291" s="14"/>
      <c r="T291" s="14"/>
    </row>
    <row r="292" spans="1:20" x14ac:dyDescent="0.35">
      <c r="A292" s="11">
        <v>43869</v>
      </c>
      <c r="B292" s="11">
        <v>43869</v>
      </c>
      <c r="C292" s="1">
        <v>18</v>
      </c>
      <c r="D292" t="s">
        <v>52</v>
      </c>
      <c r="E292" s="14"/>
      <c r="F292" t="s">
        <v>458</v>
      </c>
      <c r="G292" t="s">
        <v>75</v>
      </c>
      <c r="H292" s="14"/>
      <c r="I292" t="s">
        <v>479</v>
      </c>
      <c r="J292">
        <v>118</v>
      </c>
      <c r="K292" t="s">
        <v>90</v>
      </c>
      <c r="L292" t="s">
        <v>633</v>
      </c>
      <c r="M292" t="s">
        <v>427</v>
      </c>
      <c r="N292" t="s">
        <v>634</v>
      </c>
      <c r="O292" t="s">
        <v>93</v>
      </c>
      <c r="P292" t="s">
        <v>635</v>
      </c>
      <c r="Q292" t="s">
        <v>510</v>
      </c>
      <c r="R292" s="14"/>
      <c r="S292" s="14"/>
      <c r="T292" s="14"/>
    </row>
    <row r="293" spans="1:20" x14ac:dyDescent="0.35">
      <c r="A293" s="11">
        <v>43885</v>
      </c>
      <c r="B293" s="11">
        <v>43885</v>
      </c>
      <c r="C293" s="1">
        <v>18</v>
      </c>
      <c r="D293" t="s">
        <v>52</v>
      </c>
      <c r="F293" t="s">
        <v>458</v>
      </c>
      <c r="G293" t="s">
        <v>75</v>
      </c>
      <c r="I293" t="s">
        <v>479</v>
      </c>
      <c r="J293">
        <v>146</v>
      </c>
      <c r="K293" s="14" t="s">
        <v>88</v>
      </c>
      <c r="L293" s="14" t="s">
        <v>122</v>
      </c>
      <c r="M293" s="14" t="s">
        <v>319</v>
      </c>
      <c r="N293" s="14" t="s">
        <v>151</v>
      </c>
      <c r="O293" s="14" t="s">
        <v>122</v>
      </c>
      <c r="P293" s="14" t="s">
        <v>151</v>
      </c>
      <c r="Q293" s="14" t="s">
        <v>583</v>
      </c>
      <c r="R293" s="14"/>
    </row>
    <row r="294" spans="1:20" x14ac:dyDescent="0.35">
      <c r="A294" s="11">
        <v>43885</v>
      </c>
      <c r="B294" s="11">
        <v>43885</v>
      </c>
      <c r="C294" s="1">
        <v>18</v>
      </c>
      <c r="D294" t="s">
        <v>52</v>
      </c>
      <c r="F294" t="s">
        <v>458</v>
      </c>
      <c r="G294" t="s">
        <v>75</v>
      </c>
      <c r="I294" t="s">
        <v>479</v>
      </c>
      <c r="J294">
        <v>146</v>
      </c>
      <c r="K294" s="14" t="s">
        <v>89</v>
      </c>
      <c r="L294" s="14" t="s">
        <v>144</v>
      </c>
      <c r="M294" s="14" t="s">
        <v>607</v>
      </c>
      <c r="N294" s="14" t="s">
        <v>609</v>
      </c>
      <c r="O294" s="14" t="s">
        <v>121</v>
      </c>
      <c r="P294" s="14" t="s">
        <v>607</v>
      </c>
      <c r="Q294" s="14" t="s">
        <v>607</v>
      </c>
      <c r="R294" s="14"/>
    </row>
    <row r="295" spans="1:20" x14ac:dyDescent="0.35">
      <c r="A295" s="11">
        <v>43885</v>
      </c>
      <c r="B295" s="11">
        <v>43885</v>
      </c>
      <c r="C295" s="1">
        <v>18</v>
      </c>
      <c r="D295" t="s">
        <v>52</v>
      </c>
      <c r="F295" t="s">
        <v>458</v>
      </c>
      <c r="G295" t="s">
        <v>75</v>
      </c>
      <c r="I295" t="s">
        <v>479</v>
      </c>
      <c r="J295">
        <v>146</v>
      </c>
      <c r="K295" s="14" t="s">
        <v>90</v>
      </c>
      <c r="L295" s="14" t="s">
        <v>594</v>
      </c>
      <c r="M295" s="14" t="s">
        <v>93</v>
      </c>
      <c r="N295" s="14" t="s">
        <v>93</v>
      </c>
      <c r="O295" s="14" t="s">
        <v>601</v>
      </c>
      <c r="P295" s="14" t="s">
        <v>93</v>
      </c>
      <c r="Q295" s="14" t="s">
        <v>598</v>
      </c>
      <c r="R295" s="14"/>
    </row>
    <row r="296" spans="1:20" x14ac:dyDescent="0.35">
      <c r="A296" s="11">
        <v>43876</v>
      </c>
      <c r="B296" s="11">
        <v>43876</v>
      </c>
      <c r="C296" s="1">
        <v>18</v>
      </c>
      <c r="D296" t="s">
        <v>52</v>
      </c>
      <c r="F296" t="s">
        <v>458</v>
      </c>
      <c r="G296" t="s">
        <v>11</v>
      </c>
      <c r="I296" t="s">
        <v>479</v>
      </c>
      <c r="J296">
        <v>108</v>
      </c>
      <c r="K296" t="s">
        <v>88</v>
      </c>
      <c r="L296" t="s">
        <v>682</v>
      </c>
      <c r="M296" t="s">
        <v>435</v>
      </c>
      <c r="N296" t="s">
        <v>712</v>
      </c>
      <c r="O296" t="s">
        <v>563</v>
      </c>
      <c r="P296" t="s">
        <v>408</v>
      </c>
      <c r="Q296" t="s">
        <v>476</v>
      </c>
    </row>
    <row r="297" spans="1:20" x14ac:dyDescent="0.35">
      <c r="A297" s="11">
        <v>43876</v>
      </c>
      <c r="B297" s="11">
        <v>43876</v>
      </c>
      <c r="C297" s="1">
        <v>18</v>
      </c>
      <c r="D297" t="s">
        <v>52</v>
      </c>
      <c r="F297" t="s">
        <v>458</v>
      </c>
      <c r="G297" t="s">
        <v>11</v>
      </c>
      <c r="I297" t="s">
        <v>479</v>
      </c>
      <c r="J297">
        <v>108</v>
      </c>
      <c r="K297" t="s">
        <v>89</v>
      </c>
      <c r="L297" t="s">
        <v>713</v>
      </c>
      <c r="M297" t="s">
        <v>429</v>
      </c>
      <c r="N297" t="s">
        <v>699</v>
      </c>
      <c r="O297" t="s">
        <v>429</v>
      </c>
      <c r="P297" t="s">
        <v>709</v>
      </c>
      <c r="Q297" t="s">
        <v>714</v>
      </c>
    </row>
    <row r="298" spans="1:20" x14ac:dyDescent="0.35">
      <c r="A298" s="11">
        <v>43876</v>
      </c>
      <c r="B298" s="11">
        <v>43876</v>
      </c>
      <c r="C298" s="1">
        <v>18</v>
      </c>
      <c r="D298" t="s">
        <v>52</v>
      </c>
      <c r="F298" t="s">
        <v>458</v>
      </c>
      <c r="G298" t="s">
        <v>11</v>
      </c>
      <c r="I298" t="s">
        <v>479</v>
      </c>
      <c r="J298">
        <v>108</v>
      </c>
      <c r="K298" t="s">
        <v>90</v>
      </c>
      <c r="L298" t="s">
        <v>546</v>
      </c>
      <c r="M298" t="s">
        <v>715</v>
      </c>
      <c r="N298" t="s">
        <v>681</v>
      </c>
      <c r="O298" t="s">
        <v>433</v>
      </c>
      <c r="P298" t="s">
        <v>433</v>
      </c>
      <c r="Q298" t="s">
        <v>716</v>
      </c>
    </row>
    <row r="299" spans="1:20" x14ac:dyDescent="0.35">
      <c r="A299" s="11">
        <v>43892</v>
      </c>
      <c r="B299" s="11">
        <v>43892</v>
      </c>
      <c r="C299" s="1">
        <v>18</v>
      </c>
      <c r="D299" t="s">
        <v>52</v>
      </c>
      <c r="F299" t="s">
        <v>458</v>
      </c>
      <c r="G299" t="s">
        <v>11</v>
      </c>
      <c r="I299" s="14" t="s">
        <v>479</v>
      </c>
      <c r="J299" s="14">
        <v>136</v>
      </c>
      <c r="K299" s="14" t="s">
        <v>88</v>
      </c>
      <c r="L299" s="14" t="s">
        <v>575</v>
      </c>
      <c r="M299" s="14" t="s">
        <v>575</v>
      </c>
      <c r="N299" s="14" t="s">
        <v>576</v>
      </c>
      <c r="O299" s="14" t="s">
        <v>575</v>
      </c>
      <c r="P299" s="14" t="s">
        <v>151</v>
      </c>
      <c r="Q299" s="14" t="s">
        <v>584</v>
      </c>
      <c r="R299" s="14"/>
    </row>
    <row r="300" spans="1:20" x14ac:dyDescent="0.35">
      <c r="A300" s="11">
        <v>43892</v>
      </c>
      <c r="B300" s="11">
        <v>43892</v>
      </c>
      <c r="C300" s="1">
        <v>18</v>
      </c>
      <c r="D300" t="s">
        <v>52</v>
      </c>
      <c r="F300" t="s">
        <v>458</v>
      </c>
      <c r="G300" t="s">
        <v>11</v>
      </c>
      <c r="I300" s="14" t="s">
        <v>479</v>
      </c>
      <c r="J300" s="14">
        <v>136</v>
      </c>
      <c r="K300" s="14" t="s">
        <v>89</v>
      </c>
      <c r="L300" s="14" t="s">
        <v>144</v>
      </c>
      <c r="M300" s="14" t="s">
        <v>121</v>
      </c>
      <c r="N300" s="14" t="s">
        <v>586</v>
      </c>
      <c r="O300" s="14" t="s">
        <v>121</v>
      </c>
      <c r="P300" s="14" t="s">
        <v>607</v>
      </c>
      <c r="Q300" s="14" t="s">
        <v>591</v>
      </c>
      <c r="R300" s="14"/>
    </row>
    <row r="301" spans="1:20" x14ac:dyDescent="0.35">
      <c r="A301" s="11">
        <v>43892</v>
      </c>
      <c r="B301" s="11">
        <v>43892</v>
      </c>
      <c r="C301" s="1">
        <v>18</v>
      </c>
      <c r="D301" t="s">
        <v>52</v>
      </c>
      <c r="F301" t="s">
        <v>458</v>
      </c>
      <c r="G301" t="s">
        <v>11</v>
      </c>
      <c r="I301" s="14" t="s">
        <v>479</v>
      </c>
      <c r="J301" s="14">
        <v>136</v>
      </c>
      <c r="K301" s="14" t="s">
        <v>90</v>
      </c>
      <c r="L301" s="14" t="s">
        <v>594</v>
      </c>
      <c r="M301" s="14" t="s">
        <v>603</v>
      </c>
      <c r="N301" s="14" t="s">
        <v>602</v>
      </c>
      <c r="O301" s="14" t="s">
        <v>601</v>
      </c>
      <c r="P301" s="14" t="s">
        <v>599</v>
      </c>
      <c r="Q301" s="14" t="s">
        <v>596</v>
      </c>
      <c r="R301" s="14"/>
    </row>
    <row r="302" spans="1:20" x14ac:dyDescent="0.35">
      <c r="A302" s="11">
        <v>43899</v>
      </c>
      <c r="B302" s="11">
        <v>43899</v>
      </c>
      <c r="C302" s="1">
        <v>18</v>
      </c>
      <c r="D302" t="s">
        <v>52</v>
      </c>
      <c r="F302" t="s">
        <v>458</v>
      </c>
      <c r="G302" t="s">
        <v>11</v>
      </c>
      <c r="I302" s="14" t="s">
        <v>479</v>
      </c>
      <c r="J302" s="14">
        <v>151</v>
      </c>
      <c r="K302" s="14" t="s">
        <v>88</v>
      </c>
      <c r="L302" s="14" t="s">
        <v>154</v>
      </c>
      <c r="M302" s="14" t="s">
        <v>319</v>
      </c>
      <c r="N302" s="14" t="s">
        <v>151</v>
      </c>
      <c r="O302" s="14" t="s">
        <v>575</v>
      </c>
      <c r="P302" s="14" t="s">
        <v>151</v>
      </c>
      <c r="Q302" s="14" t="s">
        <v>583</v>
      </c>
      <c r="R302" s="14"/>
    </row>
    <row r="303" spans="1:20" x14ac:dyDescent="0.35">
      <c r="A303" s="11">
        <v>43899</v>
      </c>
      <c r="B303" s="11">
        <v>43899</v>
      </c>
      <c r="C303" s="1">
        <v>18</v>
      </c>
      <c r="D303" t="s">
        <v>52</v>
      </c>
      <c r="F303" t="s">
        <v>458</v>
      </c>
      <c r="G303" t="s">
        <v>11</v>
      </c>
      <c r="I303" s="14" t="s">
        <v>479</v>
      </c>
      <c r="J303" s="14">
        <v>151</v>
      </c>
      <c r="K303" s="14" t="s">
        <v>89</v>
      </c>
      <c r="L303" s="14" t="s">
        <v>144</v>
      </c>
      <c r="M303" s="14" t="s">
        <v>607</v>
      </c>
      <c r="N303" s="14" t="s">
        <v>609</v>
      </c>
      <c r="O303" s="14" t="s">
        <v>121</v>
      </c>
      <c r="P303" s="14" t="s">
        <v>607</v>
      </c>
      <c r="Q303" s="14" t="s">
        <v>607</v>
      </c>
      <c r="R303" s="14"/>
    </row>
    <row r="304" spans="1:20" x14ac:dyDescent="0.35">
      <c r="A304" s="11">
        <v>43899</v>
      </c>
      <c r="B304" s="11">
        <v>43899</v>
      </c>
      <c r="C304" s="1">
        <v>18</v>
      </c>
      <c r="D304" t="s">
        <v>52</v>
      </c>
      <c r="F304" t="s">
        <v>458</v>
      </c>
      <c r="G304" t="s">
        <v>11</v>
      </c>
      <c r="I304" s="14" t="s">
        <v>479</v>
      </c>
      <c r="J304" s="14">
        <v>151</v>
      </c>
      <c r="K304" s="14" t="s">
        <v>90</v>
      </c>
      <c r="L304" s="14" t="s">
        <v>594</v>
      </c>
      <c r="M304" s="14" t="s">
        <v>93</v>
      </c>
      <c r="N304" s="14" t="s">
        <v>93</v>
      </c>
      <c r="O304" s="14" t="s">
        <v>601</v>
      </c>
      <c r="P304" s="14" t="s">
        <v>93</v>
      </c>
      <c r="Q304" s="14" t="s">
        <v>598</v>
      </c>
      <c r="R304" s="14"/>
    </row>
    <row r="305" spans="1:20" x14ac:dyDescent="0.35">
      <c r="A305" s="8">
        <f t="shared" ref="A305:A316" si="11">B305</f>
        <v>43841</v>
      </c>
      <c r="B305" s="8">
        <v>43841</v>
      </c>
      <c r="C305" s="1">
        <v>19</v>
      </c>
      <c r="D305" s="16" t="s">
        <v>52</v>
      </c>
      <c r="E305" s="16"/>
      <c r="F305" t="s">
        <v>450</v>
      </c>
      <c r="G305" s="16" t="s">
        <v>75</v>
      </c>
      <c r="H305" s="16"/>
      <c r="I305" s="16" t="s">
        <v>6</v>
      </c>
      <c r="J305" s="16">
        <v>92</v>
      </c>
      <c r="K305" s="16" t="s">
        <v>88</v>
      </c>
      <c r="L305" s="16" t="s">
        <v>122</v>
      </c>
      <c r="M305" s="16" t="s">
        <v>451</v>
      </c>
      <c r="N305" s="16" t="s">
        <v>452</v>
      </c>
      <c r="O305" s="16" t="s">
        <v>408</v>
      </c>
      <c r="P305" s="16" t="s">
        <v>444</v>
      </c>
      <c r="Q305" s="16" t="s">
        <v>409</v>
      </c>
      <c r="R305" s="16" t="s">
        <v>453</v>
      </c>
      <c r="S305" s="16" t="s">
        <v>102</v>
      </c>
      <c r="T305" s="16" t="s">
        <v>422</v>
      </c>
    </row>
    <row r="306" spans="1:20" x14ac:dyDescent="0.35">
      <c r="A306" s="8">
        <f t="shared" si="11"/>
        <v>43841</v>
      </c>
      <c r="B306" s="8">
        <f>B305</f>
        <v>43841</v>
      </c>
      <c r="C306" s="1">
        <v>19</v>
      </c>
      <c r="D306" s="16" t="s">
        <v>52</v>
      </c>
      <c r="E306" s="16"/>
      <c r="F306" t="s">
        <v>450</v>
      </c>
      <c r="G306" s="16" t="s">
        <v>75</v>
      </c>
      <c r="H306" s="16"/>
      <c r="I306" s="16" t="s">
        <v>6</v>
      </c>
      <c r="J306" s="16">
        <v>92</v>
      </c>
      <c r="K306" s="16" t="s">
        <v>89</v>
      </c>
      <c r="L306" s="16" t="s">
        <v>454</v>
      </c>
      <c r="M306" s="16" t="s">
        <v>455</v>
      </c>
      <c r="N306" s="16" t="s">
        <v>456</v>
      </c>
      <c r="O306" s="16" t="s">
        <v>136</v>
      </c>
      <c r="P306" s="16" t="s">
        <v>114</v>
      </c>
      <c r="Q306" s="16" t="s">
        <v>136</v>
      </c>
      <c r="R306" s="16" t="s">
        <v>457</v>
      </c>
      <c r="S306" s="16" t="s">
        <v>136</v>
      </c>
      <c r="T306" s="16" t="s">
        <v>136</v>
      </c>
    </row>
    <row r="307" spans="1:20" x14ac:dyDescent="0.35">
      <c r="A307" s="8">
        <f t="shared" si="11"/>
        <v>43841</v>
      </c>
      <c r="B307" s="8">
        <f>B306</f>
        <v>43841</v>
      </c>
      <c r="C307" s="1">
        <v>19</v>
      </c>
      <c r="D307" s="16" t="s">
        <v>52</v>
      </c>
      <c r="E307" s="16"/>
      <c r="F307" t="s">
        <v>450</v>
      </c>
      <c r="G307" s="16" t="s">
        <v>75</v>
      </c>
      <c r="H307" s="16"/>
      <c r="I307" s="16" t="s">
        <v>6</v>
      </c>
      <c r="J307" s="16">
        <v>92</v>
      </c>
      <c r="K307" s="16" t="s">
        <v>90</v>
      </c>
      <c r="L307" s="16" t="s">
        <v>414</v>
      </c>
      <c r="M307" s="16" t="s">
        <v>448</v>
      </c>
      <c r="N307" s="16" t="s">
        <v>448</v>
      </c>
      <c r="O307" s="16" t="s">
        <v>272</v>
      </c>
      <c r="P307" s="16" t="s">
        <v>449</v>
      </c>
      <c r="Q307" s="16" t="s">
        <v>272</v>
      </c>
      <c r="R307" s="16" t="s">
        <v>177</v>
      </c>
      <c r="S307" s="16" t="s">
        <v>432</v>
      </c>
      <c r="T307" s="16" t="s">
        <v>272</v>
      </c>
    </row>
    <row r="308" spans="1:20" x14ac:dyDescent="0.35">
      <c r="A308" s="8">
        <f t="shared" si="11"/>
        <v>43848</v>
      </c>
      <c r="B308" s="8">
        <v>43848</v>
      </c>
      <c r="C308" s="1">
        <v>19</v>
      </c>
      <c r="D308" s="16" t="s">
        <v>52</v>
      </c>
      <c r="E308" s="16"/>
      <c r="F308" t="s">
        <v>450</v>
      </c>
      <c r="G308" s="16" t="s">
        <v>75</v>
      </c>
      <c r="H308" s="16"/>
      <c r="I308" s="16" t="s">
        <v>479</v>
      </c>
      <c r="J308" s="16">
        <v>38</v>
      </c>
      <c r="K308" s="16" t="s">
        <v>88</v>
      </c>
      <c r="L308" s="16" t="s">
        <v>319</v>
      </c>
      <c r="M308" s="16" t="s">
        <v>408</v>
      </c>
      <c r="N308" s="16" t="s">
        <v>408</v>
      </c>
      <c r="O308" s="16" t="s">
        <v>408</v>
      </c>
      <c r="P308" s="16" t="s">
        <v>422</v>
      </c>
      <c r="Q308" s="16" t="s">
        <v>484</v>
      </c>
      <c r="R308" s="16"/>
      <c r="S308" s="16"/>
      <c r="T308" s="16"/>
    </row>
    <row r="309" spans="1:20" x14ac:dyDescent="0.35">
      <c r="A309" s="8">
        <f t="shared" si="11"/>
        <v>43848</v>
      </c>
      <c r="B309" s="8">
        <v>43848</v>
      </c>
      <c r="C309" s="1">
        <v>19</v>
      </c>
      <c r="D309" s="16" t="s">
        <v>52</v>
      </c>
      <c r="E309" s="16"/>
      <c r="F309" t="s">
        <v>450</v>
      </c>
      <c r="G309" s="16" t="s">
        <v>75</v>
      </c>
      <c r="H309" s="16"/>
      <c r="I309" s="16" t="s">
        <v>479</v>
      </c>
      <c r="J309" s="16">
        <v>38</v>
      </c>
      <c r="K309" s="16" t="s">
        <v>89</v>
      </c>
      <c r="L309" s="16" t="s">
        <v>411</v>
      </c>
      <c r="M309" s="16" t="s">
        <v>419</v>
      </c>
      <c r="N309" s="16" t="s">
        <v>419</v>
      </c>
      <c r="O309" s="16" t="s">
        <v>419</v>
      </c>
      <c r="P309" s="16" t="s">
        <v>419</v>
      </c>
      <c r="Q309" s="16" t="s">
        <v>422</v>
      </c>
      <c r="R309" s="16"/>
      <c r="S309" s="16"/>
      <c r="T309" s="16"/>
    </row>
    <row r="310" spans="1:20" x14ac:dyDescent="0.35">
      <c r="A310" s="8">
        <f t="shared" si="11"/>
        <v>43848</v>
      </c>
      <c r="B310" s="8">
        <v>43848</v>
      </c>
      <c r="C310" s="1">
        <v>19</v>
      </c>
      <c r="D310" s="16" t="s">
        <v>52</v>
      </c>
      <c r="E310" s="16"/>
      <c r="F310" t="s">
        <v>450</v>
      </c>
      <c r="G310" s="16" t="s">
        <v>75</v>
      </c>
      <c r="H310" s="16"/>
      <c r="I310" s="16" t="s">
        <v>479</v>
      </c>
      <c r="J310" s="16">
        <v>38</v>
      </c>
      <c r="K310" s="16" t="s">
        <v>90</v>
      </c>
      <c r="L310" s="16" t="s">
        <v>414</v>
      </c>
      <c r="M310" s="16" t="s">
        <v>92</v>
      </c>
      <c r="N310" s="16" t="s">
        <v>439</v>
      </c>
      <c r="O310" s="16" t="s">
        <v>272</v>
      </c>
      <c r="P310" s="16" t="s">
        <v>272</v>
      </c>
      <c r="Q310" s="16" t="s">
        <v>439</v>
      </c>
      <c r="R310" s="16"/>
      <c r="S310" s="16"/>
      <c r="T310" s="16"/>
    </row>
    <row r="311" spans="1:20" x14ac:dyDescent="0.35">
      <c r="A311" s="8">
        <f t="shared" si="11"/>
        <v>43855</v>
      </c>
      <c r="B311" s="8">
        <v>43855</v>
      </c>
      <c r="C311" s="1">
        <v>19</v>
      </c>
      <c r="D311" s="16" t="s">
        <v>52</v>
      </c>
      <c r="E311" s="16"/>
      <c r="F311" t="s">
        <v>450</v>
      </c>
      <c r="G311" s="16" t="s">
        <v>75</v>
      </c>
      <c r="H311" s="16"/>
      <c r="I311" s="16" t="s">
        <v>479</v>
      </c>
      <c r="J311" s="16">
        <v>62</v>
      </c>
      <c r="K311" s="16" t="s">
        <v>88</v>
      </c>
      <c r="L311" s="16" t="s">
        <v>319</v>
      </c>
      <c r="M311" s="16" t="s">
        <v>408</v>
      </c>
      <c r="N311" s="16" t="s">
        <v>521</v>
      </c>
      <c r="O311" s="16" t="s">
        <v>408</v>
      </c>
      <c r="P311" s="16" t="s">
        <v>408</v>
      </c>
      <c r="Q311" s="16" t="s">
        <v>480</v>
      </c>
      <c r="R311" s="16"/>
      <c r="S311" s="16"/>
      <c r="T311" s="16"/>
    </row>
    <row r="312" spans="1:20" x14ac:dyDescent="0.35">
      <c r="A312" s="8">
        <f t="shared" si="11"/>
        <v>43855</v>
      </c>
      <c r="B312" s="8">
        <v>43855</v>
      </c>
      <c r="C312" s="1">
        <v>19</v>
      </c>
      <c r="D312" s="16" t="s">
        <v>52</v>
      </c>
      <c r="E312" s="16"/>
      <c r="F312" t="s">
        <v>450</v>
      </c>
      <c r="G312" s="16" t="s">
        <v>75</v>
      </c>
      <c r="H312" s="16"/>
      <c r="I312" s="16" t="s">
        <v>479</v>
      </c>
      <c r="J312" s="16">
        <v>62</v>
      </c>
      <c r="K312" s="16" t="s">
        <v>89</v>
      </c>
      <c r="L312" s="16" t="s">
        <v>526</v>
      </c>
      <c r="M312" s="16" t="s">
        <v>408</v>
      </c>
      <c r="N312" s="16" t="s">
        <v>536</v>
      </c>
      <c r="O312" s="16" t="s">
        <v>408</v>
      </c>
      <c r="P312" s="16" t="s">
        <v>408</v>
      </c>
      <c r="Q312" s="16" t="s">
        <v>537</v>
      </c>
      <c r="R312" s="16"/>
      <c r="S312" s="16"/>
      <c r="T312" s="16"/>
    </row>
    <row r="313" spans="1:20" x14ac:dyDescent="0.35">
      <c r="A313" s="8">
        <f t="shared" si="11"/>
        <v>43855</v>
      </c>
      <c r="B313" s="8">
        <v>43855</v>
      </c>
      <c r="C313" s="1">
        <v>19</v>
      </c>
      <c r="D313" s="16" t="s">
        <v>52</v>
      </c>
      <c r="E313" s="16"/>
      <c r="F313" t="s">
        <v>450</v>
      </c>
      <c r="G313" s="16" t="s">
        <v>75</v>
      </c>
      <c r="H313" s="16"/>
      <c r="I313" s="16" t="s">
        <v>479</v>
      </c>
      <c r="J313" s="16">
        <v>62</v>
      </c>
      <c r="K313" s="16" t="s">
        <v>90</v>
      </c>
      <c r="L313" s="16" t="s">
        <v>538</v>
      </c>
      <c r="M313" s="16" t="s">
        <v>427</v>
      </c>
      <c r="N313" s="16" t="s">
        <v>530</v>
      </c>
      <c r="O313" s="16" t="s">
        <v>427</v>
      </c>
      <c r="P313" s="16" t="s">
        <v>428</v>
      </c>
      <c r="Q313" s="16" t="s">
        <v>539</v>
      </c>
      <c r="R313" s="16"/>
      <c r="S313" s="16"/>
      <c r="T313" s="16"/>
    </row>
    <row r="314" spans="1:20" x14ac:dyDescent="0.35">
      <c r="A314" s="8">
        <f t="shared" si="11"/>
        <v>43862</v>
      </c>
      <c r="B314" s="8">
        <v>43862</v>
      </c>
      <c r="C314" s="1">
        <v>19</v>
      </c>
      <c r="D314" s="16" t="s">
        <v>52</v>
      </c>
      <c r="E314" s="16"/>
      <c r="F314" t="s">
        <v>450</v>
      </c>
      <c r="G314" s="16" t="s">
        <v>11</v>
      </c>
      <c r="H314" s="16"/>
      <c r="I314" s="16" t="s">
        <v>479</v>
      </c>
      <c r="J314" s="16">
        <v>88</v>
      </c>
      <c r="K314" s="16" t="s">
        <v>88</v>
      </c>
      <c r="L314" s="16" t="s">
        <v>122</v>
      </c>
      <c r="M314" s="16" t="s">
        <v>563</v>
      </c>
      <c r="N314" s="16" t="s">
        <v>408</v>
      </c>
      <c r="O314" s="16" t="s">
        <v>408</v>
      </c>
      <c r="P314" s="16" t="s">
        <v>476</v>
      </c>
      <c r="Q314" s="16" t="s">
        <v>435</v>
      </c>
      <c r="R314" s="16"/>
      <c r="S314" s="16"/>
      <c r="T314" s="16"/>
    </row>
    <row r="315" spans="1:20" x14ac:dyDescent="0.35">
      <c r="A315" s="8">
        <f t="shared" si="11"/>
        <v>43862</v>
      </c>
      <c r="B315" s="8">
        <v>43862</v>
      </c>
      <c r="C315" s="1">
        <v>19</v>
      </c>
      <c r="D315" s="16" t="s">
        <v>52</v>
      </c>
      <c r="E315" s="16"/>
      <c r="F315" t="s">
        <v>450</v>
      </c>
      <c r="G315" s="16" t="s">
        <v>11</v>
      </c>
      <c r="H315" s="16"/>
      <c r="I315" s="16" t="s">
        <v>479</v>
      </c>
      <c r="J315" s="16">
        <v>88</v>
      </c>
      <c r="K315" s="16" t="s">
        <v>89</v>
      </c>
      <c r="L315" s="16" t="s">
        <v>526</v>
      </c>
      <c r="M315" s="16" t="s">
        <v>428</v>
      </c>
      <c r="N315" s="16" t="s">
        <v>408</v>
      </c>
      <c r="O315" s="16" t="s">
        <v>408</v>
      </c>
      <c r="P315" s="16" t="s">
        <v>408</v>
      </c>
      <c r="Q315" s="16" t="s">
        <v>408</v>
      </c>
      <c r="R315" s="16"/>
      <c r="S315" s="16"/>
      <c r="T315" s="16"/>
    </row>
    <row r="316" spans="1:20" x14ac:dyDescent="0.35">
      <c r="A316" s="8">
        <f t="shared" si="11"/>
        <v>43862</v>
      </c>
      <c r="B316" s="8">
        <v>43862</v>
      </c>
      <c r="C316" s="1">
        <v>19</v>
      </c>
      <c r="D316" s="16" t="s">
        <v>52</v>
      </c>
      <c r="E316" s="16"/>
      <c r="F316" t="s">
        <v>450</v>
      </c>
      <c r="G316" s="16" t="s">
        <v>11</v>
      </c>
      <c r="H316" s="16"/>
      <c r="I316" s="16" t="s">
        <v>479</v>
      </c>
      <c r="J316" s="16">
        <v>88</v>
      </c>
      <c r="K316" s="16" t="s">
        <v>90</v>
      </c>
      <c r="L316" s="16" t="s">
        <v>546</v>
      </c>
      <c r="M316" s="16" t="s">
        <v>565</v>
      </c>
      <c r="N316" s="16" t="s">
        <v>565</v>
      </c>
      <c r="O316" s="16" t="s">
        <v>428</v>
      </c>
      <c r="P316" s="16" t="s">
        <v>428</v>
      </c>
      <c r="Q316" s="16" t="s">
        <v>428</v>
      </c>
      <c r="R316" s="16"/>
      <c r="S316" s="16"/>
      <c r="T316" s="16"/>
    </row>
    <row r="317" spans="1:20" x14ac:dyDescent="0.35">
      <c r="A317" s="11">
        <v>43869</v>
      </c>
      <c r="B317" s="11">
        <v>43869</v>
      </c>
      <c r="C317" s="1">
        <v>19</v>
      </c>
      <c r="D317" t="s">
        <v>52</v>
      </c>
      <c r="F317" t="s">
        <v>450</v>
      </c>
      <c r="G317" t="s">
        <v>75</v>
      </c>
      <c r="I317" t="s">
        <v>479</v>
      </c>
      <c r="J317">
        <v>193</v>
      </c>
      <c r="K317" t="s">
        <v>88</v>
      </c>
      <c r="L317" t="s">
        <v>615</v>
      </c>
      <c r="M317" t="s">
        <v>435</v>
      </c>
      <c r="N317" t="s">
        <v>408</v>
      </c>
      <c r="O317" t="s">
        <v>408</v>
      </c>
      <c r="P317" t="s">
        <v>621</v>
      </c>
      <c r="Q317" t="s">
        <v>408</v>
      </c>
    </row>
    <row r="318" spans="1:20" x14ac:dyDescent="0.35">
      <c r="A318" s="11">
        <v>43869</v>
      </c>
      <c r="B318" s="11">
        <v>43869</v>
      </c>
      <c r="C318" s="1">
        <v>19</v>
      </c>
      <c r="D318" t="s">
        <v>52</v>
      </c>
      <c r="F318" t="s">
        <v>450</v>
      </c>
      <c r="G318" t="s">
        <v>75</v>
      </c>
      <c r="I318" t="s">
        <v>479</v>
      </c>
      <c r="J318">
        <v>193</v>
      </c>
      <c r="K318" t="s">
        <v>89</v>
      </c>
      <c r="L318" t="s">
        <v>411</v>
      </c>
      <c r="M318" t="s">
        <v>628</v>
      </c>
      <c r="N318" t="s">
        <v>617</v>
      </c>
      <c r="O318" t="s">
        <v>622</v>
      </c>
      <c r="P318" t="s">
        <v>622</v>
      </c>
      <c r="Q318" t="s">
        <v>617</v>
      </c>
    </row>
    <row r="319" spans="1:20" x14ac:dyDescent="0.35">
      <c r="A319" s="11">
        <v>43869</v>
      </c>
      <c r="B319" s="11">
        <v>43869</v>
      </c>
      <c r="C319" s="1">
        <v>19</v>
      </c>
      <c r="D319" t="s">
        <v>52</v>
      </c>
      <c r="F319" t="s">
        <v>450</v>
      </c>
      <c r="G319" t="s">
        <v>75</v>
      </c>
      <c r="I319" t="s">
        <v>479</v>
      </c>
      <c r="J319">
        <v>193</v>
      </c>
      <c r="K319" t="s">
        <v>90</v>
      </c>
      <c r="L319" t="s">
        <v>546</v>
      </c>
      <c r="M319" t="s">
        <v>627</v>
      </c>
      <c r="N319" t="s">
        <v>408</v>
      </c>
      <c r="O319" t="s">
        <v>408</v>
      </c>
      <c r="P319" t="s">
        <v>408</v>
      </c>
      <c r="Q319" t="s">
        <v>408</v>
      </c>
    </row>
    <row r="320" spans="1:20" x14ac:dyDescent="0.35">
      <c r="A320" s="11">
        <v>43876</v>
      </c>
      <c r="B320" s="11">
        <v>43876</v>
      </c>
      <c r="C320" s="1">
        <v>19</v>
      </c>
      <c r="D320" t="s">
        <v>52</v>
      </c>
      <c r="F320" t="s">
        <v>450</v>
      </c>
      <c r="G320" t="s">
        <v>75</v>
      </c>
      <c r="I320" t="s">
        <v>479</v>
      </c>
      <c r="J320">
        <v>125</v>
      </c>
      <c r="K320" t="s">
        <v>88</v>
      </c>
      <c r="L320" t="s">
        <v>688</v>
      </c>
      <c r="M320" t="s">
        <v>408</v>
      </c>
      <c r="N320" t="s">
        <v>137</v>
      </c>
      <c r="O320" t="s">
        <v>563</v>
      </c>
      <c r="P320" t="s">
        <v>621</v>
      </c>
      <c r="Q320" t="s">
        <v>408</v>
      </c>
    </row>
    <row r="321" spans="1:20" x14ac:dyDescent="0.35">
      <c r="A321" s="11">
        <v>43876</v>
      </c>
      <c r="B321" s="11">
        <v>43876</v>
      </c>
      <c r="C321" s="1">
        <v>19</v>
      </c>
      <c r="D321" t="s">
        <v>52</v>
      </c>
      <c r="F321" t="s">
        <v>450</v>
      </c>
      <c r="G321" t="s">
        <v>75</v>
      </c>
      <c r="I321" t="s">
        <v>479</v>
      </c>
      <c r="J321">
        <v>125</v>
      </c>
      <c r="K321" t="s">
        <v>89</v>
      </c>
      <c r="L321" t="s">
        <v>689</v>
      </c>
      <c r="M321" t="s">
        <v>628</v>
      </c>
      <c r="N321" t="s">
        <v>690</v>
      </c>
      <c r="O321" t="s">
        <v>622</v>
      </c>
      <c r="P321" t="s">
        <v>622</v>
      </c>
      <c r="Q321" t="s">
        <v>617</v>
      </c>
    </row>
    <row r="322" spans="1:20" x14ac:dyDescent="0.35">
      <c r="A322" s="11">
        <v>43876</v>
      </c>
      <c r="B322" s="11">
        <v>43876</v>
      </c>
      <c r="C322" s="1">
        <v>19</v>
      </c>
      <c r="D322" t="s">
        <v>52</v>
      </c>
      <c r="F322" t="s">
        <v>450</v>
      </c>
      <c r="G322" t="s">
        <v>75</v>
      </c>
      <c r="I322" t="s">
        <v>479</v>
      </c>
      <c r="J322">
        <v>125</v>
      </c>
      <c r="K322" t="s">
        <v>90</v>
      </c>
      <c r="L322" t="s">
        <v>691</v>
      </c>
      <c r="M322" t="s">
        <v>627</v>
      </c>
      <c r="N322" t="s">
        <v>691</v>
      </c>
      <c r="O322" t="s">
        <v>627</v>
      </c>
      <c r="P322" t="s">
        <v>627</v>
      </c>
      <c r="Q322" t="s">
        <v>627</v>
      </c>
    </row>
    <row r="323" spans="1:20" x14ac:dyDescent="0.35">
      <c r="A323" s="11">
        <v>43885</v>
      </c>
      <c r="B323" s="11">
        <v>43885</v>
      </c>
      <c r="C323" s="1">
        <v>19</v>
      </c>
      <c r="D323" t="s">
        <v>52</v>
      </c>
      <c r="F323" t="s">
        <v>450</v>
      </c>
      <c r="G323" t="s">
        <v>75</v>
      </c>
      <c r="I323" t="s">
        <v>479</v>
      </c>
      <c r="J323">
        <v>112</v>
      </c>
      <c r="K323" s="14" t="s">
        <v>88</v>
      </c>
      <c r="L323" s="14" t="s">
        <v>122</v>
      </c>
      <c r="M323" s="14" t="s">
        <v>154</v>
      </c>
      <c r="N323" s="14" t="s">
        <v>576</v>
      </c>
      <c r="O323" s="14" t="s">
        <v>319</v>
      </c>
      <c r="P323" s="14" t="s">
        <v>151</v>
      </c>
      <c r="Q323" s="14" t="s">
        <v>583</v>
      </c>
      <c r="R323" s="14"/>
    </row>
    <row r="324" spans="1:20" x14ac:dyDescent="0.35">
      <c r="A324" s="11">
        <v>43885</v>
      </c>
      <c r="B324" s="11">
        <v>43885</v>
      </c>
      <c r="C324" s="1">
        <v>19</v>
      </c>
      <c r="D324" t="s">
        <v>52</v>
      </c>
      <c r="F324" t="s">
        <v>450</v>
      </c>
      <c r="G324" t="s">
        <v>75</v>
      </c>
      <c r="I324" t="s">
        <v>479</v>
      </c>
      <c r="J324">
        <v>112</v>
      </c>
      <c r="K324" s="14" t="s">
        <v>89</v>
      </c>
      <c r="L324" s="14" t="s">
        <v>144</v>
      </c>
      <c r="M324" s="14" t="s">
        <v>590</v>
      </c>
      <c r="N324" s="14" t="s">
        <v>586</v>
      </c>
      <c r="O324" s="14" t="s">
        <v>607</v>
      </c>
      <c r="P324" s="14" t="s">
        <v>607</v>
      </c>
      <c r="Q324" s="14" t="s">
        <v>607</v>
      </c>
      <c r="R324" s="14"/>
    </row>
    <row r="325" spans="1:20" x14ac:dyDescent="0.35">
      <c r="A325" s="11">
        <v>43885</v>
      </c>
      <c r="B325" s="11">
        <v>43885</v>
      </c>
      <c r="C325" s="1">
        <v>19</v>
      </c>
      <c r="D325" t="s">
        <v>52</v>
      </c>
      <c r="F325" t="s">
        <v>450</v>
      </c>
      <c r="G325" t="s">
        <v>75</v>
      </c>
      <c r="I325" t="s">
        <v>479</v>
      </c>
      <c r="J325">
        <v>112</v>
      </c>
      <c r="K325" s="14" t="s">
        <v>90</v>
      </c>
      <c r="L325" s="14" t="s">
        <v>594</v>
      </c>
      <c r="M325" s="14" t="s">
        <v>93</v>
      </c>
      <c r="N325" s="14" t="s">
        <v>602</v>
      </c>
      <c r="O325" s="14" t="s">
        <v>93</v>
      </c>
      <c r="P325" s="14" t="s">
        <v>93</v>
      </c>
      <c r="Q325" s="14" t="s">
        <v>598</v>
      </c>
      <c r="R325" s="14"/>
    </row>
    <row r="326" spans="1:20" x14ac:dyDescent="0.35">
      <c r="A326" s="11">
        <v>43892</v>
      </c>
      <c r="B326" s="11">
        <v>43892</v>
      </c>
      <c r="C326" s="1">
        <v>19</v>
      </c>
      <c r="D326" t="s">
        <v>52</v>
      </c>
      <c r="F326" t="s">
        <v>450</v>
      </c>
      <c r="G326" t="s">
        <v>11</v>
      </c>
      <c r="I326" s="14" t="s">
        <v>479</v>
      </c>
      <c r="J326" s="14">
        <v>102</v>
      </c>
      <c r="K326" s="14" t="s">
        <v>88</v>
      </c>
      <c r="L326" s="14" t="s">
        <v>122</v>
      </c>
      <c r="M326" s="14" t="s">
        <v>122</v>
      </c>
      <c r="N326" s="14" t="s">
        <v>576</v>
      </c>
      <c r="O326" s="14" t="s">
        <v>319</v>
      </c>
      <c r="P326" s="14" t="s">
        <v>151</v>
      </c>
      <c r="Q326" s="14" t="s">
        <v>584</v>
      </c>
      <c r="R326" s="14"/>
    </row>
    <row r="327" spans="1:20" x14ac:dyDescent="0.35">
      <c r="A327" s="11">
        <v>43892</v>
      </c>
      <c r="B327" s="11">
        <v>43892</v>
      </c>
      <c r="C327" s="1">
        <v>19</v>
      </c>
      <c r="D327" t="s">
        <v>52</v>
      </c>
      <c r="F327" t="s">
        <v>450</v>
      </c>
      <c r="G327" t="s">
        <v>11</v>
      </c>
      <c r="I327" s="14" t="s">
        <v>479</v>
      </c>
      <c r="J327" s="14">
        <v>102</v>
      </c>
      <c r="K327" s="14" t="s">
        <v>89</v>
      </c>
      <c r="L327" s="14" t="s">
        <v>144</v>
      </c>
      <c r="M327" s="14" t="s">
        <v>589</v>
      </c>
      <c r="N327" s="14" t="s">
        <v>586</v>
      </c>
      <c r="O327" s="14" t="s">
        <v>604</v>
      </c>
      <c r="P327" s="14" t="s">
        <v>606</v>
      </c>
      <c r="Q327" s="14" t="s">
        <v>591</v>
      </c>
      <c r="R327" s="14"/>
    </row>
    <row r="328" spans="1:20" x14ac:dyDescent="0.35">
      <c r="A328" s="11">
        <v>43892</v>
      </c>
      <c r="B328" s="11">
        <v>43892</v>
      </c>
      <c r="C328" s="1">
        <v>19</v>
      </c>
      <c r="D328" t="s">
        <v>52</v>
      </c>
      <c r="F328" t="s">
        <v>450</v>
      </c>
      <c r="G328" t="s">
        <v>11</v>
      </c>
      <c r="I328" s="14" t="s">
        <v>479</v>
      </c>
      <c r="J328" s="14">
        <v>102</v>
      </c>
      <c r="K328" s="14" t="s">
        <v>90</v>
      </c>
      <c r="L328" s="14" t="s">
        <v>594</v>
      </c>
      <c r="M328" s="14" t="s">
        <v>603</v>
      </c>
      <c r="N328" s="14" t="s">
        <v>602</v>
      </c>
      <c r="O328" s="14" t="s">
        <v>599</v>
      </c>
      <c r="P328" s="14" t="s">
        <v>93</v>
      </c>
      <c r="Q328" s="14" t="s">
        <v>596</v>
      </c>
      <c r="R328" s="14"/>
    </row>
    <row r="329" spans="1:20" x14ac:dyDescent="0.35">
      <c r="A329" s="11">
        <v>43899</v>
      </c>
      <c r="B329" s="11">
        <v>43899</v>
      </c>
      <c r="C329" s="1">
        <v>19</v>
      </c>
      <c r="D329" t="s">
        <v>52</v>
      </c>
      <c r="F329" t="s">
        <v>450</v>
      </c>
      <c r="G329" t="s">
        <v>11</v>
      </c>
      <c r="I329" s="14" t="s">
        <v>479</v>
      </c>
      <c r="J329" s="14">
        <v>159</v>
      </c>
      <c r="K329" s="14" t="s">
        <v>88</v>
      </c>
      <c r="L329" s="14" t="s">
        <v>319</v>
      </c>
      <c r="M329" s="14" t="s">
        <v>575</v>
      </c>
      <c r="N329" s="14" t="s">
        <v>137</v>
      </c>
      <c r="O329" s="14" t="s">
        <v>319</v>
      </c>
      <c r="P329" s="14" t="s">
        <v>151</v>
      </c>
      <c r="Q329" s="14" t="s">
        <v>583</v>
      </c>
      <c r="R329" s="14"/>
    </row>
    <row r="330" spans="1:20" x14ac:dyDescent="0.35">
      <c r="A330" s="11">
        <v>43899</v>
      </c>
      <c r="B330" s="11">
        <v>43899</v>
      </c>
      <c r="C330" s="1">
        <v>19</v>
      </c>
      <c r="D330" t="s">
        <v>52</v>
      </c>
      <c r="F330" t="s">
        <v>450</v>
      </c>
      <c r="G330" t="s">
        <v>11</v>
      </c>
      <c r="I330" s="14" t="s">
        <v>479</v>
      </c>
      <c r="J330" s="14">
        <v>159</v>
      </c>
      <c r="K330" s="14" t="s">
        <v>89</v>
      </c>
      <c r="L330" s="14" t="s">
        <v>144</v>
      </c>
      <c r="M330" s="14" t="s">
        <v>121</v>
      </c>
      <c r="N330" s="14" t="s">
        <v>588</v>
      </c>
      <c r="O330" s="14" t="s">
        <v>607</v>
      </c>
      <c r="P330" s="14" t="s">
        <v>607</v>
      </c>
      <c r="Q330" s="14" t="s">
        <v>607</v>
      </c>
      <c r="R330" s="14"/>
    </row>
    <row r="331" spans="1:20" x14ac:dyDescent="0.35">
      <c r="A331" s="11">
        <v>43899</v>
      </c>
      <c r="B331" s="11">
        <v>43899</v>
      </c>
      <c r="C331" s="1">
        <v>19</v>
      </c>
      <c r="D331" t="s">
        <v>52</v>
      </c>
      <c r="F331" t="s">
        <v>450</v>
      </c>
      <c r="G331" t="s">
        <v>11</v>
      </c>
      <c r="I331" s="14" t="s">
        <v>479</v>
      </c>
      <c r="J331" s="14">
        <v>159</v>
      </c>
      <c r="K331" s="14" t="s">
        <v>90</v>
      </c>
      <c r="L331" s="14" t="s">
        <v>594</v>
      </c>
      <c r="M331" s="14" t="s">
        <v>603</v>
      </c>
      <c r="N331" s="14" t="s">
        <v>602</v>
      </c>
      <c r="O331" s="14" t="s">
        <v>93</v>
      </c>
      <c r="P331" s="14" t="s">
        <v>599</v>
      </c>
      <c r="Q331" s="14" t="s">
        <v>598</v>
      </c>
      <c r="R331" s="14"/>
    </row>
    <row r="332" spans="1:20" x14ac:dyDescent="0.35">
      <c r="A332" s="11">
        <f t="shared" ref="A332:A343" si="12">B332</f>
        <v>43841</v>
      </c>
      <c r="B332" s="8">
        <v>43841</v>
      </c>
      <c r="C332" s="1">
        <v>20</v>
      </c>
      <c r="D332" t="s">
        <v>52</v>
      </c>
      <c r="F332" t="s">
        <v>440</v>
      </c>
      <c r="G332" t="s">
        <v>75</v>
      </c>
      <c r="I332" t="s">
        <v>6</v>
      </c>
      <c r="J332">
        <v>95</v>
      </c>
      <c r="K332" t="s">
        <v>88</v>
      </c>
      <c r="L332" t="s">
        <v>151</v>
      </c>
      <c r="M332" t="s">
        <v>442</v>
      </c>
      <c r="N332" t="s">
        <v>442</v>
      </c>
      <c r="O332" t="s">
        <v>443</v>
      </c>
      <c r="P332" t="s">
        <v>443</v>
      </c>
      <c r="Q332" t="s">
        <v>441</v>
      </c>
      <c r="R332" t="s">
        <v>444</v>
      </c>
      <c r="S332" t="s">
        <v>445</v>
      </c>
      <c r="T332" t="s">
        <v>408</v>
      </c>
    </row>
    <row r="333" spans="1:20" x14ac:dyDescent="0.35">
      <c r="A333" s="11">
        <f t="shared" si="12"/>
        <v>43841</v>
      </c>
      <c r="B333" s="8">
        <f>B332</f>
        <v>43841</v>
      </c>
      <c r="C333" s="1">
        <v>20</v>
      </c>
      <c r="D333" t="s">
        <v>52</v>
      </c>
      <c r="F333" t="s">
        <v>440</v>
      </c>
      <c r="G333" t="s">
        <v>75</v>
      </c>
      <c r="I333" t="s">
        <v>6</v>
      </c>
      <c r="J333">
        <v>95</v>
      </c>
      <c r="K333" t="s">
        <v>89</v>
      </c>
      <c r="L333" t="s">
        <v>411</v>
      </c>
      <c r="M333" t="s">
        <v>446</v>
      </c>
      <c r="N333" t="s">
        <v>447</v>
      </c>
      <c r="O333" t="s">
        <v>136</v>
      </c>
      <c r="P333" t="s">
        <v>136</v>
      </c>
      <c r="Q333" t="s">
        <v>136</v>
      </c>
      <c r="R333" t="s">
        <v>417</v>
      </c>
      <c r="S333" t="s">
        <v>136</v>
      </c>
      <c r="T333" t="s">
        <v>136</v>
      </c>
    </row>
    <row r="334" spans="1:20" x14ac:dyDescent="0.35">
      <c r="A334" s="11">
        <f t="shared" si="12"/>
        <v>43841</v>
      </c>
      <c r="B334" s="8">
        <f>B333</f>
        <v>43841</v>
      </c>
      <c r="C334" s="1">
        <v>20</v>
      </c>
      <c r="D334" t="s">
        <v>52</v>
      </c>
      <c r="F334" t="s">
        <v>440</v>
      </c>
      <c r="G334" t="s">
        <v>75</v>
      </c>
      <c r="I334" t="s">
        <v>6</v>
      </c>
      <c r="J334">
        <v>95</v>
      </c>
      <c r="K334" t="s">
        <v>90</v>
      </c>
      <c r="L334" t="s">
        <v>414</v>
      </c>
      <c r="M334" t="s">
        <v>448</v>
      </c>
      <c r="N334" t="s">
        <v>448</v>
      </c>
      <c r="O334" t="s">
        <v>272</v>
      </c>
      <c r="P334" t="s">
        <v>272</v>
      </c>
      <c r="Q334" t="s">
        <v>272</v>
      </c>
      <c r="R334" t="s">
        <v>449</v>
      </c>
      <c r="S334" t="s">
        <v>419</v>
      </c>
    </row>
    <row r="335" spans="1:20" x14ac:dyDescent="0.35">
      <c r="A335" s="11">
        <f t="shared" si="12"/>
        <v>43848</v>
      </c>
      <c r="B335" s="8">
        <v>43848</v>
      </c>
      <c r="C335" s="1">
        <v>20</v>
      </c>
      <c r="D335" t="s">
        <v>52</v>
      </c>
      <c r="F335" t="s">
        <v>440</v>
      </c>
      <c r="G335" t="s">
        <v>75</v>
      </c>
      <c r="I335" t="s">
        <v>479</v>
      </c>
      <c r="J335">
        <v>33</v>
      </c>
      <c r="K335" t="s">
        <v>88</v>
      </c>
      <c r="L335" t="s">
        <v>319</v>
      </c>
      <c r="M335" t="s">
        <v>508</v>
      </c>
      <c r="N335" t="s">
        <v>408</v>
      </c>
      <c r="O335" t="s">
        <v>435</v>
      </c>
      <c r="P335" t="s">
        <v>408</v>
      </c>
      <c r="Q335" t="s">
        <v>476</v>
      </c>
    </row>
    <row r="336" spans="1:20" x14ac:dyDescent="0.35">
      <c r="A336" s="11">
        <f t="shared" si="12"/>
        <v>43848</v>
      </c>
      <c r="B336" s="8">
        <v>43848</v>
      </c>
      <c r="C336" s="1">
        <v>20</v>
      </c>
      <c r="D336" t="s">
        <v>52</v>
      </c>
      <c r="F336" t="s">
        <v>440</v>
      </c>
      <c r="G336" t="s">
        <v>75</v>
      </c>
      <c r="I336" t="s">
        <v>479</v>
      </c>
      <c r="J336">
        <v>33</v>
      </c>
      <c r="K336" t="s">
        <v>89</v>
      </c>
      <c r="L336" t="s">
        <v>411</v>
      </c>
      <c r="M336" t="s">
        <v>501</v>
      </c>
      <c r="N336" t="s">
        <v>419</v>
      </c>
      <c r="O336" t="s">
        <v>509</v>
      </c>
      <c r="P336" t="s">
        <v>419</v>
      </c>
      <c r="Q336" t="s">
        <v>419</v>
      </c>
    </row>
    <row r="337" spans="1:18" x14ac:dyDescent="0.35">
      <c r="A337" s="11">
        <f t="shared" si="12"/>
        <v>43848</v>
      </c>
      <c r="B337" s="8">
        <v>43848</v>
      </c>
      <c r="C337" s="1">
        <v>20</v>
      </c>
      <c r="D337" t="s">
        <v>52</v>
      </c>
      <c r="F337" t="s">
        <v>440</v>
      </c>
      <c r="G337" t="s">
        <v>75</v>
      </c>
      <c r="I337" t="s">
        <v>479</v>
      </c>
      <c r="J337">
        <v>33</v>
      </c>
      <c r="K337" t="s">
        <v>90</v>
      </c>
      <c r="L337" t="s">
        <v>414</v>
      </c>
      <c r="M337" t="s">
        <v>510</v>
      </c>
      <c r="N337" t="s">
        <v>272</v>
      </c>
      <c r="O337" t="s">
        <v>510</v>
      </c>
      <c r="P337" t="s">
        <v>439</v>
      </c>
      <c r="Q337" t="s">
        <v>272</v>
      </c>
    </row>
    <row r="338" spans="1:18" x14ac:dyDescent="0.35">
      <c r="A338" s="11">
        <f t="shared" si="12"/>
        <v>43855</v>
      </c>
      <c r="B338" s="8">
        <v>43855</v>
      </c>
      <c r="C338" s="1">
        <v>20</v>
      </c>
      <c r="D338" t="s">
        <v>52</v>
      </c>
      <c r="F338" t="s">
        <v>440</v>
      </c>
      <c r="G338" t="s">
        <v>75</v>
      </c>
      <c r="I338" t="s">
        <v>479</v>
      </c>
      <c r="J338">
        <v>70</v>
      </c>
      <c r="K338" t="s">
        <v>88</v>
      </c>
      <c r="L338" t="s">
        <v>319</v>
      </c>
      <c r="M338" t="s">
        <v>408</v>
      </c>
      <c r="N338" t="s">
        <v>408</v>
      </c>
      <c r="O338" t="s">
        <v>521</v>
      </c>
      <c r="P338" t="s">
        <v>408</v>
      </c>
      <c r="Q338" t="s">
        <v>480</v>
      </c>
    </row>
    <row r="339" spans="1:18" x14ac:dyDescent="0.35">
      <c r="A339" s="11">
        <f t="shared" si="12"/>
        <v>43855</v>
      </c>
      <c r="B339" s="8">
        <v>43855</v>
      </c>
      <c r="C339" s="1">
        <v>20</v>
      </c>
      <c r="D339" t="s">
        <v>52</v>
      </c>
      <c r="F339" t="s">
        <v>440</v>
      </c>
      <c r="G339" t="s">
        <v>75</v>
      </c>
      <c r="I339" t="s">
        <v>479</v>
      </c>
      <c r="J339">
        <v>70</v>
      </c>
      <c r="K339" t="s">
        <v>89</v>
      </c>
      <c r="L339" t="s">
        <v>411</v>
      </c>
      <c r="M339" t="s">
        <v>408</v>
      </c>
      <c r="N339" t="s">
        <v>408</v>
      </c>
      <c r="O339" t="s">
        <v>551</v>
      </c>
      <c r="P339" t="s">
        <v>408</v>
      </c>
      <c r="Q339" t="s">
        <v>552</v>
      </c>
    </row>
    <row r="340" spans="1:18" x14ac:dyDescent="0.35">
      <c r="A340" s="11">
        <f t="shared" si="12"/>
        <v>43855</v>
      </c>
      <c r="B340" s="8">
        <v>43855</v>
      </c>
      <c r="C340" s="1">
        <v>20</v>
      </c>
      <c r="D340" t="s">
        <v>52</v>
      </c>
      <c r="F340" t="s">
        <v>440</v>
      </c>
      <c r="G340" t="s">
        <v>75</v>
      </c>
      <c r="I340" t="s">
        <v>479</v>
      </c>
      <c r="J340">
        <v>70</v>
      </c>
      <c r="K340" t="s">
        <v>90</v>
      </c>
      <c r="L340" t="s">
        <v>546</v>
      </c>
      <c r="M340" t="s">
        <v>92</v>
      </c>
      <c r="N340" t="s">
        <v>272</v>
      </c>
      <c r="O340" t="s">
        <v>530</v>
      </c>
      <c r="P340" t="s">
        <v>272</v>
      </c>
      <c r="Q340" t="s">
        <v>530</v>
      </c>
    </row>
    <row r="341" spans="1:18" x14ac:dyDescent="0.35">
      <c r="A341" s="11">
        <f t="shared" si="12"/>
        <v>43862</v>
      </c>
      <c r="B341" s="8">
        <v>43862</v>
      </c>
      <c r="C341" s="1">
        <v>20</v>
      </c>
      <c r="D341" t="s">
        <v>52</v>
      </c>
      <c r="F341" t="s">
        <v>440</v>
      </c>
      <c r="G341" t="s">
        <v>75</v>
      </c>
      <c r="I341" t="s">
        <v>479</v>
      </c>
      <c r="J341">
        <v>80</v>
      </c>
      <c r="K341" t="s">
        <v>88</v>
      </c>
      <c r="L341" t="s">
        <v>151</v>
      </c>
      <c r="M341" t="s">
        <v>408</v>
      </c>
      <c r="N341" t="s">
        <v>521</v>
      </c>
      <c r="O341" t="s">
        <v>408</v>
      </c>
      <c r="P341" t="s">
        <v>408</v>
      </c>
      <c r="Q341" t="s">
        <v>408</v>
      </c>
    </row>
    <row r="342" spans="1:18" x14ac:dyDescent="0.35">
      <c r="A342" s="11">
        <f t="shared" si="12"/>
        <v>43862</v>
      </c>
      <c r="B342" s="8">
        <v>43862</v>
      </c>
      <c r="C342" s="1">
        <v>20</v>
      </c>
      <c r="D342" t="s">
        <v>52</v>
      </c>
      <c r="F342" t="s">
        <v>440</v>
      </c>
      <c r="G342" t="s">
        <v>75</v>
      </c>
      <c r="I342" t="s">
        <v>479</v>
      </c>
      <c r="J342">
        <v>80</v>
      </c>
      <c r="K342" t="s">
        <v>89</v>
      </c>
      <c r="L342" t="s">
        <v>411</v>
      </c>
      <c r="M342" t="s">
        <v>408</v>
      </c>
      <c r="N342" t="s">
        <v>559</v>
      </c>
      <c r="O342" t="s">
        <v>408</v>
      </c>
      <c r="P342" t="s">
        <v>408</v>
      </c>
      <c r="Q342" t="s">
        <v>408</v>
      </c>
    </row>
    <row r="343" spans="1:18" x14ac:dyDescent="0.35">
      <c r="A343" s="11">
        <f t="shared" si="12"/>
        <v>43862</v>
      </c>
      <c r="B343" s="8">
        <v>43862</v>
      </c>
      <c r="C343" s="1">
        <v>20</v>
      </c>
      <c r="D343" t="s">
        <v>52</v>
      </c>
      <c r="F343" t="s">
        <v>440</v>
      </c>
      <c r="G343" t="s">
        <v>75</v>
      </c>
      <c r="I343" t="s">
        <v>479</v>
      </c>
      <c r="J343">
        <v>80</v>
      </c>
      <c r="K343" t="s">
        <v>90</v>
      </c>
      <c r="L343" t="s">
        <v>530</v>
      </c>
      <c r="M343" t="s">
        <v>428</v>
      </c>
      <c r="N343" t="s">
        <v>530</v>
      </c>
      <c r="O343" t="s">
        <v>427</v>
      </c>
      <c r="P343" t="s">
        <v>428</v>
      </c>
      <c r="Q343" t="s">
        <v>428</v>
      </c>
    </row>
    <row r="344" spans="1:18" x14ac:dyDescent="0.35">
      <c r="A344" s="11">
        <v>43869</v>
      </c>
      <c r="B344" s="11">
        <v>43869</v>
      </c>
      <c r="C344" s="1">
        <v>20</v>
      </c>
      <c r="D344" t="s">
        <v>52</v>
      </c>
      <c r="F344" t="s">
        <v>440</v>
      </c>
      <c r="G344" t="s">
        <v>75</v>
      </c>
      <c r="I344" t="s">
        <v>479</v>
      </c>
      <c r="J344">
        <v>116</v>
      </c>
      <c r="K344" t="s">
        <v>88</v>
      </c>
      <c r="L344" t="s">
        <v>615</v>
      </c>
      <c r="M344" t="s">
        <v>408</v>
      </c>
      <c r="N344" t="s">
        <v>408</v>
      </c>
      <c r="O344" t="s">
        <v>408</v>
      </c>
      <c r="P344" t="s">
        <v>621</v>
      </c>
      <c r="Q344" t="s">
        <v>408</v>
      </c>
    </row>
    <row r="345" spans="1:18" x14ac:dyDescent="0.35">
      <c r="A345" s="11">
        <v>43869</v>
      </c>
      <c r="B345" s="11">
        <v>43869</v>
      </c>
      <c r="C345" s="1">
        <v>20</v>
      </c>
      <c r="D345" t="s">
        <v>52</v>
      </c>
      <c r="F345" t="s">
        <v>440</v>
      </c>
      <c r="G345" t="s">
        <v>75</v>
      </c>
      <c r="I345" t="s">
        <v>479</v>
      </c>
      <c r="J345">
        <v>116</v>
      </c>
      <c r="K345" t="s">
        <v>89</v>
      </c>
      <c r="L345" t="s">
        <v>411</v>
      </c>
      <c r="M345" t="s">
        <v>638</v>
      </c>
      <c r="N345" t="s">
        <v>618</v>
      </c>
      <c r="O345" t="s">
        <v>622</v>
      </c>
      <c r="P345" t="s">
        <v>622</v>
      </c>
      <c r="Q345" t="s">
        <v>617</v>
      </c>
    </row>
    <row r="346" spans="1:18" x14ac:dyDescent="0.35">
      <c r="A346" s="11">
        <v>43869</v>
      </c>
      <c r="B346" s="11">
        <v>43869</v>
      </c>
      <c r="C346" s="1">
        <v>20</v>
      </c>
      <c r="D346" t="s">
        <v>52</v>
      </c>
      <c r="F346" t="s">
        <v>440</v>
      </c>
      <c r="G346" t="s">
        <v>75</v>
      </c>
      <c r="I346" t="s">
        <v>479</v>
      </c>
      <c r="J346">
        <v>116</v>
      </c>
      <c r="K346" t="s">
        <v>90</v>
      </c>
      <c r="L346" t="s">
        <v>546</v>
      </c>
      <c r="M346" t="s">
        <v>627</v>
      </c>
      <c r="N346" t="s">
        <v>408</v>
      </c>
      <c r="O346" t="s">
        <v>408</v>
      </c>
      <c r="P346" t="s">
        <v>408</v>
      </c>
      <c r="Q346" t="s">
        <v>408</v>
      </c>
    </row>
    <row r="347" spans="1:18" x14ac:dyDescent="0.35">
      <c r="A347" s="11">
        <v>43876</v>
      </c>
      <c r="B347" s="11">
        <v>43876</v>
      </c>
      <c r="C347" s="1">
        <v>20</v>
      </c>
      <c r="D347" t="s">
        <v>52</v>
      </c>
      <c r="F347" t="s">
        <v>440</v>
      </c>
      <c r="G347" t="s">
        <v>75</v>
      </c>
      <c r="I347" t="s">
        <v>479</v>
      </c>
      <c r="J347">
        <v>127</v>
      </c>
      <c r="K347" t="s">
        <v>88</v>
      </c>
      <c r="L347" t="s">
        <v>615</v>
      </c>
      <c r="M347" t="s">
        <v>408</v>
      </c>
      <c r="N347" t="s">
        <v>408</v>
      </c>
      <c r="O347" t="s">
        <v>147</v>
      </c>
      <c r="P347" t="s">
        <v>621</v>
      </c>
      <c r="Q347" t="s">
        <v>408</v>
      </c>
    </row>
    <row r="348" spans="1:18" x14ac:dyDescent="0.35">
      <c r="A348" s="11">
        <v>43876</v>
      </c>
      <c r="B348" s="11">
        <v>43876</v>
      </c>
      <c r="C348" s="1">
        <v>20</v>
      </c>
      <c r="D348" t="s">
        <v>52</v>
      </c>
      <c r="F348" t="s">
        <v>440</v>
      </c>
      <c r="G348" t="s">
        <v>75</v>
      </c>
      <c r="I348" t="s">
        <v>479</v>
      </c>
      <c r="J348">
        <v>127</v>
      </c>
      <c r="K348" t="s">
        <v>89</v>
      </c>
      <c r="L348" t="s">
        <v>411</v>
      </c>
      <c r="M348" t="s">
        <v>628</v>
      </c>
      <c r="N348" t="s">
        <v>617</v>
      </c>
      <c r="O348" t="s">
        <v>139</v>
      </c>
      <c r="P348" t="s">
        <v>622</v>
      </c>
      <c r="Q348" t="s">
        <v>617</v>
      </c>
    </row>
    <row r="349" spans="1:18" x14ac:dyDescent="0.35">
      <c r="A349" s="11">
        <v>43876</v>
      </c>
      <c r="B349" s="11">
        <v>43876</v>
      </c>
      <c r="C349" s="1">
        <v>20</v>
      </c>
      <c r="D349" t="s">
        <v>52</v>
      </c>
      <c r="F349" t="s">
        <v>440</v>
      </c>
      <c r="G349" t="s">
        <v>75</v>
      </c>
      <c r="I349" t="s">
        <v>479</v>
      </c>
      <c r="J349">
        <v>127</v>
      </c>
      <c r="K349" t="s">
        <v>90</v>
      </c>
      <c r="L349" t="s">
        <v>546</v>
      </c>
      <c r="M349" t="s">
        <v>627</v>
      </c>
      <c r="N349" t="s">
        <v>627</v>
      </c>
      <c r="O349" t="s">
        <v>687</v>
      </c>
      <c r="P349" t="s">
        <v>627</v>
      </c>
      <c r="Q349" t="s">
        <v>627</v>
      </c>
    </row>
    <row r="350" spans="1:18" x14ac:dyDescent="0.35">
      <c r="A350" s="11">
        <v>43885</v>
      </c>
      <c r="B350" s="11">
        <v>43885</v>
      </c>
      <c r="C350" s="1">
        <v>20</v>
      </c>
      <c r="D350" t="s">
        <v>52</v>
      </c>
      <c r="F350" t="s">
        <v>440</v>
      </c>
      <c r="G350" t="s">
        <v>75</v>
      </c>
      <c r="I350" t="s">
        <v>479</v>
      </c>
      <c r="J350">
        <v>134</v>
      </c>
      <c r="K350" s="14" t="s">
        <v>88</v>
      </c>
      <c r="L350" s="14" t="s">
        <v>575</v>
      </c>
      <c r="M350" s="14" t="s">
        <v>154</v>
      </c>
      <c r="N350" s="14" t="s">
        <v>577</v>
      </c>
      <c r="O350" s="14" t="s">
        <v>319</v>
      </c>
      <c r="P350" s="14" t="s">
        <v>151</v>
      </c>
      <c r="Q350" s="14" t="s">
        <v>583</v>
      </c>
      <c r="R350" s="14"/>
    </row>
    <row r="351" spans="1:18" x14ac:dyDescent="0.35">
      <c r="A351" s="11">
        <v>43885</v>
      </c>
      <c r="B351" s="11">
        <v>43885</v>
      </c>
      <c r="C351" s="1">
        <v>20</v>
      </c>
      <c r="D351" t="s">
        <v>52</v>
      </c>
      <c r="F351" t="s">
        <v>440</v>
      </c>
      <c r="G351" t="s">
        <v>75</v>
      </c>
      <c r="I351" t="s">
        <v>479</v>
      </c>
      <c r="J351">
        <v>134</v>
      </c>
      <c r="K351" s="14" t="s">
        <v>89</v>
      </c>
      <c r="L351" s="14" t="s">
        <v>144</v>
      </c>
      <c r="M351" s="14" t="s">
        <v>607</v>
      </c>
      <c r="N351" s="14" t="s">
        <v>587</v>
      </c>
      <c r="O351" s="14" t="s">
        <v>607</v>
      </c>
      <c r="P351" s="14" t="s">
        <v>607</v>
      </c>
      <c r="Q351" s="14" t="s">
        <v>607</v>
      </c>
      <c r="R351" s="14"/>
    </row>
    <row r="352" spans="1:18" x14ac:dyDescent="0.35">
      <c r="A352" s="11">
        <v>43885</v>
      </c>
      <c r="B352" s="11">
        <v>43885</v>
      </c>
      <c r="C352" s="1">
        <v>20</v>
      </c>
      <c r="D352" t="s">
        <v>52</v>
      </c>
      <c r="F352" t="s">
        <v>440</v>
      </c>
      <c r="G352" t="s">
        <v>75</v>
      </c>
      <c r="I352" t="s">
        <v>479</v>
      </c>
      <c r="J352">
        <v>134</v>
      </c>
      <c r="K352" s="14" t="s">
        <v>90</v>
      </c>
      <c r="L352" s="14" t="s">
        <v>594</v>
      </c>
      <c r="M352" s="14" t="s">
        <v>93</v>
      </c>
      <c r="N352" s="14" t="s">
        <v>602</v>
      </c>
      <c r="O352" s="14" t="s">
        <v>93</v>
      </c>
      <c r="P352" s="14" t="s">
        <v>93</v>
      </c>
      <c r="Q352" s="14" t="s">
        <v>598</v>
      </c>
      <c r="R352" s="14"/>
    </row>
    <row r="353" spans="1:20" x14ac:dyDescent="0.35">
      <c r="A353" s="11">
        <v>43892</v>
      </c>
      <c r="B353" s="11">
        <v>43892</v>
      </c>
      <c r="C353" s="1">
        <v>20</v>
      </c>
      <c r="D353" t="s">
        <v>52</v>
      </c>
      <c r="F353" t="s">
        <v>440</v>
      </c>
      <c r="G353" t="s">
        <v>11</v>
      </c>
      <c r="I353" s="14" t="s">
        <v>479</v>
      </c>
      <c r="J353" s="14">
        <v>139</v>
      </c>
      <c r="K353" s="14" t="s">
        <v>88</v>
      </c>
      <c r="L353" s="14" t="s">
        <v>154</v>
      </c>
      <c r="M353" s="14" t="s">
        <v>575</v>
      </c>
      <c r="N353" s="14" t="s">
        <v>576</v>
      </c>
      <c r="O353" s="14" t="s">
        <v>122</v>
      </c>
      <c r="P353" s="14" t="s">
        <v>578</v>
      </c>
      <c r="Q353" s="14" t="s">
        <v>583</v>
      </c>
      <c r="R353" s="14"/>
    </row>
    <row r="354" spans="1:20" x14ac:dyDescent="0.35">
      <c r="A354" s="11">
        <v>43892</v>
      </c>
      <c r="B354" s="11">
        <v>43892</v>
      </c>
      <c r="C354" s="1">
        <v>20</v>
      </c>
      <c r="D354" t="s">
        <v>52</v>
      </c>
      <c r="F354" t="s">
        <v>440</v>
      </c>
      <c r="G354" t="s">
        <v>11</v>
      </c>
      <c r="I354" s="14" t="s">
        <v>479</v>
      </c>
      <c r="J354" s="14">
        <v>139</v>
      </c>
      <c r="K354" s="14" t="s">
        <v>89</v>
      </c>
      <c r="L354" s="14" t="s">
        <v>144</v>
      </c>
      <c r="M354" s="14" t="s">
        <v>121</v>
      </c>
      <c r="N354" s="14" t="s">
        <v>586</v>
      </c>
      <c r="O354" s="14" t="s">
        <v>605</v>
      </c>
      <c r="P354" s="14" t="s">
        <v>578</v>
      </c>
      <c r="Q354" s="14" t="s">
        <v>607</v>
      </c>
      <c r="R354" s="14"/>
    </row>
    <row r="355" spans="1:20" x14ac:dyDescent="0.35">
      <c r="A355" s="11">
        <v>43892</v>
      </c>
      <c r="B355" s="11">
        <v>43892</v>
      </c>
      <c r="C355" s="1">
        <v>20</v>
      </c>
      <c r="D355" t="s">
        <v>52</v>
      </c>
      <c r="F355" t="s">
        <v>440</v>
      </c>
      <c r="G355" t="s">
        <v>11</v>
      </c>
      <c r="I355" s="14" t="s">
        <v>479</v>
      </c>
      <c r="J355" s="14">
        <v>139</v>
      </c>
      <c r="K355" s="14" t="s">
        <v>90</v>
      </c>
      <c r="L355" s="14" t="s">
        <v>594</v>
      </c>
      <c r="M355" s="14" t="s">
        <v>603</v>
      </c>
      <c r="N355" s="14" t="s">
        <v>602</v>
      </c>
      <c r="O355" s="14" t="s">
        <v>93</v>
      </c>
      <c r="P355" s="14" t="s">
        <v>93</v>
      </c>
      <c r="Q355" s="14" t="s">
        <v>599</v>
      </c>
      <c r="R355" s="14"/>
    </row>
    <row r="356" spans="1:20" x14ac:dyDescent="0.35">
      <c r="A356" s="11">
        <v>43899</v>
      </c>
      <c r="B356" s="11">
        <v>43899</v>
      </c>
      <c r="C356" s="1">
        <v>20</v>
      </c>
      <c r="D356" t="s">
        <v>52</v>
      </c>
      <c r="F356" t="s">
        <v>440</v>
      </c>
      <c r="G356" t="s">
        <v>11</v>
      </c>
      <c r="I356" s="14" t="s">
        <v>479</v>
      </c>
      <c r="J356" s="14">
        <v>173</v>
      </c>
      <c r="K356" s="14" t="s">
        <v>88</v>
      </c>
      <c r="L356" s="14" t="s">
        <v>122</v>
      </c>
      <c r="M356" s="14" t="s">
        <v>319</v>
      </c>
      <c r="N356" s="14" t="s">
        <v>151</v>
      </c>
      <c r="O356" s="14" t="s">
        <v>319</v>
      </c>
      <c r="P356" s="14" t="s">
        <v>151</v>
      </c>
      <c r="Q356" s="14" t="s">
        <v>583</v>
      </c>
      <c r="R356" s="14"/>
    </row>
    <row r="357" spans="1:20" x14ac:dyDescent="0.35">
      <c r="A357" s="11">
        <v>43899</v>
      </c>
      <c r="B357" s="11">
        <v>43899</v>
      </c>
      <c r="C357" s="1">
        <v>20</v>
      </c>
      <c r="D357" t="s">
        <v>52</v>
      </c>
      <c r="F357" t="s">
        <v>440</v>
      </c>
      <c r="G357" t="s">
        <v>11</v>
      </c>
      <c r="I357" s="14" t="s">
        <v>479</v>
      </c>
      <c r="J357" s="14">
        <v>173</v>
      </c>
      <c r="K357" s="14" t="s">
        <v>89</v>
      </c>
      <c r="L357" s="14" t="s">
        <v>144</v>
      </c>
      <c r="M357" s="14" t="s">
        <v>607</v>
      </c>
      <c r="N357" s="14" t="s">
        <v>609</v>
      </c>
      <c r="O357" s="14" t="s">
        <v>607</v>
      </c>
      <c r="P357" s="14" t="s">
        <v>607</v>
      </c>
      <c r="Q357" s="14" t="s">
        <v>607</v>
      </c>
      <c r="R357" s="14"/>
    </row>
    <row r="358" spans="1:20" x14ac:dyDescent="0.35">
      <c r="A358" s="11">
        <v>43899</v>
      </c>
      <c r="B358" s="11">
        <v>43899</v>
      </c>
      <c r="C358" s="1">
        <v>20</v>
      </c>
      <c r="D358" t="s">
        <v>52</v>
      </c>
      <c r="F358" t="s">
        <v>440</v>
      </c>
      <c r="G358" t="s">
        <v>11</v>
      </c>
      <c r="I358" s="14" t="s">
        <v>479</v>
      </c>
      <c r="J358" s="14">
        <v>173</v>
      </c>
      <c r="K358" s="14" t="s">
        <v>90</v>
      </c>
      <c r="L358" s="14" t="s">
        <v>594</v>
      </c>
      <c r="M358" s="14" t="s">
        <v>93</v>
      </c>
      <c r="N358" s="14" t="s">
        <v>93</v>
      </c>
      <c r="O358" s="14" t="s">
        <v>599</v>
      </c>
      <c r="P358" s="14" t="s">
        <v>599</v>
      </c>
      <c r="Q358" s="14" t="s">
        <v>598</v>
      </c>
      <c r="R358" s="14"/>
    </row>
    <row r="359" spans="1:20" x14ac:dyDescent="0.35">
      <c r="A359" s="11">
        <f t="shared" ref="A359:A370" si="13">B359</f>
        <v>43841</v>
      </c>
      <c r="B359" s="8">
        <v>43841</v>
      </c>
      <c r="C359" s="1">
        <v>21</v>
      </c>
      <c r="D359" t="s">
        <v>52</v>
      </c>
      <c r="F359" t="s">
        <v>434</v>
      </c>
      <c r="G359" t="s">
        <v>75</v>
      </c>
      <c r="I359" t="s">
        <v>6</v>
      </c>
      <c r="J359">
        <v>91</v>
      </c>
      <c r="K359" t="s">
        <v>88</v>
      </c>
      <c r="L359" t="s">
        <v>319</v>
      </c>
      <c r="M359" t="s">
        <v>406</v>
      </c>
      <c r="N359" t="s">
        <v>408</v>
      </c>
      <c r="O359" t="s">
        <v>435</v>
      </c>
      <c r="P359" t="s">
        <v>422</v>
      </c>
      <c r="Q359" t="s">
        <v>408</v>
      </c>
      <c r="R359" t="s">
        <v>406</v>
      </c>
      <c r="S359" t="s">
        <v>436</v>
      </c>
      <c r="T359" t="s">
        <v>408</v>
      </c>
    </row>
    <row r="360" spans="1:20" x14ac:dyDescent="0.35">
      <c r="A360" s="11">
        <f t="shared" si="13"/>
        <v>43841</v>
      </c>
      <c r="B360" s="8">
        <f>B359</f>
        <v>43841</v>
      </c>
      <c r="C360" s="1">
        <v>21</v>
      </c>
      <c r="D360" t="s">
        <v>52</v>
      </c>
      <c r="F360" t="s">
        <v>434</v>
      </c>
      <c r="G360" t="s">
        <v>75</v>
      </c>
      <c r="I360" t="s">
        <v>6</v>
      </c>
      <c r="J360">
        <v>91</v>
      </c>
      <c r="K360" t="s">
        <v>89</v>
      </c>
      <c r="L360" t="s">
        <v>425</v>
      </c>
      <c r="M360" t="s">
        <v>136</v>
      </c>
      <c r="N360" t="s">
        <v>136</v>
      </c>
      <c r="O360" t="s">
        <v>136</v>
      </c>
      <c r="P360" t="s">
        <v>136</v>
      </c>
      <c r="Q360" t="s">
        <v>136</v>
      </c>
      <c r="R360" t="s">
        <v>136</v>
      </c>
      <c r="S360" t="s">
        <v>437</v>
      </c>
      <c r="T360" t="s">
        <v>437</v>
      </c>
    </row>
    <row r="361" spans="1:20" x14ac:dyDescent="0.35">
      <c r="A361" s="11">
        <f t="shared" si="13"/>
        <v>43841</v>
      </c>
      <c r="B361" s="8">
        <f>B360</f>
        <v>43841</v>
      </c>
      <c r="C361" s="1">
        <v>21</v>
      </c>
      <c r="D361" t="s">
        <v>52</v>
      </c>
      <c r="F361" t="s">
        <v>434</v>
      </c>
      <c r="G361" t="s">
        <v>75</v>
      </c>
      <c r="I361" t="s">
        <v>6</v>
      </c>
      <c r="J361">
        <v>91</v>
      </c>
      <c r="K361" t="s">
        <v>90</v>
      </c>
      <c r="L361" t="s">
        <v>414</v>
      </c>
      <c r="M361" t="s">
        <v>92</v>
      </c>
      <c r="N361" t="s">
        <v>272</v>
      </c>
      <c r="O361" t="s">
        <v>272</v>
      </c>
      <c r="P361" t="s">
        <v>272</v>
      </c>
      <c r="Q361" t="s">
        <v>272</v>
      </c>
      <c r="R361" t="s">
        <v>438</v>
      </c>
      <c r="S361" t="s">
        <v>272</v>
      </c>
      <c r="T361" t="s">
        <v>439</v>
      </c>
    </row>
    <row r="362" spans="1:20" x14ac:dyDescent="0.35">
      <c r="A362" s="11">
        <f t="shared" si="13"/>
        <v>43848</v>
      </c>
      <c r="B362" s="8">
        <v>43848</v>
      </c>
      <c r="C362" s="1">
        <v>21</v>
      </c>
      <c r="D362" t="s">
        <v>52</v>
      </c>
      <c r="F362" t="s">
        <v>434</v>
      </c>
      <c r="G362" t="s">
        <v>75</v>
      </c>
      <c r="I362" t="s">
        <v>479</v>
      </c>
      <c r="J362">
        <v>99</v>
      </c>
      <c r="K362" t="s">
        <v>88</v>
      </c>
      <c r="L362" t="s">
        <v>151</v>
      </c>
      <c r="M362" t="s">
        <v>504</v>
      </c>
      <c r="N362" t="s">
        <v>505</v>
      </c>
      <c r="O362" t="s">
        <v>408</v>
      </c>
      <c r="P362" t="s">
        <v>453</v>
      </c>
      <c r="Q362" t="s">
        <v>435</v>
      </c>
    </row>
    <row r="363" spans="1:20" x14ac:dyDescent="0.35">
      <c r="A363" s="11">
        <f t="shared" si="13"/>
        <v>43848</v>
      </c>
      <c r="B363" s="8">
        <v>43848</v>
      </c>
      <c r="C363" s="1">
        <v>21</v>
      </c>
      <c r="D363" t="s">
        <v>52</v>
      </c>
      <c r="F363" t="s">
        <v>434</v>
      </c>
      <c r="G363" t="s">
        <v>75</v>
      </c>
      <c r="I363" t="s">
        <v>479</v>
      </c>
      <c r="J363">
        <v>99</v>
      </c>
      <c r="K363" t="s">
        <v>89</v>
      </c>
      <c r="L363" t="s">
        <v>411</v>
      </c>
      <c r="M363" t="s">
        <v>419</v>
      </c>
      <c r="N363" t="s">
        <v>446</v>
      </c>
      <c r="O363" t="s">
        <v>419</v>
      </c>
      <c r="P363" t="s">
        <v>506</v>
      </c>
      <c r="Q363" t="s">
        <v>501</v>
      </c>
    </row>
    <row r="364" spans="1:20" x14ac:dyDescent="0.35">
      <c r="A364" s="11">
        <f t="shared" si="13"/>
        <v>43848</v>
      </c>
      <c r="B364" s="8">
        <v>43848</v>
      </c>
      <c r="C364" s="1">
        <v>21</v>
      </c>
      <c r="D364" t="s">
        <v>52</v>
      </c>
      <c r="F364" t="s">
        <v>434</v>
      </c>
      <c r="G364" t="s">
        <v>75</v>
      </c>
      <c r="I364" t="s">
        <v>479</v>
      </c>
      <c r="J364">
        <v>99</v>
      </c>
      <c r="K364" t="s">
        <v>90</v>
      </c>
      <c r="L364" t="s">
        <v>507</v>
      </c>
      <c r="M364" t="s">
        <v>92</v>
      </c>
      <c r="N364" t="s">
        <v>448</v>
      </c>
      <c r="O364" t="s">
        <v>272</v>
      </c>
      <c r="P364" t="s">
        <v>414</v>
      </c>
      <c r="Q364" t="s">
        <v>272</v>
      </c>
    </row>
    <row r="365" spans="1:20" x14ac:dyDescent="0.35">
      <c r="A365" s="11">
        <f t="shared" si="13"/>
        <v>43855</v>
      </c>
      <c r="B365" s="8">
        <v>43855</v>
      </c>
      <c r="C365" s="1">
        <v>21</v>
      </c>
      <c r="D365" t="s">
        <v>52</v>
      </c>
      <c r="F365" t="s">
        <v>434</v>
      </c>
      <c r="G365" t="s">
        <v>75</v>
      </c>
      <c r="I365" t="s">
        <v>479</v>
      </c>
      <c r="J365">
        <v>31</v>
      </c>
      <c r="K365" t="s">
        <v>88</v>
      </c>
      <c r="L365" t="s">
        <v>319</v>
      </c>
      <c r="M365" t="s">
        <v>521</v>
      </c>
      <c r="N365" t="s">
        <v>521</v>
      </c>
      <c r="O365" t="s">
        <v>408</v>
      </c>
      <c r="P365" t="s">
        <v>408</v>
      </c>
      <c r="Q365" t="s">
        <v>480</v>
      </c>
    </row>
    <row r="366" spans="1:20" x14ac:dyDescent="0.35">
      <c r="A366" s="11">
        <f t="shared" si="13"/>
        <v>43855</v>
      </c>
      <c r="B366" s="8">
        <v>43855</v>
      </c>
      <c r="C366" s="1">
        <v>21</v>
      </c>
      <c r="D366" t="s">
        <v>52</v>
      </c>
      <c r="F366" t="s">
        <v>434</v>
      </c>
      <c r="G366" t="s">
        <v>75</v>
      </c>
      <c r="I366" t="s">
        <v>479</v>
      </c>
      <c r="J366">
        <v>31</v>
      </c>
      <c r="K366" t="s">
        <v>89</v>
      </c>
      <c r="L366" t="s">
        <v>526</v>
      </c>
      <c r="M366" t="s">
        <v>527</v>
      </c>
      <c r="N366" t="s">
        <v>527</v>
      </c>
      <c r="O366" t="s">
        <v>408</v>
      </c>
      <c r="P366" t="s">
        <v>408</v>
      </c>
      <c r="Q366" t="s">
        <v>528</v>
      </c>
    </row>
    <row r="367" spans="1:20" x14ac:dyDescent="0.35">
      <c r="A367" s="11">
        <f t="shared" si="13"/>
        <v>43855</v>
      </c>
      <c r="B367" s="8">
        <v>43855</v>
      </c>
      <c r="C367" s="1">
        <v>21</v>
      </c>
      <c r="D367" t="s">
        <v>52</v>
      </c>
      <c r="F367" t="s">
        <v>434</v>
      </c>
      <c r="G367" t="s">
        <v>75</v>
      </c>
      <c r="I367" t="s">
        <v>479</v>
      </c>
      <c r="J367">
        <v>31</v>
      </c>
      <c r="K367" t="s">
        <v>90</v>
      </c>
      <c r="L367" t="s">
        <v>529</v>
      </c>
      <c r="M367" t="s">
        <v>530</v>
      </c>
      <c r="N367" t="s">
        <v>530</v>
      </c>
      <c r="O367" t="s">
        <v>427</v>
      </c>
      <c r="P367" t="s">
        <v>428</v>
      </c>
      <c r="Q367" t="s">
        <v>531</v>
      </c>
    </row>
    <row r="368" spans="1:20" x14ac:dyDescent="0.35">
      <c r="A368" s="11">
        <f t="shared" si="13"/>
        <v>43862</v>
      </c>
      <c r="B368" s="8">
        <v>43862</v>
      </c>
      <c r="C368" s="1">
        <v>21</v>
      </c>
      <c r="D368" t="s">
        <v>52</v>
      </c>
      <c r="F368" t="s">
        <v>434</v>
      </c>
      <c r="G368" t="s">
        <v>75</v>
      </c>
      <c r="I368" t="s">
        <v>479</v>
      </c>
      <c r="J368">
        <v>81</v>
      </c>
      <c r="K368" t="s">
        <v>88</v>
      </c>
      <c r="L368" t="s">
        <v>319</v>
      </c>
      <c r="M368" t="s">
        <v>408</v>
      </c>
      <c r="N368" t="s">
        <v>408</v>
      </c>
      <c r="O368" t="s">
        <v>408</v>
      </c>
      <c r="P368" t="s">
        <v>408</v>
      </c>
      <c r="Q368" t="s">
        <v>480</v>
      </c>
    </row>
    <row r="369" spans="1:20" x14ac:dyDescent="0.35">
      <c r="A369" s="11">
        <f t="shared" si="13"/>
        <v>43862</v>
      </c>
      <c r="B369" s="8">
        <v>43862</v>
      </c>
      <c r="C369" s="1">
        <v>21</v>
      </c>
      <c r="D369" t="s">
        <v>52</v>
      </c>
      <c r="F369" t="s">
        <v>434</v>
      </c>
      <c r="G369" t="s">
        <v>75</v>
      </c>
      <c r="I369" t="s">
        <v>479</v>
      </c>
      <c r="J369">
        <v>81</v>
      </c>
      <c r="K369" t="s">
        <v>89</v>
      </c>
      <c r="L369" t="s">
        <v>411</v>
      </c>
      <c r="M369" t="s">
        <v>408</v>
      </c>
      <c r="N369" t="s">
        <v>408</v>
      </c>
      <c r="O369" t="s">
        <v>408</v>
      </c>
      <c r="P369" t="s">
        <v>408</v>
      </c>
      <c r="Q369" t="s">
        <v>558</v>
      </c>
    </row>
    <row r="370" spans="1:20" x14ac:dyDescent="0.35">
      <c r="A370" s="11">
        <f t="shared" si="13"/>
        <v>43862</v>
      </c>
      <c r="B370" s="8">
        <v>43862</v>
      </c>
      <c r="C370" s="1">
        <v>21</v>
      </c>
      <c r="D370" t="s">
        <v>52</v>
      </c>
      <c r="F370" t="s">
        <v>434</v>
      </c>
      <c r="G370" t="s">
        <v>75</v>
      </c>
      <c r="I370" t="s">
        <v>479</v>
      </c>
      <c r="J370">
        <v>81</v>
      </c>
      <c r="K370" t="s">
        <v>90</v>
      </c>
      <c r="L370" t="s">
        <v>530</v>
      </c>
      <c r="M370" t="s">
        <v>428</v>
      </c>
      <c r="N370" t="s">
        <v>427</v>
      </c>
      <c r="O370" t="s">
        <v>428</v>
      </c>
      <c r="P370" t="s">
        <v>428</v>
      </c>
      <c r="Q370" t="s">
        <v>530</v>
      </c>
    </row>
    <row r="371" spans="1:20" x14ac:dyDescent="0.35">
      <c r="A371" s="11">
        <v>43869</v>
      </c>
      <c r="B371" s="11">
        <v>43869</v>
      </c>
      <c r="C371" s="1">
        <v>21</v>
      </c>
      <c r="D371" t="s">
        <v>52</v>
      </c>
      <c r="E371" s="16"/>
      <c r="F371" t="s">
        <v>434</v>
      </c>
      <c r="G371" t="s">
        <v>75</v>
      </c>
      <c r="H371" s="16"/>
      <c r="I371" t="s">
        <v>479</v>
      </c>
      <c r="J371">
        <v>199</v>
      </c>
      <c r="K371" t="s">
        <v>88</v>
      </c>
      <c r="L371" t="s">
        <v>615</v>
      </c>
      <c r="M371" t="s">
        <v>408</v>
      </c>
      <c r="N371" t="s">
        <v>408</v>
      </c>
      <c r="O371" t="s">
        <v>408</v>
      </c>
      <c r="P371" t="s">
        <v>621</v>
      </c>
      <c r="Q371" t="s">
        <v>408</v>
      </c>
      <c r="R371" s="16"/>
      <c r="S371" s="16"/>
      <c r="T371" s="16"/>
    </row>
    <row r="372" spans="1:20" x14ac:dyDescent="0.35">
      <c r="A372" s="11">
        <v>43869</v>
      </c>
      <c r="B372" s="11">
        <v>43869</v>
      </c>
      <c r="C372" s="1">
        <v>21</v>
      </c>
      <c r="D372" t="s">
        <v>52</v>
      </c>
      <c r="E372" s="16"/>
      <c r="F372" t="s">
        <v>434</v>
      </c>
      <c r="G372" t="s">
        <v>75</v>
      </c>
      <c r="H372" s="16"/>
      <c r="I372" t="s">
        <v>479</v>
      </c>
      <c r="J372">
        <v>199</v>
      </c>
      <c r="K372" t="s">
        <v>89</v>
      </c>
      <c r="L372" t="s">
        <v>411</v>
      </c>
      <c r="M372" t="s">
        <v>408</v>
      </c>
      <c r="N372" t="s">
        <v>408</v>
      </c>
      <c r="O372" t="s">
        <v>490</v>
      </c>
      <c r="P372" t="s">
        <v>151</v>
      </c>
      <c r="Q372" t="s">
        <v>408</v>
      </c>
      <c r="R372" s="16"/>
      <c r="S372" s="16"/>
      <c r="T372" s="16"/>
    </row>
    <row r="373" spans="1:20" x14ac:dyDescent="0.35">
      <c r="A373" s="11">
        <v>43869</v>
      </c>
      <c r="B373" s="11">
        <v>43869</v>
      </c>
      <c r="C373" s="1">
        <v>21</v>
      </c>
      <c r="D373" t="s">
        <v>52</v>
      </c>
      <c r="E373" s="16"/>
      <c r="F373" t="s">
        <v>434</v>
      </c>
      <c r="G373" t="s">
        <v>75</v>
      </c>
      <c r="H373" s="16"/>
      <c r="I373" t="s">
        <v>479</v>
      </c>
      <c r="J373">
        <v>199</v>
      </c>
      <c r="K373" t="s">
        <v>90</v>
      </c>
      <c r="L373" t="s">
        <v>546</v>
      </c>
      <c r="M373" t="s">
        <v>427</v>
      </c>
      <c r="N373" t="s">
        <v>272</v>
      </c>
      <c r="O373" t="s">
        <v>272</v>
      </c>
      <c r="P373" t="s">
        <v>622</v>
      </c>
      <c r="Q373" t="s">
        <v>92</v>
      </c>
      <c r="R373" s="16"/>
      <c r="S373" s="16"/>
      <c r="T373" s="16"/>
    </row>
    <row r="374" spans="1:20" x14ac:dyDescent="0.35">
      <c r="A374" s="11">
        <v>43876</v>
      </c>
      <c r="B374" s="11">
        <v>43876</v>
      </c>
      <c r="C374" s="1">
        <v>21</v>
      </c>
      <c r="D374" t="s">
        <v>52</v>
      </c>
      <c r="F374" t="s">
        <v>434</v>
      </c>
      <c r="G374" t="s">
        <v>75</v>
      </c>
      <c r="I374" t="s">
        <v>479</v>
      </c>
      <c r="J374">
        <v>129</v>
      </c>
      <c r="K374" t="s">
        <v>88</v>
      </c>
      <c r="L374" t="s">
        <v>615</v>
      </c>
      <c r="M374" t="s">
        <v>408</v>
      </c>
      <c r="N374" t="s">
        <v>408</v>
      </c>
      <c r="O374" t="s">
        <v>563</v>
      </c>
      <c r="P374" t="s">
        <v>621</v>
      </c>
      <c r="Q374" t="s">
        <v>408</v>
      </c>
    </row>
    <row r="375" spans="1:20" x14ac:dyDescent="0.35">
      <c r="A375" s="11">
        <v>43876</v>
      </c>
      <c r="B375" s="11">
        <v>43876</v>
      </c>
      <c r="C375" s="1">
        <v>21</v>
      </c>
      <c r="D375" t="s">
        <v>52</v>
      </c>
      <c r="F375" t="s">
        <v>434</v>
      </c>
      <c r="G375" t="s">
        <v>75</v>
      </c>
      <c r="I375" t="s">
        <v>479</v>
      </c>
      <c r="J375">
        <v>129</v>
      </c>
      <c r="K375" t="s">
        <v>89</v>
      </c>
      <c r="L375" t="s">
        <v>526</v>
      </c>
      <c r="M375" t="s">
        <v>617</v>
      </c>
      <c r="N375" t="s">
        <v>617</v>
      </c>
      <c r="O375" t="s">
        <v>622</v>
      </c>
      <c r="P375" t="s">
        <v>622</v>
      </c>
      <c r="Q375" t="s">
        <v>617</v>
      </c>
    </row>
    <row r="376" spans="1:20" x14ac:dyDescent="0.35">
      <c r="A376" s="11">
        <v>43876</v>
      </c>
      <c r="B376" s="11">
        <v>43876</v>
      </c>
      <c r="C376" s="1">
        <v>21</v>
      </c>
      <c r="D376" t="s">
        <v>52</v>
      </c>
      <c r="F376" t="s">
        <v>434</v>
      </c>
      <c r="G376" t="s">
        <v>75</v>
      </c>
      <c r="I376" t="s">
        <v>479</v>
      </c>
      <c r="J376">
        <v>129</v>
      </c>
      <c r="K376" t="s">
        <v>90</v>
      </c>
      <c r="L376" t="s">
        <v>546</v>
      </c>
      <c r="M376" t="s">
        <v>627</v>
      </c>
      <c r="N376" t="s">
        <v>627</v>
      </c>
      <c r="O376" t="s">
        <v>627</v>
      </c>
      <c r="P376" t="s">
        <v>627</v>
      </c>
      <c r="Q376" t="s">
        <v>627</v>
      </c>
    </row>
    <row r="377" spans="1:20" x14ac:dyDescent="0.35">
      <c r="A377" s="11">
        <v>43885</v>
      </c>
      <c r="B377" s="11">
        <v>43885</v>
      </c>
      <c r="C377" s="1">
        <v>21</v>
      </c>
      <c r="D377" t="s">
        <v>52</v>
      </c>
      <c r="F377" t="s">
        <v>434</v>
      </c>
      <c r="G377" t="s">
        <v>75</v>
      </c>
      <c r="I377" t="s">
        <v>479</v>
      </c>
      <c r="J377">
        <v>115</v>
      </c>
      <c r="K377" s="14" t="s">
        <v>88</v>
      </c>
      <c r="L377" s="14" t="s">
        <v>122</v>
      </c>
      <c r="M377" s="14" t="s">
        <v>319</v>
      </c>
      <c r="N377" s="14" t="s">
        <v>576</v>
      </c>
      <c r="O377" s="14" t="s">
        <v>319</v>
      </c>
      <c r="P377" s="14" t="s">
        <v>151</v>
      </c>
      <c r="Q377" s="14" t="s">
        <v>585</v>
      </c>
      <c r="R377" s="14"/>
    </row>
    <row r="378" spans="1:20" x14ac:dyDescent="0.35">
      <c r="A378" s="11">
        <v>43885</v>
      </c>
      <c r="B378" s="11">
        <v>43885</v>
      </c>
      <c r="C378" s="1">
        <v>21</v>
      </c>
      <c r="D378" t="s">
        <v>52</v>
      </c>
      <c r="F378" t="s">
        <v>434</v>
      </c>
      <c r="G378" t="s">
        <v>75</v>
      </c>
      <c r="I378" t="s">
        <v>479</v>
      </c>
      <c r="J378">
        <v>155</v>
      </c>
      <c r="K378" s="14" t="s">
        <v>89</v>
      </c>
      <c r="L378" s="14" t="s">
        <v>144</v>
      </c>
      <c r="M378" s="14" t="s">
        <v>607</v>
      </c>
      <c r="N378" s="14" t="s">
        <v>587</v>
      </c>
      <c r="O378" s="14" t="s">
        <v>607</v>
      </c>
      <c r="P378" s="14" t="s">
        <v>607</v>
      </c>
      <c r="Q378" s="14" t="s">
        <v>593</v>
      </c>
      <c r="R378" s="14"/>
    </row>
    <row r="379" spans="1:20" x14ac:dyDescent="0.35">
      <c r="A379" s="11">
        <v>43885</v>
      </c>
      <c r="B379" s="11">
        <v>43885</v>
      </c>
      <c r="C379" s="1">
        <v>21</v>
      </c>
      <c r="D379" t="s">
        <v>52</v>
      </c>
      <c r="F379" t="s">
        <v>434</v>
      </c>
      <c r="G379" t="s">
        <v>75</v>
      </c>
      <c r="I379" t="s">
        <v>479</v>
      </c>
      <c r="J379">
        <v>155</v>
      </c>
      <c r="K379" s="14" t="s">
        <v>90</v>
      </c>
      <c r="L379" s="14" t="s">
        <v>594</v>
      </c>
      <c r="M379" s="14" t="s">
        <v>93</v>
      </c>
      <c r="N379" s="14" t="s">
        <v>602</v>
      </c>
      <c r="O379" s="14" t="s">
        <v>93</v>
      </c>
      <c r="P379" s="14" t="s">
        <v>93</v>
      </c>
      <c r="Q379" s="14" t="s">
        <v>598</v>
      </c>
      <c r="R379" s="14"/>
    </row>
    <row r="380" spans="1:20" x14ac:dyDescent="0.35">
      <c r="A380" s="11">
        <v>43892</v>
      </c>
      <c r="B380" s="11">
        <v>43892</v>
      </c>
      <c r="C380" s="1">
        <v>21</v>
      </c>
      <c r="D380" t="s">
        <v>52</v>
      </c>
      <c r="F380" t="s">
        <v>434</v>
      </c>
      <c r="G380" t="s">
        <v>11</v>
      </c>
      <c r="I380" s="14" t="s">
        <v>479</v>
      </c>
      <c r="J380" s="14">
        <v>103</v>
      </c>
      <c r="K380" s="14" t="s">
        <v>88</v>
      </c>
      <c r="L380" s="14" t="s">
        <v>319</v>
      </c>
      <c r="M380" s="14" t="s">
        <v>575</v>
      </c>
      <c r="N380" s="14" t="s">
        <v>137</v>
      </c>
      <c r="O380" s="14" t="s">
        <v>154</v>
      </c>
      <c r="P380" s="14" t="s">
        <v>151</v>
      </c>
      <c r="Q380" s="14" t="s">
        <v>585</v>
      </c>
      <c r="R380" s="14"/>
    </row>
    <row r="381" spans="1:20" x14ac:dyDescent="0.35">
      <c r="A381" s="11">
        <v>43892</v>
      </c>
      <c r="B381" s="11">
        <v>43892</v>
      </c>
      <c r="C381" s="1">
        <v>21</v>
      </c>
      <c r="D381" t="s">
        <v>52</v>
      </c>
      <c r="F381" t="s">
        <v>434</v>
      </c>
      <c r="G381" t="s">
        <v>11</v>
      </c>
      <c r="I381" s="14" t="s">
        <v>479</v>
      </c>
      <c r="J381" s="14">
        <v>103</v>
      </c>
      <c r="K381" s="14" t="s">
        <v>89</v>
      </c>
      <c r="L381" s="14" t="s">
        <v>144</v>
      </c>
      <c r="M381" s="14" t="s">
        <v>121</v>
      </c>
      <c r="N381" s="14" t="s">
        <v>588</v>
      </c>
      <c r="O381" s="14" t="s">
        <v>604</v>
      </c>
      <c r="P381" s="14" t="s">
        <v>607</v>
      </c>
      <c r="Q381" s="14" t="s">
        <v>591</v>
      </c>
      <c r="R381" s="14"/>
    </row>
    <row r="382" spans="1:20" x14ac:dyDescent="0.35">
      <c r="A382" s="11">
        <v>43892</v>
      </c>
      <c r="B382" s="11">
        <v>43892</v>
      </c>
      <c r="C382" s="1">
        <v>21</v>
      </c>
      <c r="D382" t="s">
        <v>52</v>
      </c>
      <c r="F382" t="s">
        <v>434</v>
      </c>
      <c r="G382" t="s">
        <v>11</v>
      </c>
      <c r="I382" s="14" t="s">
        <v>479</v>
      </c>
      <c r="J382" s="14">
        <v>103</v>
      </c>
      <c r="K382" s="14" t="s">
        <v>90</v>
      </c>
      <c r="L382" s="14" t="s">
        <v>594</v>
      </c>
      <c r="M382" s="14" t="s">
        <v>603</v>
      </c>
      <c r="N382" s="14" t="s">
        <v>602</v>
      </c>
      <c r="O382" s="14" t="s">
        <v>599</v>
      </c>
      <c r="P382" s="14" t="s">
        <v>599</v>
      </c>
      <c r="Q382" s="14" t="s">
        <v>596</v>
      </c>
      <c r="R382" s="14"/>
    </row>
    <row r="383" spans="1:20" x14ac:dyDescent="0.35">
      <c r="A383" s="11">
        <v>43899</v>
      </c>
      <c r="B383" s="11">
        <v>43899</v>
      </c>
      <c r="C383" s="1">
        <v>21</v>
      </c>
      <c r="D383" t="s">
        <v>52</v>
      </c>
      <c r="F383" t="s">
        <v>434</v>
      </c>
      <c r="G383" t="s">
        <v>11</v>
      </c>
      <c r="I383" s="14" t="s">
        <v>479</v>
      </c>
      <c r="J383" s="14">
        <v>172</v>
      </c>
      <c r="K383" s="14" t="s">
        <v>88</v>
      </c>
      <c r="L383" s="14" t="s">
        <v>319</v>
      </c>
      <c r="M383" s="14" t="s">
        <v>319</v>
      </c>
      <c r="N383" s="14" t="s">
        <v>151</v>
      </c>
      <c r="O383" s="14" t="s">
        <v>122</v>
      </c>
      <c r="P383" s="14" t="s">
        <v>151</v>
      </c>
      <c r="Q383" s="14" t="s">
        <v>583</v>
      </c>
      <c r="R383" s="14"/>
    </row>
    <row r="384" spans="1:20" x14ac:dyDescent="0.35">
      <c r="A384" s="11">
        <v>43899</v>
      </c>
      <c r="B384" s="11">
        <v>43899</v>
      </c>
      <c r="C384" s="1">
        <v>21</v>
      </c>
      <c r="D384" t="s">
        <v>52</v>
      </c>
      <c r="F384" t="s">
        <v>434</v>
      </c>
      <c r="G384" t="s">
        <v>11</v>
      </c>
      <c r="I384" s="14" t="s">
        <v>479</v>
      </c>
      <c r="J384" s="14">
        <v>172</v>
      </c>
      <c r="K384" s="14" t="s">
        <v>89</v>
      </c>
      <c r="L384" s="14" t="s">
        <v>144</v>
      </c>
      <c r="M384" s="14" t="s">
        <v>607</v>
      </c>
      <c r="N384" s="14" t="s">
        <v>609</v>
      </c>
      <c r="O384" s="14" t="s">
        <v>121</v>
      </c>
      <c r="P384" s="14" t="s">
        <v>607</v>
      </c>
      <c r="Q384" s="14" t="s">
        <v>607</v>
      </c>
      <c r="R384" s="14"/>
    </row>
    <row r="385" spans="1:20" x14ac:dyDescent="0.35">
      <c r="A385" s="11">
        <v>43899</v>
      </c>
      <c r="B385" s="11">
        <v>43899</v>
      </c>
      <c r="C385" s="1">
        <v>21</v>
      </c>
      <c r="D385" t="s">
        <v>52</v>
      </c>
      <c r="F385" t="s">
        <v>434</v>
      </c>
      <c r="G385" t="s">
        <v>11</v>
      </c>
      <c r="I385" s="14" t="s">
        <v>479</v>
      </c>
      <c r="J385" s="14">
        <v>172</v>
      </c>
      <c r="K385" s="14" t="s">
        <v>90</v>
      </c>
      <c r="L385" s="14" t="s">
        <v>594</v>
      </c>
      <c r="M385" s="14" t="s">
        <v>93</v>
      </c>
      <c r="N385" s="14" t="s">
        <v>93</v>
      </c>
      <c r="O385" s="14" t="s">
        <v>601</v>
      </c>
      <c r="P385" s="14" t="s">
        <v>599</v>
      </c>
      <c r="Q385" s="14" t="s">
        <v>598</v>
      </c>
      <c r="R385" s="14"/>
    </row>
    <row r="386" spans="1:20" x14ac:dyDescent="0.35">
      <c r="A386" s="11">
        <f t="shared" ref="A386:A397" si="14">B386</f>
        <v>43841</v>
      </c>
      <c r="B386" s="8">
        <v>43841</v>
      </c>
      <c r="C386" s="1">
        <v>22</v>
      </c>
      <c r="D386" t="s">
        <v>52</v>
      </c>
      <c r="F386" t="s">
        <v>418</v>
      </c>
      <c r="G386" t="s">
        <v>75</v>
      </c>
      <c r="I386" t="s">
        <v>6</v>
      </c>
      <c r="J386">
        <v>94</v>
      </c>
      <c r="K386" t="s">
        <v>88</v>
      </c>
      <c r="L386" t="s">
        <v>319</v>
      </c>
      <c r="M386" t="s">
        <v>419</v>
      </c>
      <c r="N386" t="s">
        <v>420</v>
      </c>
      <c r="O386" t="s">
        <v>421</v>
      </c>
      <c r="P386" t="s">
        <v>422</v>
      </c>
      <c r="Q386" t="s">
        <v>409</v>
      </c>
      <c r="R386" t="s">
        <v>423</v>
      </c>
      <c r="S386" t="s">
        <v>424</v>
      </c>
      <c r="T386" t="s">
        <v>424</v>
      </c>
    </row>
    <row r="387" spans="1:20" x14ac:dyDescent="0.35">
      <c r="A387" s="11">
        <f t="shared" si="14"/>
        <v>43841</v>
      </c>
      <c r="B387" s="8">
        <f>B386</f>
        <v>43841</v>
      </c>
      <c r="C387" s="1">
        <v>22</v>
      </c>
      <c r="D387" t="s">
        <v>52</v>
      </c>
      <c r="F387" t="s">
        <v>418</v>
      </c>
      <c r="G387" t="s">
        <v>75</v>
      </c>
      <c r="I387" t="s">
        <v>6</v>
      </c>
      <c r="J387">
        <v>94</v>
      </c>
      <c r="K387" t="s">
        <v>89</v>
      </c>
      <c r="L387" t="s">
        <v>425</v>
      </c>
      <c r="M387" t="s">
        <v>136</v>
      </c>
      <c r="N387" t="s">
        <v>426</v>
      </c>
      <c r="O387" t="s">
        <v>427</v>
      </c>
      <c r="P387" t="s">
        <v>427</v>
      </c>
      <c r="Q387" t="s">
        <v>428</v>
      </c>
      <c r="R387" t="s">
        <v>116</v>
      </c>
      <c r="S387" t="s">
        <v>429</v>
      </c>
      <c r="T387" t="s">
        <v>429</v>
      </c>
    </row>
    <row r="388" spans="1:20" x14ac:dyDescent="0.35">
      <c r="A388" s="11">
        <f t="shared" si="14"/>
        <v>43841</v>
      </c>
      <c r="B388" s="8">
        <f>B387</f>
        <v>43841</v>
      </c>
      <c r="C388" s="1">
        <v>22</v>
      </c>
      <c r="D388" t="s">
        <v>52</v>
      </c>
      <c r="F388" t="s">
        <v>418</v>
      </c>
      <c r="G388" t="s">
        <v>75</v>
      </c>
      <c r="I388" t="s">
        <v>6</v>
      </c>
      <c r="J388">
        <v>94</v>
      </c>
      <c r="K388" t="s">
        <v>90</v>
      </c>
      <c r="L388" t="s">
        <v>414</v>
      </c>
      <c r="M388" t="s">
        <v>430</v>
      </c>
      <c r="N388" t="s">
        <v>431</v>
      </c>
      <c r="O388" t="s">
        <v>432</v>
      </c>
      <c r="P388" t="s">
        <v>93</v>
      </c>
      <c r="Q388" t="s">
        <v>433</v>
      </c>
      <c r="R388" t="s">
        <v>93</v>
      </c>
      <c r="S388" t="s">
        <v>93</v>
      </c>
      <c r="T388" t="s">
        <v>93</v>
      </c>
    </row>
    <row r="389" spans="1:20" x14ac:dyDescent="0.35">
      <c r="A389" s="11">
        <f t="shared" si="14"/>
        <v>43848</v>
      </c>
      <c r="B389" s="8">
        <v>43848</v>
      </c>
      <c r="C389" s="1">
        <v>22</v>
      </c>
      <c r="D389" t="s">
        <v>52</v>
      </c>
      <c r="F389" t="s">
        <v>418</v>
      </c>
      <c r="G389" t="s">
        <v>75</v>
      </c>
      <c r="I389" t="s">
        <v>479</v>
      </c>
      <c r="J389">
        <v>100</v>
      </c>
      <c r="K389" t="s">
        <v>88</v>
      </c>
      <c r="L389" t="s">
        <v>319</v>
      </c>
      <c r="M389" t="s">
        <v>500</v>
      </c>
      <c r="N389" t="s">
        <v>408</v>
      </c>
      <c r="O389" t="s">
        <v>408</v>
      </c>
      <c r="P389" t="s">
        <v>408</v>
      </c>
      <c r="Q389" t="s">
        <v>461</v>
      </c>
    </row>
    <row r="390" spans="1:20" x14ac:dyDescent="0.35">
      <c r="A390" s="11">
        <f t="shared" si="14"/>
        <v>43848</v>
      </c>
      <c r="B390" s="8">
        <v>43848</v>
      </c>
      <c r="C390" s="1">
        <v>22</v>
      </c>
      <c r="D390" t="s">
        <v>52</v>
      </c>
      <c r="F390" t="s">
        <v>418</v>
      </c>
      <c r="G390" t="s">
        <v>75</v>
      </c>
      <c r="I390" t="s">
        <v>479</v>
      </c>
      <c r="J390">
        <v>100</v>
      </c>
      <c r="K390" t="s">
        <v>89</v>
      </c>
      <c r="L390" t="s">
        <v>411</v>
      </c>
      <c r="M390" t="s">
        <v>501</v>
      </c>
      <c r="N390" t="s">
        <v>502</v>
      </c>
      <c r="O390" t="s">
        <v>419</v>
      </c>
      <c r="P390" t="s">
        <v>419</v>
      </c>
      <c r="Q390" t="s">
        <v>419</v>
      </c>
    </row>
    <row r="391" spans="1:20" x14ac:dyDescent="0.35">
      <c r="A391" s="11">
        <f t="shared" si="14"/>
        <v>43848</v>
      </c>
      <c r="B391" s="8">
        <v>43848</v>
      </c>
      <c r="C391" s="1">
        <v>22</v>
      </c>
      <c r="D391" t="s">
        <v>52</v>
      </c>
      <c r="F391" t="s">
        <v>418</v>
      </c>
      <c r="G391" t="s">
        <v>75</v>
      </c>
      <c r="I391" t="s">
        <v>479</v>
      </c>
      <c r="J391">
        <v>100</v>
      </c>
      <c r="K391" t="s">
        <v>90</v>
      </c>
      <c r="L391" t="s">
        <v>414</v>
      </c>
      <c r="M391" t="s">
        <v>503</v>
      </c>
      <c r="N391" t="s">
        <v>272</v>
      </c>
      <c r="O391" t="s">
        <v>439</v>
      </c>
      <c r="P391" t="s">
        <v>439</v>
      </c>
      <c r="Q391" t="s">
        <v>272</v>
      </c>
    </row>
    <row r="392" spans="1:20" x14ac:dyDescent="0.35">
      <c r="A392" s="11">
        <f t="shared" si="14"/>
        <v>43855</v>
      </c>
      <c r="B392" s="8">
        <v>43855</v>
      </c>
      <c r="C392" s="1">
        <v>22</v>
      </c>
      <c r="D392" t="s">
        <v>52</v>
      </c>
      <c r="F392" t="s">
        <v>418</v>
      </c>
      <c r="G392" t="s">
        <v>75</v>
      </c>
      <c r="I392" t="s">
        <v>479</v>
      </c>
      <c r="J392">
        <v>66</v>
      </c>
      <c r="K392" t="s">
        <v>88</v>
      </c>
      <c r="L392" t="s">
        <v>319</v>
      </c>
      <c r="M392" t="s">
        <v>521</v>
      </c>
      <c r="N392" t="s">
        <v>408</v>
      </c>
      <c r="O392" t="s">
        <v>408</v>
      </c>
      <c r="P392" t="s">
        <v>408</v>
      </c>
      <c r="Q392" t="s">
        <v>480</v>
      </c>
    </row>
    <row r="393" spans="1:20" x14ac:dyDescent="0.35">
      <c r="A393" s="11">
        <f t="shared" si="14"/>
        <v>43855</v>
      </c>
      <c r="B393" s="8">
        <v>43855</v>
      </c>
      <c r="C393" s="1">
        <v>22</v>
      </c>
      <c r="D393" t="s">
        <v>52</v>
      </c>
      <c r="F393" t="s">
        <v>418</v>
      </c>
      <c r="G393" t="s">
        <v>75</v>
      </c>
      <c r="I393" t="s">
        <v>479</v>
      </c>
      <c r="J393">
        <v>66</v>
      </c>
      <c r="K393" t="s">
        <v>89</v>
      </c>
      <c r="L393" t="s">
        <v>526</v>
      </c>
      <c r="M393" t="s">
        <v>544</v>
      </c>
      <c r="N393" t="s">
        <v>408</v>
      </c>
      <c r="O393" t="s">
        <v>408</v>
      </c>
      <c r="P393" t="s">
        <v>408</v>
      </c>
      <c r="Q393" t="s">
        <v>545</v>
      </c>
    </row>
    <row r="394" spans="1:20" x14ac:dyDescent="0.35">
      <c r="A394" s="11">
        <f t="shared" si="14"/>
        <v>43855</v>
      </c>
      <c r="B394" s="8">
        <v>43855</v>
      </c>
      <c r="C394" s="1">
        <v>22</v>
      </c>
      <c r="D394" t="s">
        <v>52</v>
      </c>
      <c r="F394" t="s">
        <v>418</v>
      </c>
      <c r="G394" t="s">
        <v>75</v>
      </c>
      <c r="I394" t="s">
        <v>479</v>
      </c>
      <c r="J394">
        <v>66</v>
      </c>
      <c r="K394" t="s">
        <v>90</v>
      </c>
      <c r="L394" t="s">
        <v>546</v>
      </c>
      <c r="M394" t="s">
        <v>530</v>
      </c>
      <c r="N394" t="s">
        <v>428</v>
      </c>
      <c r="O394" t="s">
        <v>428</v>
      </c>
      <c r="P394" t="s">
        <v>428</v>
      </c>
      <c r="Q394" t="s">
        <v>530</v>
      </c>
    </row>
    <row r="395" spans="1:20" x14ac:dyDescent="0.35">
      <c r="A395" s="11">
        <f t="shared" si="14"/>
        <v>43862</v>
      </c>
      <c r="B395" s="8">
        <v>43862</v>
      </c>
      <c r="C395" s="1">
        <v>22</v>
      </c>
      <c r="D395" t="s">
        <v>52</v>
      </c>
      <c r="F395" t="s">
        <v>418</v>
      </c>
      <c r="G395" t="s">
        <v>75</v>
      </c>
      <c r="I395" t="s">
        <v>479</v>
      </c>
      <c r="J395">
        <v>87</v>
      </c>
      <c r="K395" t="s">
        <v>88</v>
      </c>
      <c r="L395" t="s">
        <v>319</v>
      </c>
      <c r="M395" t="s">
        <v>408</v>
      </c>
      <c r="N395" t="s">
        <v>408</v>
      </c>
      <c r="O395" t="s">
        <v>408</v>
      </c>
      <c r="P395" t="s">
        <v>408</v>
      </c>
      <c r="Q395" t="s">
        <v>560</v>
      </c>
    </row>
    <row r="396" spans="1:20" x14ac:dyDescent="0.35">
      <c r="A396" s="11">
        <f t="shared" si="14"/>
        <v>43862</v>
      </c>
      <c r="B396" s="8">
        <v>43862</v>
      </c>
      <c r="C396" s="1">
        <v>22</v>
      </c>
      <c r="D396" t="s">
        <v>52</v>
      </c>
      <c r="F396" t="s">
        <v>418</v>
      </c>
      <c r="G396" t="s">
        <v>75</v>
      </c>
      <c r="I396" t="s">
        <v>479</v>
      </c>
      <c r="J396">
        <v>87</v>
      </c>
      <c r="K396" t="s">
        <v>89</v>
      </c>
      <c r="L396" t="s">
        <v>411</v>
      </c>
      <c r="M396" t="s">
        <v>408</v>
      </c>
      <c r="N396" t="s">
        <v>408</v>
      </c>
      <c r="O396" t="s">
        <v>408</v>
      </c>
      <c r="P396" t="s">
        <v>408</v>
      </c>
      <c r="Q396" t="s">
        <v>558</v>
      </c>
    </row>
    <row r="397" spans="1:20" x14ac:dyDescent="0.35">
      <c r="A397" s="11">
        <f t="shared" si="14"/>
        <v>43862</v>
      </c>
      <c r="B397" s="8">
        <v>43862</v>
      </c>
      <c r="C397" s="1">
        <v>22</v>
      </c>
      <c r="D397" t="s">
        <v>52</v>
      </c>
      <c r="F397" t="s">
        <v>418</v>
      </c>
      <c r="G397" t="s">
        <v>75</v>
      </c>
      <c r="I397" t="s">
        <v>479</v>
      </c>
      <c r="J397">
        <v>87</v>
      </c>
      <c r="K397" t="s">
        <v>90</v>
      </c>
      <c r="L397" t="s">
        <v>530</v>
      </c>
      <c r="M397" t="s">
        <v>556</v>
      </c>
      <c r="N397" t="s">
        <v>428</v>
      </c>
      <c r="O397" t="s">
        <v>427</v>
      </c>
      <c r="P397" t="s">
        <v>428</v>
      </c>
      <c r="Q397" t="s">
        <v>530</v>
      </c>
    </row>
    <row r="398" spans="1:20" x14ac:dyDescent="0.35">
      <c r="A398" s="11">
        <v>43869</v>
      </c>
      <c r="B398" s="11">
        <v>43869</v>
      </c>
      <c r="C398" s="1">
        <v>22</v>
      </c>
      <c r="D398" t="s">
        <v>52</v>
      </c>
      <c r="F398" t="s">
        <v>418</v>
      </c>
      <c r="G398" t="s">
        <v>75</v>
      </c>
      <c r="I398" t="s">
        <v>479</v>
      </c>
      <c r="J398">
        <v>195</v>
      </c>
      <c r="K398" t="s">
        <v>88</v>
      </c>
      <c r="L398" t="s">
        <v>615</v>
      </c>
      <c r="M398" t="s">
        <v>408</v>
      </c>
      <c r="N398" t="s">
        <v>408</v>
      </c>
      <c r="O398" t="s">
        <v>408</v>
      </c>
      <c r="P398" t="s">
        <v>621</v>
      </c>
      <c r="Q398" t="s">
        <v>495</v>
      </c>
    </row>
    <row r="399" spans="1:20" x14ac:dyDescent="0.35">
      <c r="A399" s="11">
        <v>43869</v>
      </c>
      <c r="B399" s="11">
        <v>43869</v>
      </c>
      <c r="C399" s="1">
        <v>22</v>
      </c>
      <c r="D399" t="s">
        <v>52</v>
      </c>
      <c r="F399" t="s">
        <v>418</v>
      </c>
      <c r="G399" t="s">
        <v>75</v>
      </c>
      <c r="I399" t="s">
        <v>479</v>
      </c>
      <c r="J399">
        <v>195</v>
      </c>
      <c r="K399" t="s">
        <v>89</v>
      </c>
      <c r="L399" t="s">
        <v>411</v>
      </c>
      <c r="M399" t="s">
        <v>638</v>
      </c>
      <c r="N399" t="s">
        <v>408</v>
      </c>
      <c r="O399" t="s">
        <v>490</v>
      </c>
      <c r="P399" t="s">
        <v>408</v>
      </c>
      <c r="Q399" t="s">
        <v>471</v>
      </c>
    </row>
    <row r="400" spans="1:20" x14ac:dyDescent="0.35">
      <c r="A400" s="11">
        <v>43869</v>
      </c>
      <c r="B400" s="11">
        <v>43869</v>
      </c>
      <c r="C400" s="1">
        <v>22</v>
      </c>
      <c r="D400" t="s">
        <v>52</v>
      </c>
      <c r="F400" t="s">
        <v>418</v>
      </c>
      <c r="G400" t="s">
        <v>75</v>
      </c>
      <c r="I400" t="s">
        <v>479</v>
      </c>
      <c r="J400">
        <v>195</v>
      </c>
      <c r="K400" t="s">
        <v>90</v>
      </c>
      <c r="L400" t="s">
        <v>546</v>
      </c>
      <c r="M400" t="s">
        <v>637</v>
      </c>
      <c r="N400" t="s">
        <v>617</v>
      </c>
      <c r="O400" t="s">
        <v>627</v>
      </c>
      <c r="P400" t="s">
        <v>622</v>
      </c>
      <c r="Q400" t="s">
        <v>617</v>
      </c>
      <c r="R400" s="14" t="s">
        <v>578</v>
      </c>
    </row>
    <row r="401" spans="1:20" x14ac:dyDescent="0.35">
      <c r="A401" s="11">
        <v>43876</v>
      </c>
      <c r="B401" s="11">
        <v>43876</v>
      </c>
      <c r="C401" s="1">
        <v>22</v>
      </c>
      <c r="D401" t="s">
        <v>52</v>
      </c>
      <c r="F401" t="s">
        <v>418</v>
      </c>
      <c r="G401" t="s">
        <v>75</v>
      </c>
      <c r="I401" t="s">
        <v>479</v>
      </c>
      <c r="J401">
        <v>124</v>
      </c>
      <c r="K401" t="s">
        <v>88</v>
      </c>
      <c r="L401" t="s">
        <v>615</v>
      </c>
      <c r="M401" t="s">
        <v>408</v>
      </c>
      <c r="N401" t="s">
        <v>408</v>
      </c>
      <c r="O401" t="s">
        <v>408</v>
      </c>
      <c r="P401" t="s">
        <v>621</v>
      </c>
      <c r="Q401" t="s">
        <v>408</v>
      </c>
    </row>
    <row r="402" spans="1:20" x14ac:dyDescent="0.35">
      <c r="A402" s="11">
        <v>43876</v>
      </c>
      <c r="B402" s="11">
        <v>43876</v>
      </c>
      <c r="C402" s="1">
        <v>22</v>
      </c>
      <c r="D402" t="s">
        <v>52</v>
      </c>
      <c r="F402" t="s">
        <v>418</v>
      </c>
      <c r="G402" t="s">
        <v>75</v>
      </c>
      <c r="I402" t="s">
        <v>479</v>
      </c>
      <c r="J402">
        <v>124</v>
      </c>
      <c r="K402" t="s">
        <v>89</v>
      </c>
      <c r="L402" t="s">
        <v>411</v>
      </c>
      <c r="M402" t="s">
        <v>628</v>
      </c>
      <c r="N402" t="s">
        <v>617</v>
      </c>
      <c r="O402" t="s">
        <v>628</v>
      </c>
      <c r="P402" t="s">
        <v>622</v>
      </c>
      <c r="Q402" t="s">
        <v>617</v>
      </c>
    </row>
    <row r="403" spans="1:20" x14ac:dyDescent="0.35">
      <c r="A403" s="11">
        <v>43876</v>
      </c>
      <c r="B403" s="11">
        <v>43876</v>
      </c>
      <c r="C403" s="1">
        <v>22</v>
      </c>
      <c r="D403" t="s">
        <v>52</v>
      </c>
      <c r="F403" t="s">
        <v>418</v>
      </c>
      <c r="G403" t="s">
        <v>75</v>
      </c>
      <c r="I403" t="s">
        <v>479</v>
      </c>
      <c r="J403">
        <v>124</v>
      </c>
      <c r="K403" t="s">
        <v>90</v>
      </c>
      <c r="L403" t="s">
        <v>546</v>
      </c>
      <c r="M403" t="s">
        <v>408</v>
      </c>
      <c r="N403" t="s">
        <v>408</v>
      </c>
      <c r="O403" t="s">
        <v>627</v>
      </c>
      <c r="P403" t="s">
        <v>627</v>
      </c>
      <c r="Q403" t="s">
        <v>627</v>
      </c>
    </row>
    <row r="404" spans="1:20" x14ac:dyDescent="0.35">
      <c r="A404" s="11">
        <v>43885</v>
      </c>
      <c r="B404" s="11">
        <v>43885</v>
      </c>
      <c r="C404" s="1">
        <v>22</v>
      </c>
      <c r="D404" t="s">
        <v>52</v>
      </c>
      <c r="F404" t="s">
        <v>418</v>
      </c>
      <c r="G404" t="s">
        <v>75</v>
      </c>
      <c r="I404" t="s">
        <v>479</v>
      </c>
      <c r="J404">
        <v>113</v>
      </c>
      <c r="K404" s="14" t="s">
        <v>88</v>
      </c>
      <c r="L404" s="14" t="s">
        <v>122</v>
      </c>
      <c r="M404" s="14" t="s">
        <v>154</v>
      </c>
      <c r="N404" s="14" t="s">
        <v>137</v>
      </c>
      <c r="O404" s="14" t="s">
        <v>154</v>
      </c>
      <c r="P404" s="14" t="s">
        <v>151</v>
      </c>
      <c r="Q404" s="14" t="s">
        <v>583</v>
      </c>
      <c r="R404" s="14"/>
    </row>
    <row r="405" spans="1:20" x14ac:dyDescent="0.35">
      <c r="A405" s="11">
        <v>43885</v>
      </c>
      <c r="B405" s="11">
        <v>43885</v>
      </c>
      <c r="C405" s="1">
        <v>22</v>
      </c>
      <c r="D405" t="s">
        <v>52</v>
      </c>
      <c r="F405" t="s">
        <v>418</v>
      </c>
      <c r="G405" t="s">
        <v>75</v>
      </c>
      <c r="I405" t="s">
        <v>479</v>
      </c>
      <c r="J405">
        <v>113</v>
      </c>
      <c r="K405" s="14" t="s">
        <v>89</v>
      </c>
      <c r="L405" s="14" t="s">
        <v>144</v>
      </c>
      <c r="M405" s="14" t="s">
        <v>607</v>
      </c>
      <c r="N405" s="14" t="s">
        <v>588</v>
      </c>
      <c r="O405" s="14" t="s">
        <v>607</v>
      </c>
      <c r="P405" s="14" t="s">
        <v>607</v>
      </c>
      <c r="Q405" s="14" t="s">
        <v>607</v>
      </c>
      <c r="R405" s="14"/>
    </row>
    <row r="406" spans="1:20" x14ac:dyDescent="0.35">
      <c r="A406" s="11">
        <v>43885</v>
      </c>
      <c r="B406" s="11">
        <v>43885</v>
      </c>
      <c r="C406" s="1">
        <v>22</v>
      </c>
      <c r="D406" t="s">
        <v>52</v>
      </c>
      <c r="F406" t="s">
        <v>418</v>
      </c>
      <c r="G406" t="s">
        <v>75</v>
      </c>
      <c r="I406" t="s">
        <v>479</v>
      </c>
      <c r="J406">
        <v>113</v>
      </c>
      <c r="K406" s="14" t="s">
        <v>90</v>
      </c>
      <c r="L406" s="14" t="s">
        <v>594</v>
      </c>
      <c r="M406" s="14" t="s">
        <v>93</v>
      </c>
      <c r="N406" s="14" t="s">
        <v>602</v>
      </c>
      <c r="O406" s="14" t="s">
        <v>93</v>
      </c>
      <c r="P406" s="14" t="s">
        <v>93</v>
      </c>
      <c r="Q406" s="14" t="s">
        <v>598</v>
      </c>
      <c r="R406" s="14"/>
    </row>
    <row r="407" spans="1:20" x14ac:dyDescent="0.35">
      <c r="A407" s="11">
        <v>43892</v>
      </c>
      <c r="B407" s="11">
        <v>43892</v>
      </c>
      <c r="C407" s="1">
        <v>22</v>
      </c>
      <c r="D407" t="s">
        <v>52</v>
      </c>
      <c r="F407" t="s">
        <v>418</v>
      </c>
      <c r="G407" t="s">
        <v>11</v>
      </c>
      <c r="I407" s="14" t="s">
        <v>479</v>
      </c>
      <c r="J407" s="14">
        <v>106</v>
      </c>
      <c r="K407" s="14" t="s">
        <v>88</v>
      </c>
      <c r="L407" s="14" t="s">
        <v>319</v>
      </c>
      <c r="M407" s="14" t="s">
        <v>154</v>
      </c>
      <c r="N407" s="14" t="s">
        <v>576</v>
      </c>
      <c r="O407" s="14" t="s">
        <v>122</v>
      </c>
      <c r="P407" s="14" t="s">
        <v>151</v>
      </c>
      <c r="Q407" s="14" t="s">
        <v>583</v>
      </c>
      <c r="R407" s="14"/>
    </row>
    <row r="408" spans="1:20" x14ac:dyDescent="0.35">
      <c r="A408" s="11">
        <v>43892</v>
      </c>
      <c r="B408" s="11">
        <v>43892</v>
      </c>
      <c r="C408" s="1">
        <v>22</v>
      </c>
      <c r="D408" t="s">
        <v>52</v>
      </c>
      <c r="F408" t="s">
        <v>418</v>
      </c>
      <c r="G408" t="s">
        <v>11</v>
      </c>
      <c r="I408" s="14" t="s">
        <v>479</v>
      </c>
      <c r="J408" s="14">
        <v>106</v>
      </c>
      <c r="K408" s="14" t="s">
        <v>89</v>
      </c>
      <c r="L408" s="14" t="s">
        <v>144</v>
      </c>
      <c r="M408" s="14" t="s">
        <v>607</v>
      </c>
      <c r="N408" s="14" t="s">
        <v>586</v>
      </c>
      <c r="O408" s="14" t="s">
        <v>121</v>
      </c>
      <c r="P408" s="14" t="s">
        <v>606</v>
      </c>
      <c r="Q408" s="14" t="s">
        <v>607</v>
      </c>
      <c r="R408" s="14"/>
    </row>
    <row r="409" spans="1:20" x14ac:dyDescent="0.35">
      <c r="A409" s="11">
        <v>43892</v>
      </c>
      <c r="B409" s="11">
        <v>43892</v>
      </c>
      <c r="C409" s="1">
        <v>22</v>
      </c>
      <c r="D409" t="s">
        <v>52</v>
      </c>
      <c r="F409" t="s">
        <v>418</v>
      </c>
      <c r="G409" t="s">
        <v>11</v>
      </c>
      <c r="I409" s="14" t="s">
        <v>479</v>
      </c>
      <c r="J409" s="14">
        <v>106</v>
      </c>
      <c r="K409" s="14" t="s">
        <v>90</v>
      </c>
      <c r="L409" s="14" t="s">
        <v>594</v>
      </c>
      <c r="M409" s="14" t="s">
        <v>599</v>
      </c>
      <c r="N409" s="14" t="s">
        <v>602</v>
      </c>
      <c r="O409" s="14" t="s">
        <v>601</v>
      </c>
      <c r="P409" s="14" t="s">
        <v>599</v>
      </c>
      <c r="Q409" s="14" t="s">
        <v>599</v>
      </c>
      <c r="R409" s="14"/>
    </row>
    <row r="410" spans="1:20" x14ac:dyDescent="0.35">
      <c r="A410" s="11">
        <v>43899</v>
      </c>
      <c r="B410" s="11">
        <v>43899</v>
      </c>
      <c r="C410" s="1">
        <v>22</v>
      </c>
      <c r="D410" t="s">
        <v>52</v>
      </c>
      <c r="F410" t="s">
        <v>418</v>
      </c>
      <c r="G410" t="s">
        <v>11</v>
      </c>
      <c r="I410" s="14" t="s">
        <v>479</v>
      </c>
      <c r="J410" s="14">
        <v>180</v>
      </c>
      <c r="K410" s="14" t="s">
        <v>88</v>
      </c>
      <c r="L410" s="14" t="s">
        <v>575</v>
      </c>
      <c r="M410" s="14" t="s">
        <v>154</v>
      </c>
      <c r="N410" s="14" t="s">
        <v>576</v>
      </c>
      <c r="O410" s="14" t="s">
        <v>122</v>
      </c>
      <c r="P410" s="14" t="s">
        <v>151</v>
      </c>
      <c r="Q410" s="14" t="s">
        <v>583</v>
      </c>
      <c r="R410" s="14"/>
    </row>
    <row r="411" spans="1:20" x14ac:dyDescent="0.35">
      <c r="A411" s="11">
        <v>43899</v>
      </c>
      <c r="B411" s="11">
        <v>43899</v>
      </c>
      <c r="C411" s="1">
        <v>22</v>
      </c>
      <c r="D411" t="s">
        <v>52</v>
      </c>
      <c r="F411" t="s">
        <v>418</v>
      </c>
      <c r="G411" t="s">
        <v>11</v>
      </c>
      <c r="I411" s="14" t="s">
        <v>479</v>
      </c>
      <c r="J411" s="14">
        <v>180</v>
      </c>
      <c r="K411" s="14" t="s">
        <v>89</v>
      </c>
      <c r="L411" s="14" t="s">
        <v>144</v>
      </c>
      <c r="M411" s="14" t="s">
        <v>607</v>
      </c>
      <c r="N411" s="14" t="s">
        <v>586</v>
      </c>
      <c r="O411" s="14" t="s">
        <v>121</v>
      </c>
      <c r="P411" s="14" t="s">
        <v>606</v>
      </c>
      <c r="Q411" s="14" t="s">
        <v>607</v>
      </c>
      <c r="R411" s="14"/>
    </row>
    <row r="412" spans="1:20" x14ac:dyDescent="0.35">
      <c r="A412" s="11">
        <v>43899</v>
      </c>
      <c r="B412" s="11">
        <v>43899</v>
      </c>
      <c r="C412" s="1">
        <v>22</v>
      </c>
      <c r="D412" t="s">
        <v>52</v>
      </c>
      <c r="F412" t="s">
        <v>418</v>
      </c>
      <c r="G412" t="s">
        <v>11</v>
      </c>
      <c r="I412" s="14" t="s">
        <v>479</v>
      </c>
      <c r="J412" s="14">
        <v>180</v>
      </c>
      <c r="K412" s="14" t="s">
        <v>90</v>
      </c>
      <c r="L412" s="14" t="s">
        <v>594</v>
      </c>
      <c r="M412" s="14" t="s">
        <v>599</v>
      </c>
      <c r="N412" s="14" t="s">
        <v>602</v>
      </c>
      <c r="O412" s="14" t="s">
        <v>601</v>
      </c>
      <c r="P412" s="14" t="s">
        <v>599</v>
      </c>
      <c r="Q412" s="14" t="s">
        <v>599</v>
      </c>
      <c r="R412" s="14"/>
    </row>
    <row r="413" spans="1:20" x14ac:dyDescent="0.35">
      <c r="A413" s="11">
        <f t="shared" ref="A413:A421" si="15">B413</f>
        <v>43841</v>
      </c>
      <c r="B413" s="8">
        <v>43841</v>
      </c>
      <c r="C413" s="1">
        <v>23</v>
      </c>
      <c r="D413" t="s">
        <v>52</v>
      </c>
      <c r="F413" t="s">
        <v>405</v>
      </c>
      <c r="G413" t="s">
        <v>75</v>
      </c>
      <c r="I413" t="s">
        <v>6</v>
      </c>
      <c r="J413">
        <v>97</v>
      </c>
      <c r="K413" t="s">
        <v>88</v>
      </c>
      <c r="L413" t="s">
        <v>319</v>
      </c>
      <c r="M413" t="s">
        <v>406</v>
      </c>
      <c r="N413" t="s">
        <v>407</v>
      </c>
      <c r="O413" t="s">
        <v>408</v>
      </c>
      <c r="P413" t="s">
        <v>200</v>
      </c>
      <c r="Q413" t="s">
        <v>409</v>
      </c>
      <c r="R413" t="s">
        <v>410</v>
      </c>
      <c r="S413" t="s">
        <v>408</v>
      </c>
      <c r="T413" t="s">
        <v>408</v>
      </c>
    </row>
    <row r="414" spans="1:20" x14ac:dyDescent="0.35">
      <c r="A414" s="11">
        <f t="shared" si="15"/>
        <v>43841</v>
      </c>
      <c r="B414" s="8">
        <f>B413</f>
        <v>43841</v>
      </c>
      <c r="C414" s="1">
        <v>23</v>
      </c>
      <c r="D414" t="s">
        <v>52</v>
      </c>
      <c r="F414" t="s">
        <v>405</v>
      </c>
      <c r="G414" t="s">
        <v>75</v>
      </c>
      <c r="I414" t="s">
        <v>6</v>
      </c>
      <c r="J414">
        <v>97</v>
      </c>
      <c r="K414" t="s">
        <v>89</v>
      </c>
      <c r="L414" t="s">
        <v>411</v>
      </c>
      <c r="M414" t="s">
        <v>136</v>
      </c>
      <c r="N414" t="s">
        <v>412</v>
      </c>
      <c r="O414" t="s">
        <v>136</v>
      </c>
      <c r="P414" t="s">
        <v>136</v>
      </c>
      <c r="Q414" t="s">
        <v>136</v>
      </c>
      <c r="R414" t="s">
        <v>413</v>
      </c>
      <c r="S414" t="s">
        <v>136</v>
      </c>
      <c r="T414" t="s">
        <v>136</v>
      </c>
    </row>
    <row r="415" spans="1:20" x14ac:dyDescent="0.35">
      <c r="A415" s="11">
        <f t="shared" si="15"/>
        <v>43841</v>
      </c>
      <c r="B415" s="8">
        <f>B414</f>
        <v>43841</v>
      </c>
      <c r="C415" s="1">
        <v>23</v>
      </c>
      <c r="D415" t="s">
        <v>52</v>
      </c>
      <c r="F415" t="s">
        <v>405</v>
      </c>
      <c r="G415" t="s">
        <v>75</v>
      </c>
      <c r="I415" t="s">
        <v>6</v>
      </c>
      <c r="J415">
        <v>97</v>
      </c>
      <c r="K415" t="s">
        <v>90</v>
      </c>
      <c r="L415" t="s">
        <v>414</v>
      </c>
      <c r="M415" t="s">
        <v>92</v>
      </c>
      <c r="N415" t="s">
        <v>415</v>
      </c>
      <c r="O415" t="s">
        <v>416</v>
      </c>
      <c r="P415" t="s">
        <v>272</v>
      </c>
      <c r="Q415" t="s">
        <v>272</v>
      </c>
      <c r="R415" t="s">
        <v>417</v>
      </c>
      <c r="S415" t="s">
        <v>272</v>
      </c>
      <c r="T415" t="s">
        <v>416</v>
      </c>
    </row>
    <row r="416" spans="1:20" x14ac:dyDescent="0.35">
      <c r="A416" s="11">
        <f t="shared" si="15"/>
        <v>43848</v>
      </c>
      <c r="B416" s="8">
        <v>43848</v>
      </c>
      <c r="C416" s="1">
        <v>23</v>
      </c>
      <c r="D416" t="s">
        <v>52</v>
      </c>
      <c r="F416" t="s">
        <v>405</v>
      </c>
      <c r="G416" t="s">
        <v>75</v>
      </c>
      <c r="I416" t="s">
        <v>479</v>
      </c>
      <c r="J416">
        <v>32</v>
      </c>
      <c r="K416" t="s">
        <v>88</v>
      </c>
      <c r="L416" t="s">
        <v>111</v>
      </c>
      <c r="M416" t="s">
        <v>497</v>
      </c>
      <c r="N416" t="s">
        <v>408</v>
      </c>
      <c r="O416" t="s">
        <v>498</v>
      </c>
      <c r="P416" t="s">
        <v>408</v>
      </c>
      <c r="Q416" t="s">
        <v>461</v>
      </c>
    </row>
    <row r="417" spans="1:18" x14ac:dyDescent="0.35">
      <c r="A417" s="11">
        <f t="shared" si="15"/>
        <v>43848</v>
      </c>
      <c r="B417" s="8">
        <v>43848</v>
      </c>
      <c r="C417" s="1">
        <v>23</v>
      </c>
      <c r="D417" t="s">
        <v>52</v>
      </c>
      <c r="F417" t="s">
        <v>405</v>
      </c>
      <c r="G417" t="s">
        <v>75</v>
      </c>
      <c r="I417" t="s">
        <v>479</v>
      </c>
      <c r="J417">
        <v>32</v>
      </c>
      <c r="K417" t="s">
        <v>89</v>
      </c>
      <c r="L417" t="s">
        <v>411</v>
      </c>
      <c r="M417" t="s">
        <v>499</v>
      </c>
      <c r="N417" t="s">
        <v>419</v>
      </c>
      <c r="O417" t="s">
        <v>419</v>
      </c>
      <c r="P417" t="s">
        <v>476</v>
      </c>
      <c r="Q417" t="s">
        <v>419</v>
      </c>
    </row>
    <row r="418" spans="1:18" x14ac:dyDescent="0.35">
      <c r="A418" s="11">
        <f t="shared" si="15"/>
        <v>43848</v>
      </c>
      <c r="B418" s="8">
        <v>43848</v>
      </c>
      <c r="C418" s="1">
        <v>23</v>
      </c>
      <c r="D418" t="s">
        <v>52</v>
      </c>
      <c r="F418" t="s">
        <v>405</v>
      </c>
      <c r="G418" t="s">
        <v>75</v>
      </c>
      <c r="I418" t="s">
        <v>479</v>
      </c>
      <c r="J418">
        <v>32</v>
      </c>
      <c r="K418" t="s">
        <v>90</v>
      </c>
      <c r="L418" t="s">
        <v>414</v>
      </c>
      <c r="M418" t="s">
        <v>448</v>
      </c>
      <c r="N418" t="s">
        <v>272</v>
      </c>
      <c r="O418" t="s">
        <v>272</v>
      </c>
      <c r="P418" t="s">
        <v>439</v>
      </c>
      <c r="Q418" t="s">
        <v>272</v>
      </c>
    </row>
    <row r="419" spans="1:18" x14ac:dyDescent="0.35">
      <c r="A419" s="11">
        <f t="shared" si="15"/>
        <v>43862</v>
      </c>
      <c r="B419" s="8">
        <v>43862</v>
      </c>
      <c r="C419" s="1">
        <v>23</v>
      </c>
      <c r="D419" t="s">
        <v>52</v>
      </c>
      <c r="F419" t="s">
        <v>405</v>
      </c>
      <c r="G419" t="s">
        <v>11</v>
      </c>
      <c r="I419" t="s">
        <v>479</v>
      </c>
      <c r="J419">
        <v>74</v>
      </c>
      <c r="K419" t="s">
        <v>88</v>
      </c>
      <c r="L419" t="s">
        <v>111</v>
      </c>
      <c r="M419" t="s">
        <v>408</v>
      </c>
      <c r="N419" t="s">
        <v>408</v>
      </c>
      <c r="O419" t="s">
        <v>408</v>
      </c>
      <c r="P419" t="s">
        <v>476</v>
      </c>
      <c r="Q419" t="s">
        <v>435</v>
      </c>
    </row>
    <row r="420" spans="1:18" x14ac:dyDescent="0.35">
      <c r="A420" s="11">
        <f t="shared" si="15"/>
        <v>43862</v>
      </c>
      <c r="B420" s="8">
        <v>43862</v>
      </c>
      <c r="C420" s="1">
        <v>23</v>
      </c>
      <c r="D420" t="s">
        <v>52</v>
      </c>
      <c r="F420" t="s">
        <v>405</v>
      </c>
      <c r="G420" t="s">
        <v>11</v>
      </c>
      <c r="I420" t="s">
        <v>479</v>
      </c>
      <c r="J420">
        <v>74</v>
      </c>
      <c r="K420" t="s">
        <v>89</v>
      </c>
      <c r="L420" t="s">
        <v>564</v>
      </c>
      <c r="M420" t="s">
        <v>547</v>
      </c>
      <c r="N420" t="s">
        <v>408</v>
      </c>
      <c r="O420" t="s">
        <v>408</v>
      </c>
      <c r="P420" t="s">
        <v>408</v>
      </c>
      <c r="Q420" t="s">
        <v>408</v>
      </c>
    </row>
    <row r="421" spans="1:18" x14ac:dyDescent="0.35">
      <c r="A421" s="11">
        <f t="shared" si="15"/>
        <v>43862</v>
      </c>
      <c r="B421" s="8">
        <v>43862</v>
      </c>
      <c r="C421" s="1">
        <v>23</v>
      </c>
      <c r="D421" t="s">
        <v>52</v>
      </c>
      <c r="F421" t="s">
        <v>405</v>
      </c>
      <c r="G421" t="s">
        <v>11</v>
      </c>
      <c r="I421" t="s">
        <v>479</v>
      </c>
      <c r="J421">
        <v>74</v>
      </c>
      <c r="K421" t="s">
        <v>90</v>
      </c>
      <c r="L421" t="s">
        <v>546</v>
      </c>
      <c r="M421" t="s">
        <v>428</v>
      </c>
      <c r="N421" t="s">
        <v>565</v>
      </c>
      <c r="O421" t="s">
        <v>428</v>
      </c>
      <c r="P421" t="s">
        <v>428</v>
      </c>
      <c r="Q421" t="s">
        <v>428</v>
      </c>
    </row>
    <row r="422" spans="1:18" x14ac:dyDescent="0.35">
      <c r="A422" s="11">
        <v>43869</v>
      </c>
      <c r="B422" s="11">
        <v>43869</v>
      </c>
      <c r="C422" s="1">
        <v>23</v>
      </c>
      <c r="D422" t="s">
        <v>52</v>
      </c>
      <c r="F422" t="s">
        <v>405</v>
      </c>
      <c r="G422" t="s">
        <v>75</v>
      </c>
      <c r="I422" t="s">
        <v>479</v>
      </c>
      <c r="J422">
        <v>197</v>
      </c>
      <c r="K422" t="s">
        <v>88</v>
      </c>
      <c r="L422" t="s">
        <v>615</v>
      </c>
      <c r="M422" t="s">
        <v>408</v>
      </c>
      <c r="N422" t="s">
        <v>408</v>
      </c>
      <c r="O422" t="s">
        <v>408</v>
      </c>
      <c r="P422" t="s">
        <v>621</v>
      </c>
      <c r="Q422" t="s">
        <v>471</v>
      </c>
      <c r="R422" s="14" t="s">
        <v>578</v>
      </c>
    </row>
    <row r="423" spans="1:18" x14ac:dyDescent="0.35">
      <c r="A423" s="11">
        <v>43869</v>
      </c>
      <c r="B423" s="11">
        <v>43869</v>
      </c>
      <c r="C423" s="1">
        <v>23</v>
      </c>
      <c r="D423" t="s">
        <v>52</v>
      </c>
      <c r="F423" t="s">
        <v>405</v>
      </c>
      <c r="G423" t="s">
        <v>75</v>
      </c>
      <c r="I423" t="s">
        <v>479</v>
      </c>
      <c r="J423">
        <v>197</v>
      </c>
      <c r="K423" t="s">
        <v>89</v>
      </c>
      <c r="L423" t="s">
        <v>411</v>
      </c>
      <c r="M423" t="s">
        <v>409</v>
      </c>
      <c r="N423" t="s">
        <v>639</v>
      </c>
      <c r="O423" t="s">
        <v>408</v>
      </c>
      <c r="P423" t="s">
        <v>408</v>
      </c>
      <c r="Q423" t="s">
        <v>408</v>
      </c>
      <c r="R423" s="14" t="s">
        <v>600</v>
      </c>
    </row>
    <row r="424" spans="1:18" x14ac:dyDescent="0.35">
      <c r="A424" s="11">
        <v>43869</v>
      </c>
      <c r="B424" s="11">
        <v>43869</v>
      </c>
      <c r="C424" s="1">
        <v>23</v>
      </c>
      <c r="D424" t="s">
        <v>52</v>
      </c>
      <c r="F424" t="s">
        <v>405</v>
      </c>
      <c r="G424" t="s">
        <v>75</v>
      </c>
      <c r="I424" t="s">
        <v>479</v>
      </c>
      <c r="J424">
        <v>197</v>
      </c>
      <c r="K424" t="s">
        <v>90</v>
      </c>
      <c r="L424" t="s">
        <v>546</v>
      </c>
      <c r="M424" t="s">
        <v>637</v>
      </c>
      <c r="N424" t="s">
        <v>617</v>
      </c>
      <c r="O424" t="s">
        <v>622</v>
      </c>
      <c r="P424" t="s">
        <v>622</v>
      </c>
      <c r="Q424" t="s">
        <v>617</v>
      </c>
    </row>
    <row r="425" spans="1:18" x14ac:dyDescent="0.35">
      <c r="A425" s="11">
        <v>43876</v>
      </c>
      <c r="B425" s="11">
        <v>43876</v>
      </c>
      <c r="C425" s="1">
        <v>23</v>
      </c>
      <c r="D425" t="s">
        <v>52</v>
      </c>
      <c r="F425" t="s">
        <v>405</v>
      </c>
      <c r="G425" t="s">
        <v>75</v>
      </c>
      <c r="I425" t="s">
        <v>479</v>
      </c>
      <c r="J425">
        <v>121</v>
      </c>
      <c r="K425" t="s">
        <v>88</v>
      </c>
      <c r="L425" t="s">
        <v>615</v>
      </c>
      <c r="M425" t="s">
        <v>408</v>
      </c>
      <c r="N425" t="s">
        <v>137</v>
      </c>
      <c r="O425" t="s">
        <v>563</v>
      </c>
      <c r="P425" t="s">
        <v>621</v>
      </c>
      <c r="Q425" t="s">
        <v>408</v>
      </c>
    </row>
    <row r="426" spans="1:18" x14ac:dyDescent="0.35">
      <c r="A426" s="11">
        <v>43876</v>
      </c>
      <c r="B426" s="11">
        <v>43876</v>
      </c>
      <c r="C426" s="1">
        <v>23</v>
      </c>
      <c r="D426" t="s">
        <v>52</v>
      </c>
      <c r="F426" t="s">
        <v>405</v>
      </c>
      <c r="G426" t="s">
        <v>75</v>
      </c>
      <c r="I426" t="s">
        <v>479</v>
      </c>
      <c r="J426">
        <v>121</v>
      </c>
      <c r="K426" t="s">
        <v>89</v>
      </c>
      <c r="L426" t="s">
        <v>526</v>
      </c>
      <c r="M426" t="s">
        <v>628</v>
      </c>
      <c r="N426" t="s">
        <v>690</v>
      </c>
      <c r="O426" t="s">
        <v>622</v>
      </c>
      <c r="P426" t="s">
        <v>622</v>
      </c>
      <c r="Q426" t="s">
        <v>617</v>
      </c>
    </row>
    <row r="427" spans="1:18" x14ac:dyDescent="0.35">
      <c r="A427" s="11">
        <v>43876</v>
      </c>
      <c r="B427" s="11">
        <v>43876</v>
      </c>
      <c r="C427" s="1">
        <v>23</v>
      </c>
      <c r="D427" t="s">
        <v>52</v>
      </c>
      <c r="F427" t="s">
        <v>405</v>
      </c>
      <c r="G427" t="s">
        <v>75</v>
      </c>
      <c r="I427" t="s">
        <v>479</v>
      </c>
      <c r="J427">
        <v>121</v>
      </c>
      <c r="K427" t="s">
        <v>90</v>
      </c>
      <c r="L427" t="s">
        <v>546</v>
      </c>
      <c r="M427" t="s">
        <v>627</v>
      </c>
      <c r="N427" t="s">
        <v>681</v>
      </c>
      <c r="O427" t="s">
        <v>627</v>
      </c>
      <c r="P427" t="s">
        <v>627</v>
      </c>
      <c r="Q427" t="s">
        <v>627</v>
      </c>
    </row>
    <row r="428" spans="1:18" x14ac:dyDescent="0.35">
      <c r="A428" s="11">
        <v>43885</v>
      </c>
      <c r="B428" s="11">
        <v>43885</v>
      </c>
      <c r="C428" s="1">
        <v>23</v>
      </c>
      <c r="D428" t="s">
        <v>52</v>
      </c>
      <c r="F428" t="s">
        <v>405</v>
      </c>
      <c r="G428" t="s">
        <v>11</v>
      </c>
      <c r="I428" t="s">
        <v>479</v>
      </c>
      <c r="J428">
        <v>147</v>
      </c>
      <c r="K428" s="14" t="s">
        <v>88</v>
      </c>
      <c r="L428" s="14" t="s">
        <v>122</v>
      </c>
      <c r="M428" s="14" t="s">
        <v>319</v>
      </c>
      <c r="N428" s="14" t="s">
        <v>577</v>
      </c>
      <c r="O428" s="14" t="s">
        <v>154</v>
      </c>
      <c r="P428" s="14" t="s">
        <v>151</v>
      </c>
      <c r="Q428" s="14" t="s">
        <v>583</v>
      </c>
      <c r="R428" s="14"/>
    </row>
    <row r="429" spans="1:18" x14ac:dyDescent="0.35">
      <c r="A429" s="11">
        <v>43885</v>
      </c>
      <c r="B429" s="11">
        <v>43885</v>
      </c>
      <c r="C429" s="1">
        <v>23</v>
      </c>
      <c r="D429" t="s">
        <v>52</v>
      </c>
      <c r="F429" t="s">
        <v>405</v>
      </c>
      <c r="G429" t="s">
        <v>11</v>
      </c>
      <c r="I429" t="s">
        <v>479</v>
      </c>
      <c r="J429">
        <v>147</v>
      </c>
      <c r="K429" s="14" t="s">
        <v>89</v>
      </c>
      <c r="L429" s="14" t="s">
        <v>144</v>
      </c>
      <c r="M429" s="14" t="s">
        <v>607</v>
      </c>
      <c r="N429" s="14" t="s">
        <v>587</v>
      </c>
      <c r="O429" s="14" t="s">
        <v>607</v>
      </c>
      <c r="P429" s="14" t="s">
        <v>607</v>
      </c>
      <c r="Q429" s="14" t="s">
        <v>607</v>
      </c>
      <c r="R429" s="14"/>
    </row>
    <row r="430" spans="1:18" x14ac:dyDescent="0.35">
      <c r="A430" s="11">
        <v>43885</v>
      </c>
      <c r="B430" s="11">
        <v>43885</v>
      </c>
      <c r="C430" s="1">
        <v>23</v>
      </c>
      <c r="D430" t="s">
        <v>52</v>
      </c>
      <c r="F430" t="s">
        <v>405</v>
      </c>
      <c r="G430" t="s">
        <v>11</v>
      </c>
      <c r="I430" t="s">
        <v>479</v>
      </c>
      <c r="J430">
        <v>147</v>
      </c>
      <c r="K430" s="14" t="s">
        <v>90</v>
      </c>
      <c r="L430" s="14" t="s">
        <v>594</v>
      </c>
      <c r="M430" s="14" t="s">
        <v>93</v>
      </c>
      <c r="N430" s="14" t="s">
        <v>602</v>
      </c>
      <c r="O430" s="14" t="s">
        <v>93</v>
      </c>
      <c r="P430" s="14" t="s">
        <v>93</v>
      </c>
      <c r="Q430" s="14" t="s">
        <v>598</v>
      </c>
      <c r="R430" s="14"/>
    </row>
    <row r="431" spans="1:18" x14ac:dyDescent="0.35">
      <c r="A431" s="11">
        <v>43855</v>
      </c>
      <c r="B431" s="11">
        <v>43855</v>
      </c>
      <c r="C431" s="1">
        <v>23</v>
      </c>
      <c r="D431" t="s">
        <v>52</v>
      </c>
      <c r="F431" t="s">
        <v>405</v>
      </c>
      <c r="G431" t="s">
        <v>11</v>
      </c>
      <c r="I431" t="s">
        <v>479</v>
      </c>
      <c r="J431">
        <v>79</v>
      </c>
      <c r="K431" t="s">
        <v>88</v>
      </c>
      <c r="L431" t="s">
        <v>493</v>
      </c>
      <c r="M431" t="s">
        <v>408</v>
      </c>
      <c r="N431" t="s">
        <v>724</v>
      </c>
      <c r="O431" t="s">
        <v>563</v>
      </c>
      <c r="P431" t="s">
        <v>682</v>
      </c>
      <c r="Q431" t="s">
        <v>718</v>
      </c>
    </row>
    <row r="432" spans="1:18" x14ac:dyDescent="0.35">
      <c r="A432" s="11">
        <v>43855</v>
      </c>
      <c r="B432" s="11">
        <v>43855</v>
      </c>
      <c r="C432" s="1">
        <v>23</v>
      </c>
      <c r="D432" t="s">
        <v>52</v>
      </c>
      <c r="F432" t="s">
        <v>405</v>
      </c>
      <c r="G432" t="s">
        <v>11</v>
      </c>
      <c r="I432" t="s">
        <v>479</v>
      </c>
      <c r="J432">
        <v>79</v>
      </c>
      <c r="K432" t="s">
        <v>89</v>
      </c>
      <c r="L432" t="s">
        <v>526</v>
      </c>
      <c r="M432" t="s">
        <v>648</v>
      </c>
      <c r="N432" t="s">
        <v>699</v>
      </c>
      <c r="O432" t="s">
        <v>429</v>
      </c>
      <c r="P432" t="s">
        <v>698</v>
      </c>
      <c r="Q432" t="s">
        <v>710</v>
      </c>
    </row>
    <row r="433" spans="1:20" x14ac:dyDescent="0.35">
      <c r="A433" s="11">
        <v>43855</v>
      </c>
      <c r="B433" s="11">
        <v>43855</v>
      </c>
      <c r="C433" s="1">
        <v>23</v>
      </c>
      <c r="D433" t="s">
        <v>52</v>
      </c>
      <c r="F433" t="s">
        <v>405</v>
      </c>
      <c r="G433" t="s">
        <v>11</v>
      </c>
      <c r="I433" t="s">
        <v>479</v>
      </c>
      <c r="J433">
        <v>79</v>
      </c>
      <c r="K433" t="s">
        <v>90</v>
      </c>
      <c r="L433" t="s">
        <v>546</v>
      </c>
      <c r="M433" t="s">
        <v>565</v>
      </c>
      <c r="N433" t="s">
        <v>725</v>
      </c>
      <c r="O433" t="s">
        <v>433</v>
      </c>
      <c r="P433" t="s">
        <v>687</v>
      </c>
      <c r="Q433" t="s">
        <v>433</v>
      </c>
    </row>
    <row r="434" spans="1:20" x14ac:dyDescent="0.35">
      <c r="A434" s="11">
        <v>43892</v>
      </c>
      <c r="B434" s="11">
        <v>43892</v>
      </c>
      <c r="C434" s="1">
        <v>23</v>
      </c>
      <c r="D434" t="s">
        <v>52</v>
      </c>
      <c r="F434" t="s">
        <v>405</v>
      </c>
      <c r="G434" t="s">
        <v>11</v>
      </c>
      <c r="I434" s="14" t="s">
        <v>479</v>
      </c>
      <c r="J434" s="14">
        <v>104</v>
      </c>
      <c r="K434" s="14" t="s">
        <v>88</v>
      </c>
      <c r="L434" s="14" t="s">
        <v>575</v>
      </c>
      <c r="M434" s="14" t="s">
        <v>122</v>
      </c>
      <c r="N434" s="14" t="s">
        <v>576</v>
      </c>
      <c r="O434" s="14" t="s">
        <v>154</v>
      </c>
      <c r="P434" s="14" t="s">
        <v>151</v>
      </c>
      <c r="Q434" s="14" t="s">
        <v>584</v>
      </c>
      <c r="R434" s="14"/>
    </row>
    <row r="435" spans="1:20" x14ac:dyDescent="0.35">
      <c r="A435" s="11">
        <v>43892</v>
      </c>
      <c r="B435" s="11">
        <v>43892</v>
      </c>
      <c r="C435" s="1">
        <v>23</v>
      </c>
      <c r="D435" t="s">
        <v>52</v>
      </c>
      <c r="F435" t="s">
        <v>405</v>
      </c>
      <c r="G435" t="s">
        <v>11</v>
      </c>
      <c r="I435" s="14" t="s">
        <v>479</v>
      </c>
      <c r="J435" s="14">
        <v>104</v>
      </c>
      <c r="K435" s="14" t="s">
        <v>89</v>
      </c>
      <c r="L435" s="14" t="s">
        <v>144</v>
      </c>
      <c r="M435" s="14" t="s">
        <v>121</v>
      </c>
      <c r="N435" s="14" t="s">
        <v>586</v>
      </c>
      <c r="O435" s="14" t="s">
        <v>607</v>
      </c>
      <c r="P435" s="14" t="s">
        <v>607</v>
      </c>
      <c r="Q435" s="14" t="s">
        <v>591</v>
      </c>
      <c r="R435" s="14"/>
    </row>
    <row r="436" spans="1:20" x14ac:dyDescent="0.35">
      <c r="A436" s="11">
        <v>43892</v>
      </c>
      <c r="B436" s="11">
        <v>43892</v>
      </c>
      <c r="C436" s="1">
        <v>23</v>
      </c>
      <c r="D436" t="s">
        <v>52</v>
      </c>
      <c r="F436" t="s">
        <v>405</v>
      </c>
      <c r="G436" t="s">
        <v>11</v>
      </c>
      <c r="I436" s="14" t="s">
        <v>479</v>
      </c>
      <c r="J436" s="14">
        <v>104</v>
      </c>
      <c r="K436" s="14" t="s">
        <v>90</v>
      </c>
      <c r="L436" s="14" t="s">
        <v>594</v>
      </c>
      <c r="M436" s="14" t="s">
        <v>603</v>
      </c>
      <c r="N436" s="14" t="s">
        <v>602</v>
      </c>
      <c r="O436" s="14" t="s">
        <v>93</v>
      </c>
      <c r="P436" s="14" t="s">
        <v>599</v>
      </c>
      <c r="Q436" s="14" t="s">
        <v>596</v>
      </c>
      <c r="R436" s="14"/>
    </row>
    <row r="437" spans="1:20" x14ac:dyDescent="0.35">
      <c r="A437" s="11">
        <v>43899</v>
      </c>
      <c r="B437" s="11">
        <v>43899</v>
      </c>
      <c r="C437" s="1">
        <v>23</v>
      </c>
      <c r="D437" t="s">
        <v>52</v>
      </c>
      <c r="F437" t="s">
        <v>405</v>
      </c>
      <c r="G437" t="s">
        <v>11</v>
      </c>
      <c r="I437" s="14" t="s">
        <v>479</v>
      </c>
      <c r="J437" s="14">
        <v>152</v>
      </c>
      <c r="K437" s="14" t="s">
        <v>88</v>
      </c>
      <c r="L437" s="14" t="s">
        <v>319</v>
      </c>
      <c r="M437" s="14" t="s">
        <v>319</v>
      </c>
      <c r="N437" s="14" t="s">
        <v>151</v>
      </c>
      <c r="O437" s="14" t="s">
        <v>319</v>
      </c>
      <c r="P437" s="14" t="s">
        <v>151</v>
      </c>
      <c r="Q437" s="14" t="s">
        <v>583</v>
      </c>
      <c r="R437" s="14"/>
    </row>
    <row r="438" spans="1:20" x14ac:dyDescent="0.35">
      <c r="A438" s="11">
        <v>43899</v>
      </c>
      <c r="B438" s="11">
        <v>43899</v>
      </c>
      <c r="C438" s="1">
        <v>23</v>
      </c>
      <c r="D438" t="s">
        <v>52</v>
      </c>
      <c r="F438" t="s">
        <v>405</v>
      </c>
      <c r="G438" t="s">
        <v>11</v>
      </c>
      <c r="I438" s="14" t="s">
        <v>479</v>
      </c>
      <c r="J438" s="14">
        <v>152</v>
      </c>
      <c r="K438" s="14" t="s">
        <v>89</v>
      </c>
      <c r="L438" s="14" t="s">
        <v>144</v>
      </c>
      <c r="M438" s="14" t="s">
        <v>607</v>
      </c>
      <c r="N438" s="14" t="s">
        <v>609</v>
      </c>
      <c r="O438" s="14" t="s">
        <v>607</v>
      </c>
      <c r="P438" s="14" t="s">
        <v>607</v>
      </c>
      <c r="Q438" s="14" t="s">
        <v>607</v>
      </c>
      <c r="R438" s="14"/>
    </row>
    <row r="439" spans="1:20" x14ac:dyDescent="0.35">
      <c r="A439" s="11">
        <v>43899</v>
      </c>
      <c r="B439" s="11">
        <v>43899</v>
      </c>
      <c r="C439" s="1">
        <v>23</v>
      </c>
      <c r="D439" t="s">
        <v>52</v>
      </c>
      <c r="F439" t="s">
        <v>405</v>
      </c>
      <c r="G439" t="s">
        <v>11</v>
      </c>
      <c r="I439" s="14" t="s">
        <v>479</v>
      </c>
      <c r="J439" s="14">
        <v>152</v>
      </c>
      <c r="K439" s="14" t="s">
        <v>90</v>
      </c>
      <c r="L439" s="14" t="s">
        <v>594</v>
      </c>
      <c r="M439" s="14" t="s">
        <v>93</v>
      </c>
      <c r="N439" s="14" t="s">
        <v>93</v>
      </c>
      <c r="O439" s="14" t="s">
        <v>93</v>
      </c>
      <c r="P439" s="14" t="s">
        <v>599</v>
      </c>
      <c r="Q439" s="14" t="s">
        <v>598</v>
      </c>
      <c r="R439" s="14"/>
    </row>
    <row r="440" spans="1:20" x14ac:dyDescent="0.35">
      <c r="A440" s="15">
        <f t="shared" ref="A440:A445" si="16">DATE(VALUE(RIGHT(B440,4)), VALUE(MID(B440,4,1)), VALUE(LEFT(B440,2)))</f>
        <v>43853</v>
      </c>
      <c r="B440" s="8" t="s">
        <v>239</v>
      </c>
      <c r="C440" s="1">
        <v>24</v>
      </c>
      <c r="D440" s="16" t="s">
        <v>9</v>
      </c>
      <c r="E440" s="16"/>
      <c r="F440" t="s">
        <v>226</v>
      </c>
      <c r="G440" s="16" t="s">
        <v>75</v>
      </c>
      <c r="H440" s="16"/>
      <c r="I440" s="16" t="s">
        <v>6</v>
      </c>
      <c r="J440" s="16">
        <v>43</v>
      </c>
      <c r="K440" s="16" t="s">
        <v>88</v>
      </c>
      <c r="L440" s="16" t="s">
        <v>122</v>
      </c>
      <c r="M440" s="16" t="s">
        <v>122</v>
      </c>
      <c r="N440" s="16" t="s">
        <v>115</v>
      </c>
      <c r="O440" s="16" t="s">
        <v>122</v>
      </c>
      <c r="P440" s="16" t="s">
        <v>232</v>
      </c>
      <c r="Q440" s="16" t="s">
        <v>234</v>
      </c>
      <c r="R440" s="16" t="s">
        <v>237</v>
      </c>
      <c r="S440" s="16" t="s">
        <v>238</v>
      </c>
      <c r="T440" s="16" t="s">
        <v>154</v>
      </c>
    </row>
    <row r="441" spans="1:20" x14ac:dyDescent="0.35">
      <c r="A441" s="15">
        <f t="shared" si="16"/>
        <v>43853</v>
      </c>
      <c r="B441" s="8" t="str">
        <f>B440</f>
        <v>23/1/2020</v>
      </c>
      <c r="C441" s="1">
        <v>24</v>
      </c>
      <c r="D441" s="16" t="s">
        <v>9</v>
      </c>
      <c r="E441" s="16"/>
      <c r="F441" t="s">
        <v>226</v>
      </c>
      <c r="G441" s="16" t="s">
        <v>75</v>
      </c>
      <c r="H441" s="16"/>
      <c r="I441" s="16" t="s">
        <v>6</v>
      </c>
      <c r="J441" s="16">
        <v>43</v>
      </c>
      <c r="K441" s="16" t="s">
        <v>89</v>
      </c>
      <c r="L441" s="16" t="s">
        <v>229</v>
      </c>
      <c r="M441" s="16" t="s">
        <v>219</v>
      </c>
      <c r="N441" s="16" t="s">
        <v>230</v>
      </c>
      <c r="O441" s="16" t="s">
        <v>231</v>
      </c>
      <c r="P441" s="16" t="s">
        <v>233</v>
      </c>
      <c r="Q441" s="16" t="s">
        <v>235</v>
      </c>
      <c r="R441" s="16" t="s">
        <v>205</v>
      </c>
      <c r="S441" s="16" t="s">
        <v>241</v>
      </c>
      <c r="T441" s="16" t="s">
        <v>242</v>
      </c>
    </row>
    <row r="442" spans="1:20" x14ac:dyDescent="0.35">
      <c r="A442" s="15">
        <f t="shared" si="16"/>
        <v>43853</v>
      </c>
      <c r="B442" s="8" t="str">
        <f>B441</f>
        <v>23/1/2020</v>
      </c>
      <c r="C442" s="1">
        <v>24</v>
      </c>
      <c r="D442" s="16" t="s">
        <v>9</v>
      </c>
      <c r="E442" s="16"/>
      <c r="F442" t="s">
        <v>226</v>
      </c>
      <c r="G442" s="16" t="s">
        <v>75</v>
      </c>
      <c r="H442" s="16"/>
      <c r="I442" s="16" t="s">
        <v>236</v>
      </c>
      <c r="J442" s="16">
        <v>43</v>
      </c>
      <c r="K442" s="16" t="s">
        <v>90</v>
      </c>
      <c r="L442" s="16" t="s">
        <v>86</v>
      </c>
      <c r="M442" s="16" t="s">
        <v>106</v>
      </c>
      <c r="N442" s="16" t="s">
        <v>93</v>
      </c>
      <c r="O442" s="16" t="s">
        <v>106</v>
      </c>
      <c r="P442" s="16" t="s">
        <v>93</v>
      </c>
      <c r="Q442" s="16" t="s">
        <v>93</v>
      </c>
      <c r="R442" s="16" t="s">
        <v>93</v>
      </c>
      <c r="S442" s="16" t="s">
        <v>93</v>
      </c>
      <c r="T442" s="16" t="s">
        <v>93</v>
      </c>
    </row>
    <row r="443" spans="1:20" x14ac:dyDescent="0.35">
      <c r="A443" s="15">
        <f t="shared" si="16"/>
        <v>43861</v>
      </c>
      <c r="B443" s="8" t="s">
        <v>344</v>
      </c>
      <c r="C443" s="1">
        <v>24</v>
      </c>
      <c r="D443" s="16" t="s">
        <v>9</v>
      </c>
      <c r="E443" s="16"/>
      <c r="F443" t="s">
        <v>226</v>
      </c>
      <c r="G443" s="16" t="s">
        <v>75</v>
      </c>
      <c r="H443" s="16"/>
      <c r="I443" s="16" t="s">
        <v>217</v>
      </c>
      <c r="J443" s="16">
        <v>266</v>
      </c>
      <c r="K443" s="16" t="s">
        <v>88</v>
      </c>
      <c r="L443" s="16" t="s">
        <v>111</v>
      </c>
      <c r="M443" s="16" t="s">
        <v>122</v>
      </c>
      <c r="N443" s="16" t="s">
        <v>316</v>
      </c>
      <c r="O443" s="16" t="s">
        <v>147</v>
      </c>
      <c r="P443" s="16" t="s">
        <v>393</v>
      </c>
      <c r="Q443" s="16" t="s">
        <v>376</v>
      </c>
      <c r="R443" s="16" t="s">
        <v>395</v>
      </c>
      <c r="S443" s="16" t="s">
        <v>290</v>
      </c>
      <c r="T443" s="16" t="s">
        <v>397</v>
      </c>
    </row>
    <row r="444" spans="1:20" x14ac:dyDescent="0.35">
      <c r="A444" s="15">
        <f t="shared" si="16"/>
        <v>43861</v>
      </c>
      <c r="B444" s="8" t="str">
        <f>B443</f>
        <v>31/1/2020</v>
      </c>
      <c r="C444" s="1">
        <v>24</v>
      </c>
      <c r="D444" s="16" t="s">
        <v>9</v>
      </c>
      <c r="E444" s="16"/>
      <c r="F444" t="s">
        <v>226</v>
      </c>
      <c r="G444" s="16" t="s">
        <v>75</v>
      </c>
      <c r="H444" s="16"/>
      <c r="I444" s="16" t="s">
        <v>217</v>
      </c>
      <c r="J444" s="16">
        <v>266</v>
      </c>
      <c r="K444" s="16" t="s">
        <v>89</v>
      </c>
      <c r="L444" s="16" t="s">
        <v>144</v>
      </c>
      <c r="M444" s="16" t="s">
        <v>121</v>
      </c>
      <c r="N444" s="16" t="s">
        <v>95</v>
      </c>
      <c r="O444" s="16" t="s">
        <v>121</v>
      </c>
      <c r="P444" s="16" t="s">
        <v>116</v>
      </c>
      <c r="Q444" s="16" t="s">
        <v>394</v>
      </c>
      <c r="R444" s="16" t="s">
        <v>205</v>
      </c>
      <c r="S444" s="16" t="s">
        <v>396</v>
      </c>
      <c r="T444" s="16" t="s">
        <v>116</v>
      </c>
    </row>
    <row r="445" spans="1:20" x14ac:dyDescent="0.35">
      <c r="A445" s="15">
        <f t="shared" si="16"/>
        <v>43861</v>
      </c>
      <c r="B445" s="8" t="str">
        <f>B444</f>
        <v>31/1/2020</v>
      </c>
      <c r="C445" s="1">
        <v>24</v>
      </c>
      <c r="D445" s="16" t="s">
        <v>9</v>
      </c>
      <c r="E445" s="16"/>
      <c r="F445" t="s">
        <v>226</v>
      </c>
      <c r="G445" s="16" t="s">
        <v>75</v>
      </c>
      <c r="H445" s="16"/>
      <c r="I445" s="16" t="s">
        <v>217</v>
      </c>
      <c r="J445" s="16">
        <v>266</v>
      </c>
      <c r="K445" s="16" t="s">
        <v>90</v>
      </c>
      <c r="L445" s="16" t="s">
        <v>86</v>
      </c>
      <c r="M445" s="16" t="s">
        <v>106</v>
      </c>
      <c r="N445" s="16" t="s">
        <v>93</v>
      </c>
      <c r="O445" s="16" t="s">
        <v>390</v>
      </c>
      <c r="P445" s="16" t="s">
        <v>93</v>
      </c>
      <c r="Q445" s="16" t="s">
        <v>86</v>
      </c>
      <c r="R445" s="16" t="s">
        <v>93</v>
      </c>
      <c r="S445" s="16" t="s">
        <v>93</v>
      </c>
      <c r="T445" s="16" t="s">
        <v>93</v>
      </c>
    </row>
    <row r="446" spans="1:20" x14ac:dyDescent="0.35">
      <c r="A446" s="13">
        <v>43868</v>
      </c>
      <c r="B446" s="8">
        <v>43868</v>
      </c>
      <c r="C446" s="1">
        <v>24</v>
      </c>
      <c r="D446" t="s">
        <v>9</v>
      </c>
      <c r="F446" t="s">
        <v>226</v>
      </c>
      <c r="G446" t="s">
        <v>75</v>
      </c>
      <c r="I446" t="s">
        <v>479</v>
      </c>
      <c r="J446">
        <v>283</v>
      </c>
      <c r="K446" t="s">
        <v>88</v>
      </c>
      <c r="L446" t="s">
        <v>814</v>
      </c>
      <c r="M446" t="s">
        <v>393</v>
      </c>
      <c r="N446" t="s">
        <v>379</v>
      </c>
      <c r="O446" t="s">
        <v>245</v>
      </c>
      <c r="P446" t="s">
        <v>350</v>
      </c>
      <c r="Q446" t="s">
        <v>769</v>
      </c>
      <c r="R446" t="s">
        <v>150</v>
      </c>
      <c r="S446" t="s">
        <v>770</v>
      </c>
      <c r="T446" t="s">
        <v>815</v>
      </c>
    </row>
    <row r="447" spans="1:20" x14ac:dyDescent="0.35">
      <c r="A447" s="13">
        <v>43868</v>
      </c>
      <c r="B447" s="8">
        <v>43868</v>
      </c>
      <c r="C447" s="1">
        <v>24</v>
      </c>
      <c r="D447" t="s">
        <v>9</v>
      </c>
      <c r="F447" t="str">
        <f>F446</f>
        <v>Kuyiga Benard</v>
      </c>
      <c r="G447" t="s">
        <v>75</v>
      </c>
      <c r="I447" t="s">
        <v>479</v>
      </c>
      <c r="J447">
        <v>283</v>
      </c>
      <c r="K447" t="s">
        <v>89</v>
      </c>
      <c r="L447" t="s">
        <v>176</v>
      </c>
      <c r="M447" t="s">
        <v>816</v>
      </c>
      <c r="N447" t="s">
        <v>817</v>
      </c>
      <c r="O447" t="s">
        <v>818</v>
      </c>
      <c r="P447" t="s">
        <v>95</v>
      </c>
      <c r="Q447" t="s">
        <v>819</v>
      </c>
      <c r="R447" t="s">
        <v>747</v>
      </c>
      <c r="S447" t="s">
        <v>750</v>
      </c>
      <c r="T447" t="s">
        <v>820</v>
      </c>
    </row>
    <row r="448" spans="1:20" x14ac:dyDescent="0.35">
      <c r="A448" s="13">
        <v>43868</v>
      </c>
      <c r="B448" s="8">
        <v>43868</v>
      </c>
      <c r="C448" s="1">
        <v>24</v>
      </c>
      <c r="D448" t="s">
        <v>9</v>
      </c>
      <c r="F448" t="str">
        <f>F447</f>
        <v>Kuyiga Benard</v>
      </c>
      <c r="G448" t="s">
        <v>75</v>
      </c>
      <c r="I448" t="s">
        <v>479</v>
      </c>
      <c r="J448">
        <v>283</v>
      </c>
      <c r="K448" t="s">
        <v>90</v>
      </c>
      <c r="L448" t="s">
        <v>177</v>
      </c>
      <c r="M448" t="s">
        <v>93</v>
      </c>
      <c r="N448" t="s">
        <v>93</v>
      </c>
      <c r="O448" t="s">
        <v>390</v>
      </c>
      <c r="P448" t="s">
        <v>93</v>
      </c>
      <c r="Q448" t="s">
        <v>93</v>
      </c>
      <c r="R448" t="s">
        <v>752</v>
      </c>
      <c r="S448" t="s">
        <v>752</v>
      </c>
      <c r="T448" t="s">
        <v>752</v>
      </c>
    </row>
    <row r="449" spans="1:20" x14ac:dyDescent="0.35">
      <c r="A449" s="13">
        <v>43875</v>
      </c>
      <c r="B449" s="8">
        <v>43875</v>
      </c>
      <c r="C449" s="1">
        <f>VLOOKUP(F449,Motorcycles!$C$2:$L$35,10,0)</f>
        <v>24</v>
      </c>
      <c r="D449" t="s">
        <v>9</v>
      </c>
      <c r="F449" t="s">
        <v>226</v>
      </c>
      <c r="G449" t="s">
        <v>75</v>
      </c>
      <c r="I449" t="s">
        <v>479</v>
      </c>
      <c r="J449">
        <v>299</v>
      </c>
      <c r="K449" t="s">
        <v>88</v>
      </c>
      <c r="L449" t="s">
        <v>575</v>
      </c>
      <c r="M449" t="s">
        <v>122</v>
      </c>
      <c r="N449" t="s">
        <v>151</v>
      </c>
      <c r="O449" t="s">
        <v>319</v>
      </c>
      <c r="P449" t="s">
        <v>151</v>
      </c>
      <c r="Q449" t="s">
        <v>583</v>
      </c>
    </row>
    <row r="450" spans="1:20" x14ac:dyDescent="0.35">
      <c r="A450" s="13">
        <v>43875</v>
      </c>
      <c r="B450" s="8">
        <v>43875</v>
      </c>
      <c r="C450" s="1">
        <f>VLOOKUP(F450,Motorcycles!$C$2:$L$35,10,0)</f>
        <v>24</v>
      </c>
      <c r="D450" t="s">
        <v>9</v>
      </c>
      <c r="F450" t="str">
        <f>F449</f>
        <v>Kuyiga Benard</v>
      </c>
      <c r="G450" t="s">
        <v>75</v>
      </c>
      <c r="I450" t="s">
        <v>479</v>
      </c>
      <c r="J450">
        <v>299</v>
      </c>
      <c r="K450" t="s">
        <v>89</v>
      </c>
      <c r="L450" t="s">
        <v>144</v>
      </c>
      <c r="M450" t="s">
        <v>121</v>
      </c>
      <c r="N450" t="s">
        <v>609</v>
      </c>
      <c r="O450" t="s">
        <v>607</v>
      </c>
      <c r="P450" t="s">
        <v>607</v>
      </c>
      <c r="Q450" t="s">
        <v>607</v>
      </c>
    </row>
    <row r="451" spans="1:20" x14ac:dyDescent="0.35">
      <c r="A451" s="13">
        <v>43875</v>
      </c>
      <c r="B451" s="8">
        <v>43875</v>
      </c>
      <c r="C451" s="1">
        <f>VLOOKUP(F451,Motorcycles!$C$2:$L$35,10,0)</f>
        <v>24</v>
      </c>
      <c r="D451" t="s">
        <v>9</v>
      </c>
      <c r="F451" t="str">
        <f>F450</f>
        <v>Kuyiga Benard</v>
      </c>
      <c r="G451" t="s">
        <v>75</v>
      </c>
      <c r="I451" t="s">
        <v>479</v>
      </c>
      <c r="J451">
        <v>299</v>
      </c>
      <c r="K451" t="s">
        <v>90</v>
      </c>
      <c r="L451" t="s">
        <v>594</v>
      </c>
      <c r="M451" t="s">
        <v>603</v>
      </c>
      <c r="N451" t="s">
        <v>93</v>
      </c>
      <c r="O451" t="s">
        <v>93</v>
      </c>
      <c r="P451" t="s">
        <v>93</v>
      </c>
      <c r="Q451" t="s">
        <v>598</v>
      </c>
    </row>
    <row r="452" spans="1:20" x14ac:dyDescent="0.35">
      <c r="A452" s="11">
        <v>43898</v>
      </c>
      <c r="B452" s="11">
        <v>43898</v>
      </c>
      <c r="C452" s="1">
        <v>24</v>
      </c>
      <c r="D452" s="14" t="s">
        <v>9</v>
      </c>
      <c r="F452" t="s">
        <v>226</v>
      </c>
      <c r="G452" s="14" t="s">
        <v>75</v>
      </c>
      <c r="I452" s="14" t="s">
        <v>479</v>
      </c>
      <c r="J452" s="16">
        <v>202</v>
      </c>
      <c r="K452" s="14" t="s">
        <v>88</v>
      </c>
      <c r="L452" s="14" t="s">
        <v>122</v>
      </c>
      <c r="M452" s="14" t="s">
        <v>122</v>
      </c>
      <c r="N452" s="14" t="s">
        <v>151</v>
      </c>
      <c r="O452" s="14" t="s">
        <v>122</v>
      </c>
      <c r="P452" s="14" t="s">
        <v>151</v>
      </c>
      <c r="Q452" s="14" t="s">
        <v>583</v>
      </c>
      <c r="R452" s="14"/>
      <c r="S452" s="14"/>
    </row>
    <row r="453" spans="1:20" x14ac:dyDescent="0.35">
      <c r="A453" s="11">
        <v>43898</v>
      </c>
      <c r="B453" s="11">
        <v>43898</v>
      </c>
      <c r="C453" s="1">
        <v>24</v>
      </c>
      <c r="D453" s="14" t="s">
        <v>9</v>
      </c>
      <c r="F453" t="s">
        <v>226</v>
      </c>
      <c r="G453" s="14" t="s">
        <v>75</v>
      </c>
      <c r="I453" s="14" t="s">
        <v>479</v>
      </c>
      <c r="J453" s="16">
        <v>202</v>
      </c>
      <c r="K453" s="14" t="s">
        <v>89</v>
      </c>
      <c r="L453" s="14" t="s">
        <v>144</v>
      </c>
      <c r="M453" s="14" t="s">
        <v>121</v>
      </c>
      <c r="N453" s="14" t="s">
        <v>609</v>
      </c>
      <c r="O453" s="14" t="s">
        <v>121</v>
      </c>
      <c r="P453" s="14" t="s">
        <v>607</v>
      </c>
      <c r="Q453" s="14" t="s">
        <v>607</v>
      </c>
      <c r="R453" s="14"/>
      <c r="S453" s="14"/>
    </row>
    <row r="454" spans="1:20" x14ac:dyDescent="0.35">
      <c r="A454" s="11">
        <v>43898</v>
      </c>
      <c r="B454" s="11">
        <v>43898</v>
      </c>
      <c r="C454" s="1">
        <v>24</v>
      </c>
      <c r="D454" s="14" t="s">
        <v>9</v>
      </c>
      <c r="F454" t="s">
        <v>226</v>
      </c>
      <c r="G454" s="14" t="s">
        <v>75</v>
      </c>
      <c r="I454" s="14" t="s">
        <v>479</v>
      </c>
      <c r="J454" s="16">
        <v>202</v>
      </c>
      <c r="K454" s="14" t="s">
        <v>90</v>
      </c>
      <c r="L454" s="14" t="s">
        <v>594</v>
      </c>
      <c r="M454" s="14" t="s">
        <v>603</v>
      </c>
      <c r="N454" s="14" t="s">
        <v>93</v>
      </c>
      <c r="O454" s="14" t="s">
        <v>601</v>
      </c>
      <c r="P454" s="14" t="s">
        <v>93</v>
      </c>
      <c r="Q454" s="14" t="s">
        <v>598</v>
      </c>
      <c r="R454" s="14"/>
      <c r="S454" s="14"/>
    </row>
    <row r="455" spans="1:20" x14ac:dyDescent="0.35">
      <c r="A455" s="13">
        <f t="shared" ref="A455:A460" si="17">DATE(VALUE(RIGHT(B455,4)), VALUE(MID(B455,4,1)), VALUE(LEFT(B455,2)))</f>
        <v>43854</v>
      </c>
      <c r="B455" s="8" t="s">
        <v>269</v>
      </c>
      <c r="C455" s="1">
        <v>26</v>
      </c>
      <c r="D455" t="s">
        <v>9</v>
      </c>
      <c r="F455" t="s">
        <v>306</v>
      </c>
      <c r="G455" t="s">
        <v>75</v>
      </c>
      <c r="I455" t="s">
        <v>217</v>
      </c>
      <c r="J455">
        <v>45</v>
      </c>
      <c r="K455" t="s">
        <v>88</v>
      </c>
      <c r="L455" t="s">
        <v>122</v>
      </c>
      <c r="M455" t="s">
        <v>270</v>
      </c>
      <c r="N455" t="s">
        <v>245</v>
      </c>
      <c r="O455" t="s">
        <v>307</v>
      </c>
      <c r="P455" t="s">
        <v>270</v>
      </c>
      <c r="Q455" t="s">
        <v>178</v>
      </c>
    </row>
    <row r="456" spans="1:20" x14ac:dyDescent="0.35">
      <c r="A456" s="13">
        <f t="shared" si="17"/>
        <v>43854</v>
      </c>
      <c r="B456" s="8" t="str">
        <f>B455</f>
        <v>24/1/2020</v>
      </c>
      <c r="C456" s="1">
        <v>26</v>
      </c>
      <c r="D456" t="s">
        <v>9</v>
      </c>
      <c r="F456" t="s">
        <v>306</v>
      </c>
      <c r="G456" t="s">
        <v>75</v>
      </c>
      <c r="I456" t="s">
        <v>217</v>
      </c>
      <c r="J456">
        <v>45</v>
      </c>
      <c r="K456" t="s">
        <v>89</v>
      </c>
      <c r="L456" t="s">
        <v>144</v>
      </c>
      <c r="M456" t="s">
        <v>271</v>
      </c>
      <c r="N456" t="s">
        <v>99</v>
      </c>
      <c r="O456" t="s">
        <v>219</v>
      </c>
      <c r="P456" t="s">
        <v>308</v>
      </c>
      <c r="Q456" t="s">
        <v>144</v>
      </c>
    </row>
    <row r="457" spans="1:20" x14ac:dyDescent="0.35">
      <c r="A457" s="13">
        <f t="shared" si="17"/>
        <v>43854</v>
      </c>
      <c r="B457" s="8" t="str">
        <f>B456</f>
        <v>24/1/2020</v>
      </c>
      <c r="C457" s="1">
        <v>26</v>
      </c>
      <c r="D457" t="s">
        <v>9</v>
      </c>
      <c r="F457" t="s">
        <v>306</v>
      </c>
      <c r="G457" t="s">
        <v>75</v>
      </c>
      <c r="I457" t="s">
        <v>217</v>
      </c>
      <c r="J457">
        <v>45</v>
      </c>
      <c r="K457" t="s">
        <v>90</v>
      </c>
      <c r="L457" t="s">
        <v>86</v>
      </c>
      <c r="M457" t="s">
        <v>93</v>
      </c>
      <c r="N457" t="s">
        <v>93</v>
      </c>
      <c r="O457" t="s">
        <v>93</v>
      </c>
      <c r="P457" t="s">
        <v>93</v>
      </c>
      <c r="Q457" t="s">
        <v>86</v>
      </c>
    </row>
    <row r="458" spans="1:20" x14ac:dyDescent="0.35">
      <c r="A458" s="13">
        <f t="shared" si="17"/>
        <v>43861</v>
      </c>
      <c r="B458" s="8" t="s">
        <v>344</v>
      </c>
      <c r="C458" s="1">
        <v>26</v>
      </c>
      <c r="D458" t="s">
        <v>9</v>
      </c>
      <c r="F458" t="s">
        <v>306</v>
      </c>
      <c r="G458" t="s">
        <v>75</v>
      </c>
      <c r="I458" t="s">
        <v>217</v>
      </c>
      <c r="J458">
        <v>58</v>
      </c>
      <c r="K458" t="s">
        <v>88</v>
      </c>
      <c r="L458" t="s">
        <v>319</v>
      </c>
      <c r="M458" t="s">
        <v>290</v>
      </c>
      <c r="N458" t="s">
        <v>316</v>
      </c>
      <c r="O458" t="s">
        <v>147</v>
      </c>
      <c r="P458" t="s">
        <v>364</v>
      </c>
      <c r="Q458" t="s">
        <v>96</v>
      </c>
      <c r="R458" t="s">
        <v>290</v>
      </c>
      <c r="S458" t="s">
        <v>102</v>
      </c>
      <c r="T458" t="s">
        <v>200</v>
      </c>
    </row>
    <row r="459" spans="1:20" x14ac:dyDescent="0.35">
      <c r="A459" s="13">
        <f t="shared" si="17"/>
        <v>43861</v>
      </c>
      <c r="B459" s="8" t="str">
        <f>B458</f>
        <v>31/1/2020</v>
      </c>
      <c r="C459" s="1">
        <v>26</v>
      </c>
      <c r="D459" t="s">
        <v>9</v>
      </c>
      <c r="F459" t="s">
        <v>306</v>
      </c>
      <c r="G459" t="s">
        <v>75</v>
      </c>
      <c r="I459" t="s">
        <v>217</v>
      </c>
      <c r="J459">
        <v>58</v>
      </c>
      <c r="K459" t="s">
        <v>89</v>
      </c>
      <c r="L459" t="s">
        <v>362</v>
      </c>
      <c r="M459" t="s">
        <v>336</v>
      </c>
      <c r="N459" t="s">
        <v>95</v>
      </c>
      <c r="O459" t="s">
        <v>363</v>
      </c>
      <c r="P459" t="s">
        <v>336</v>
      </c>
      <c r="Q459" t="s">
        <v>365</v>
      </c>
      <c r="R459" t="s">
        <v>366</v>
      </c>
      <c r="S459" t="s">
        <v>116</v>
      </c>
      <c r="T459" t="s">
        <v>367</v>
      </c>
    </row>
    <row r="460" spans="1:20" x14ac:dyDescent="0.35">
      <c r="A460" s="13">
        <f t="shared" si="17"/>
        <v>43861</v>
      </c>
      <c r="B460" s="8" t="str">
        <f>B459</f>
        <v>31/1/2020</v>
      </c>
      <c r="C460" s="1">
        <v>26</v>
      </c>
      <c r="D460" t="s">
        <v>9</v>
      </c>
      <c r="F460" t="s">
        <v>306</v>
      </c>
      <c r="G460" t="s">
        <v>75</v>
      </c>
      <c r="I460" t="s">
        <v>217</v>
      </c>
      <c r="J460">
        <v>58</v>
      </c>
      <c r="K460" t="s">
        <v>90</v>
      </c>
      <c r="L460" t="s">
        <v>86</v>
      </c>
      <c r="M460" t="s">
        <v>93</v>
      </c>
      <c r="N460" t="s">
        <v>93</v>
      </c>
      <c r="O460" t="s">
        <v>93</v>
      </c>
      <c r="P460" t="s">
        <v>93</v>
      </c>
      <c r="Q460" t="s">
        <v>93</v>
      </c>
      <c r="R460" t="s">
        <v>93</v>
      </c>
      <c r="S460" t="s">
        <v>93</v>
      </c>
      <c r="T460" t="s">
        <v>93</v>
      </c>
    </row>
    <row r="461" spans="1:20" x14ac:dyDescent="0.35">
      <c r="A461" s="13">
        <v>43868</v>
      </c>
      <c r="B461" s="8">
        <v>43868</v>
      </c>
      <c r="C461" s="1">
        <v>26</v>
      </c>
      <c r="D461" t="s">
        <v>9</v>
      </c>
      <c r="F461" t="s">
        <v>829</v>
      </c>
      <c r="G461" t="s">
        <v>11</v>
      </c>
      <c r="I461" t="s">
        <v>479</v>
      </c>
      <c r="J461">
        <v>285</v>
      </c>
      <c r="K461" t="s">
        <v>88</v>
      </c>
      <c r="L461" t="s">
        <v>830</v>
      </c>
      <c r="M461" t="s">
        <v>766</v>
      </c>
      <c r="N461" t="s">
        <v>379</v>
      </c>
      <c r="O461" t="s">
        <v>831</v>
      </c>
      <c r="P461" t="s">
        <v>350</v>
      </c>
      <c r="Q461" t="s">
        <v>832</v>
      </c>
      <c r="R461" t="s">
        <v>150</v>
      </c>
      <c r="S461" t="s">
        <v>359</v>
      </c>
      <c r="T461" t="s">
        <v>290</v>
      </c>
    </row>
    <row r="462" spans="1:20" x14ac:dyDescent="0.35">
      <c r="A462" s="13">
        <v>43868</v>
      </c>
      <c r="B462" s="8">
        <v>43868</v>
      </c>
      <c r="C462" s="1">
        <v>26</v>
      </c>
      <c r="D462" t="s">
        <v>9</v>
      </c>
      <c r="F462" t="str">
        <f>F461</f>
        <v>wetuma charlse</v>
      </c>
      <c r="G462" t="s">
        <v>11</v>
      </c>
      <c r="I462" t="s">
        <v>479</v>
      </c>
      <c r="J462">
        <v>285</v>
      </c>
      <c r="K462" t="s">
        <v>89</v>
      </c>
      <c r="L462" t="s">
        <v>833</v>
      </c>
      <c r="M462" t="s">
        <v>116</v>
      </c>
      <c r="N462" t="s">
        <v>834</v>
      </c>
      <c r="O462" t="s">
        <v>170</v>
      </c>
      <c r="P462" t="s">
        <v>835</v>
      </c>
      <c r="Q462" t="s">
        <v>836</v>
      </c>
      <c r="R462" t="s">
        <v>95</v>
      </c>
      <c r="S462" t="s">
        <v>92</v>
      </c>
      <c r="T462" t="s">
        <v>116</v>
      </c>
    </row>
    <row r="463" spans="1:20" x14ac:dyDescent="0.35">
      <c r="A463" s="13">
        <v>43868</v>
      </c>
      <c r="B463" s="8">
        <v>43868</v>
      </c>
      <c r="C463" s="1">
        <v>26</v>
      </c>
      <c r="D463" t="s">
        <v>9</v>
      </c>
      <c r="F463" t="str">
        <f>F462</f>
        <v>wetuma charlse</v>
      </c>
      <c r="G463" t="s">
        <v>11</v>
      </c>
      <c r="I463" t="s">
        <v>479</v>
      </c>
      <c r="J463">
        <v>285</v>
      </c>
      <c r="K463" t="s">
        <v>90</v>
      </c>
      <c r="L463" t="s">
        <v>86</v>
      </c>
      <c r="M463" t="s">
        <v>93</v>
      </c>
      <c r="N463" t="s">
        <v>93</v>
      </c>
      <c r="O463" t="s">
        <v>171</v>
      </c>
      <c r="P463" t="s">
        <v>93</v>
      </c>
      <c r="Q463" t="s">
        <v>93</v>
      </c>
      <c r="R463" t="s">
        <v>837</v>
      </c>
      <c r="S463" t="s">
        <v>93</v>
      </c>
      <c r="T463" t="s">
        <v>93</v>
      </c>
    </row>
    <row r="464" spans="1:20" x14ac:dyDescent="0.35">
      <c r="A464" s="13">
        <v>43876</v>
      </c>
      <c r="B464" s="8">
        <v>43876</v>
      </c>
      <c r="C464" s="1">
        <f>VLOOKUP(F464,Motorcycles!$C$2:$L$35,10,0)</f>
        <v>26</v>
      </c>
      <c r="D464" t="s">
        <v>9</v>
      </c>
      <c r="F464" t="s">
        <v>844</v>
      </c>
      <c r="G464" t="s">
        <v>75</v>
      </c>
      <c r="I464" t="s">
        <v>479</v>
      </c>
      <c r="J464">
        <v>295</v>
      </c>
      <c r="K464" t="s">
        <v>88</v>
      </c>
      <c r="L464" t="s">
        <v>122</v>
      </c>
      <c r="M464" t="s">
        <v>319</v>
      </c>
      <c r="N464" t="s">
        <v>151</v>
      </c>
      <c r="O464" t="s">
        <v>319</v>
      </c>
      <c r="P464" t="s">
        <v>151</v>
      </c>
      <c r="Q464" t="s">
        <v>585</v>
      </c>
    </row>
    <row r="465" spans="1:20" x14ac:dyDescent="0.35">
      <c r="A465" s="13">
        <v>43876</v>
      </c>
      <c r="B465" s="8">
        <v>43876</v>
      </c>
      <c r="C465" s="1">
        <f>VLOOKUP(F465,Motorcycles!$C$2:$L$35,10,0)</f>
        <v>26</v>
      </c>
      <c r="D465" t="s">
        <v>9</v>
      </c>
      <c r="F465" t="str">
        <f>F464</f>
        <v>WETUMA CHARLES</v>
      </c>
      <c r="G465" t="s">
        <v>75</v>
      </c>
      <c r="I465" t="s">
        <v>479</v>
      </c>
      <c r="J465">
        <v>295</v>
      </c>
      <c r="K465" t="s">
        <v>89</v>
      </c>
      <c r="L465" t="s">
        <v>144</v>
      </c>
      <c r="M465" t="s">
        <v>607</v>
      </c>
      <c r="N465" t="s">
        <v>609</v>
      </c>
      <c r="O465" t="s">
        <v>607</v>
      </c>
      <c r="P465" t="s">
        <v>607</v>
      </c>
      <c r="Q465" t="s">
        <v>593</v>
      </c>
    </row>
    <row r="466" spans="1:20" x14ac:dyDescent="0.35">
      <c r="A466" s="13">
        <v>43876</v>
      </c>
      <c r="B466" s="8">
        <v>43876</v>
      </c>
      <c r="C466" s="1">
        <f>VLOOKUP(F466,Motorcycles!$C$2:$L$35,10,0)</f>
        <v>26</v>
      </c>
      <c r="D466" t="s">
        <v>9</v>
      </c>
      <c r="F466" t="str">
        <f>F465</f>
        <v>WETUMA CHARLES</v>
      </c>
      <c r="G466" t="s">
        <v>75</v>
      </c>
      <c r="I466" t="s">
        <v>479</v>
      </c>
      <c r="J466">
        <v>295</v>
      </c>
      <c r="K466" t="s">
        <v>90</v>
      </c>
      <c r="L466" t="s">
        <v>594</v>
      </c>
      <c r="M466" t="s">
        <v>93</v>
      </c>
      <c r="N466" t="s">
        <v>93</v>
      </c>
      <c r="O466" t="s">
        <v>93</v>
      </c>
      <c r="P466" t="s">
        <v>93</v>
      </c>
      <c r="Q466" t="s">
        <v>596</v>
      </c>
    </row>
    <row r="467" spans="1:20" x14ac:dyDescent="0.35">
      <c r="A467" s="11">
        <v>43883</v>
      </c>
      <c r="B467" s="11">
        <v>43883</v>
      </c>
      <c r="C467" s="1">
        <v>26</v>
      </c>
      <c r="D467" s="14" t="s">
        <v>9</v>
      </c>
      <c r="F467" t="s">
        <v>306</v>
      </c>
      <c r="G467" s="14" t="s">
        <v>75</v>
      </c>
      <c r="I467" s="14" t="s">
        <v>479</v>
      </c>
      <c r="J467" s="16">
        <v>221</v>
      </c>
      <c r="K467" s="14" t="s">
        <v>88</v>
      </c>
      <c r="L467" s="14" t="s">
        <v>319</v>
      </c>
      <c r="M467" s="14" t="s">
        <v>575</v>
      </c>
      <c r="N467" s="14" t="s">
        <v>151</v>
      </c>
      <c r="O467" s="14" t="s">
        <v>122</v>
      </c>
      <c r="P467" s="14" t="s">
        <v>151</v>
      </c>
      <c r="Q467" s="14" t="s">
        <v>583</v>
      </c>
      <c r="R467" s="14"/>
      <c r="S467" s="14"/>
    </row>
    <row r="468" spans="1:20" x14ac:dyDescent="0.35">
      <c r="A468" s="11">
        <v>43883</v>
      </c>
      <c r="B468" s="11">
        <v>43883</v>
      </c>
      <c r="C468" s="1">
        <v>26</v>
      </c>
      <c r="D468" s="14" t="s">
        <v>9</v>
      </c>
      <c r="F468" t="s">
        <v>306</v>
      </c>
      <c r="G468" s="14" t="s">
        <v>75</v>
      </c>
      <c r="I468" s="14" t="s">
        <v>479</v>
      </c>
      <c r="J468" s="16">
        <v>221</v>
      </c>
      <c r="K468" s="14" t="s">
        <v>89</v>
      </c>
      <c r="L468" s="14" t="s">
        <v>144</v>
      </c>
      <c r="M468" s="14" t="s">
        <v>121</v>
      </c>
      <c r="N468" s="14" t="s">
        <v>609</v>
      </c>
      <c r="O468" s="14" t="s">
        <v>605</v>
      </c>
      <c r="P468" s="14" t="s">
        <v>607</v>
      </c>
      <c r="Q468" s="14" t="s">
        <v>607</v>
      </c>
      <c r="R468" s="14"/>
      <c r="S468" s="14"/>
    </row>
    <row r="469" spans="1:20" x14ac:dyDescent="0.35">
      <c r="A469" s="11">
        <v>43883</v>
      </c>
      <c r="B469" s="11">
        <v>43883</v>
      </c>
      <c r="C469" s="1">
        <v>26</v>
      </c>
      <c r="D469" s="14" t="s">
        <v>9</v>
      </c>
      <c r="F469" t="s">
        <v>306</v>
      </c>
      <c r="G469" s="14" t="s">
        <v>75</v>
      </c>
      <c r="I469" s="14" t="s">
        <v>479</v>
      </c>
      <c r="J469" s="16">
        <v>221</v>
      </c>
      <c r="K469" s="14" t="s">
        <v>90</v>
      </c>
      <c r="L469" s="14" t="s">
        <v>594</v>
      </c>
      <c r="M469" s="14" t="s">
        <v>603</v>
      </c>
      <c r="N469" s="14" t="s">
        <v>93</v>
      </c>
      <c r="O469" s="14" t="s">
        <v>601</v>
      </c>
      <c r="P469" s="14" t="s">
        <v>93</v>
      </c>
      <c r="Q469" s="14" t="s">
        <v>598</v>
      </c>
      <c r="R469" s="14"/>
      <c r="S469" s="14"/>
    </row>
    <row r="470" spans="1:20" x14ac:dyDescent="0.35">
      <c r="A470" s="11">
        <v>43892</v>
      </c>
      <c r="B470" s="11">
        <v>43892</v>
      </c>
      <c r="C470" s="1">
        <v>26</v>
      </c>
      <c r="D470" s="14" t="s">
        <v>9</v>
      </c>
      <c r="F470" t="s">
        <v>306</v>
      </c>
      <c r="G470" s="14" t="s">
        <v>75</v>
      </c>
      <c r="I470" s="14" t="s">
        <v>479</v>
      </c>
      <c r="J470" s="16">
        <v>203</v>
      </c>
      <c r="K470" s="14" t="s">
        <v>88</v>
      </c>
      <c r="L470" s="14" t="s">
        <v>122</v>
      </c>
      <c r="M470" s="14" t="s">
        <v>319</v>
      </c>
      <c r="N470" s="14" t="s">
        <v>151</v>
      </c>
      <c r="O470" s="14" t="s">
        <v>319</v>
      </c>
      <c r="P470" s="14" t="s">
        <v>151</v>
      </c>
      <c r="Q470" s="14" t="s">
        <v>583</v>
      </c>
      <c r="R470" s="14"/>
      <c r="S470" s="14"/>
    </row>
    <row r="471" spans="1:20" x14ac:dyDescent="0.35">
      <c r="A471" s="11">
        <v>43892</v>
      </c>
      <c r="B471" s="11">
        <v>43892</v>
      </c>
      <c r="C471" s="1">
        <v>26</v>
      </c>
      <c r="D471" s="14" t="s">
        <v>9</v>
      </c>
      <c r="F471" t="s">
        <v>306</v>
      </c>
      <c r="G471" s="14" t="s">
        <v>75</v>
      </c>
      <c r="I471" s="14" t="s">
        <v>479</v>
      </c>
      <c r="J471" s="16">
        <v>203</v>
      </c>
      <c r="K471" s="14" t="s">
        <v>89</v>
      </c>
      <c r="L471" s="14" t="s">
        <v>144</v>
      </c>
      <c r="M471" s="14" t="s">
        <v>607</v>
      </c>
      <c r="N471" s="14" t="s">
        <v>609</v>
      </c>
      <c r="O471" s="14" t="s">
        <v>604</v>
      </c>
      <c r="P471" s="14" t="s">
        <v>607</v>
      </c>
      <c r="Q471" s="14" t="s">
        <v>607</v>
      </c>
      <c r="R471" s="14"/>
      <c r="S471" s="14"/>
    </row>
    <row r="472" spans="1:20" x14ac:dyDescent="0.35">
      <c r="A472" s="11">
        <v>43892</v>
      </c>
      <c r="B472" s="11">
        <v>43892</v>
      </c>
      <c r="C472" s="1">
        <v>26</v>
      </c>
      <c r="D472" s="14" t="s">
        <v>9</v>
      </c>
      <c r="F472" t="s">
        <v>306</v>
      </c>
      <c r="G472" s="14" t="s">
        <v>75</v>
      </c>
      <c r="I472" s="14" t="s">
        <v>479</v>
      </c>
      <c r="J472" s="16">
        <v>203</v>
      </c>
      <c r="K472" s="14" t="s">
        <v>90</v>
      </c>
      <c r="L472" s="14" t="s">
        <v>594</v>
      </c>
      <c r="M472" s="14" t="s">
        <v>599</v>
      </c>
      <c r="N472" s="14" t="s">
        <v>599</v>
      </c>
      <c r="O472" s="14" t="s">
        <v>93</v>
      </c>
      <c r="P472" s="14" t="s">
        <v>93</v>
      </c>
      <c r="Q472" s="14" t="s">
        <v>598</v>
      </c>
      <c r="R472" s="14"/>
      <c r="S472" s="14"/>
    </row>
    <row r="473" spans="1:20" x14ac:dyDescent="0.35">
      <c r="A473" s="13">
        <f t="shared" ref="A473:A481" si="18">DATE(VALUE(RIGHT(B473,4)), VALUE(MID(B473,4,1)), VALUE(LEFT(B473,2)))</f>
        <v>43847</v>
      </c>
      <c r="B473" s="8" t="s">
        <v>337</v>
      </c>
      <c r="C473" s="1">
        <v>27</v>
      </c>
      <c r="D473" t="s">
        <v>9</v>
      </c>
      <c r="F473" t="s">
        <v>322</v>
      </c>
      <c r="G473" t="s">
        <v>75</v>
      </c>
      <c r="I473" t="s">
        <v>217</v>
      </c>
      <c r="J473">
        <v>24</v>
      </c>
      <c r="K473" t="s">
        <v>88</v>
      </c>
      <c r="L473" t="s">
        <v>122</v>
      </c>
      <c r="M473" t="s">
        <v>122</v>
      </c>
      <c r="N473" t="s">
        <v>265</v>
      </c>
      <c r="O473" t="s">
        <v>340</v>
      </c>
      <c r="P473" t="s">
        <v>162</v>
      </c>
      <c r="Q473" t="s">
        <v>341</v>
      </c>
    </row>
    <row r="474" spans="1:20" x14ac:dyDescent="0.35">
      <c r="A474" s="13">
        <f t="shared" si="18"/>
        <v>43847</v>
      </c>
      <c r="B474" s="8" t="str">
        <f>B473</f>
        <v>17/1/2020</v>
      </c>
      <c r="C474" s="1">
        <v>27</v>
      </c>
      <c r="D474" t="s">
        <v>9</v>
      </c>
      <c r="F474" t="s">
        <v>322</v>
      </c>
      <c r="G474" t="s">
        <v>75</v>
      </c>
      <c r="I474" t="s">
        <v>217</v>
      </c>
      <c r="J474">
        <v>24</v>
      </c>
      <c r="K474" t="s">
        <v>89</v>
      </c>
      <c r="L474" t="s">
        <v>314</v>
      </c>
      <c r="M474" t="s">
        <v>338</v>
      </c>
      <c r="N474" t="s">
        <v>339</v>
      </c>
      <c r="O474" t="s">
        <v>221</v>
      </c>
      <c r="P474" t="s">
        <v>336</v>
      </c>
      <c r="Q474" t="s">
        <v>342</v>
      </c>
    </row>
    <row r="475" spans="1:20" x14ac:dyDescent="0.35">
      <c r="A475" s="13">
        <f t="shared" si="18"/>
        <v>43847</v>
      </c>
      <c r="B475" s="8" t="str">
        <f>B474</f>
        <v>17/1/2020</v>
      </c>
      <c r="C475" s="1">
        <v>27</v>
      </c>
      <c r="D475" t="s">
        <v>9</v>
      </c>
      <c r="F475" t="s">
        <v>322</v>
      </c>
      <c r="G475" t="s">
        <v>75</v>
      </c>
      <c r="I475" t="s">
        <v>217</v>
      </c>
      <c r="J475">
        <v>24</v>
      </c>
      <c r="K475" t="s">
        <v>90</v>
      </c>
      <c r="L475" t="s">
        <v>86</v>
      </c>
      <c r="M475" t="s">
        <v>106</v>
      </c>
      <c r="N475" t="s">
        <v>93</v>
      </c>
      <c r="O475" t="s">
        <v>106</v>
      </c>
      <c r="P475" t="s">
        <v>93</v>
      </c>
    </row>
    <row r="476" spans="1:20" x14ac:dyDescent="0.35">
      <c r="A476" s="13">
        <f t="shared" si="18"/>
        <v>43854</v>
      </c>
      <c r="B476" s="8" t="s">
        <v>296</v>
      </c>
      <c r="C476" s="1">
        <v>27</v>
      </c>
      <c r="D476" t="s">
        <v>9</v>
      </c>
      <c r="F476" t="s">
        <v>322</v>
      </c>
      <c r="G476" t="s">
        <v>75</v>
      </c>
      <c r="I476" t="s">
        <v>217</v>
      </c>
      <c r="J476">
        <v>13</v>
      </c>
      <c r="K476" t="s">
        <v>88</v>
      </c>
      <c r="L476" t="s">
        <v>122</v>
      </c>
      <c r="M476" t="s">
        <v>96</v>
      </c>
      <c r="N476" t="s">
        <v>307</v>
      </c>
      <c r="O476" t="s">
        <v>326</v>
      </c>
      <c r="P476" t="s">
        <v>200</v>
      </c>
      <c r="Q476" t="s">
        <v>279</v>
      </c>
    </row>
    <row r="477" spans="1:20" x14ac:dyDescent="0.35">
      <c r="A477" s="13">
        <f t="shared" si="18"/>
        <v>43854</v>
      </c>
      <c r="B477" s="8" t="str">
        <f>B476</f>
        <v>24/1/12020</v>
      </c>
      <c r="C477" s="1">
        <v>27</v>
      </c>
      <c r="D477" t="s">
        <v>9</v>
      </c>
      <c r="F477" t="s">
        <v>322</v>
      </c>
      <c r="G477" t="s">
        <v>75</v>
      </c>
      <c r="I477" t="s">
        <v>217</v>
      </c>
      <c r="J477">
        <v>13</v>
      </c>
      <c r="K477" t="s">
        <v>89</v>
      </c>
      <c r="L477" t="s">
        <v>218</v>
      </c>
      <c r="M477" t="s">
        <v>324</v>
      </c>
      <c r="N477" t="s">
        <v>325</v>
      </c>
      <c r="O477" t="s">
        <v>219</v>
      </c>
      <c r="P477" t="s">
        <v>95</v>
      </c>
      <c r="Q477" t="s">
        <v>263</v>
      </c>
    </row>
    <row r="478" spans="1:20" x14ac:dyDescent="0.35">
      <c r="A478" s="13">
        <f t="shared" si="18"/>
        <v>43854</v>
      </c>
      <c r="B478" s="8" t="str">
        <f>B477</f>
        <v>24/1/12020</v>
      </c>
      <c r="C478" s="1">
        <v>27</v>
      </c>
      <c r="D478" t="s">
        <v>9</v>
      </c>
      <c r="F478" t="s">
        <v>322</v>
      </c>
      <c r="G478" t="s">
        <v>75</v>
      </c>
      <c r="I478" t="s">
        <v>217</v>
      </c>
      <c r="J478">
        <v>13</v>
      </c>
      <c r="K478" t="s">
        <v>90</v>
      </c>
      <c r="L478" t="s">
        <v>86</v>
      </c>
      <c r="M478" t="s">
        <v>93</v>
      </c>
      <c r="N478" t="s">
        <v>93</v>
      </c>
      <c r="O478" t="s">
        <v>327</v>
      </c>
      <c r="P478" t="s">
        <v>93</v>
      </c>
    </row>
    <row r="479" spans="1:20" x14ac:dyDescent="0.35">
      <c r="A479" s="13">
        <f t="shared" si="18"/>
        <v>43861</v>
      </c>
      <c r="B479" s="8" t="s">
        <v>344</v>
      </c>
      <c r="C479" s="1">
        <v>27</v>
      </c>
      <c r="D479" t="s">
        <v>9</v>
      </c>
      <c r="F479" t="s">
        <v>322</v>
      </c>
      <c r="G479" t="s">
        <v>75</v>
      </c>
      <c r="I479" t="s">
        <v>217</v>
      </c>
      <c r="J479">
        <v>56</v>
      </c>
      <c r="K479" t="s">
        <v>88</v>
      </c>
      <c r="L479" t="s">
        <v>319</v>
      </c>
      <c r="M479" t="s">
        <v>275</v>
      </c>
      <c r="N479" t="s">
        <v>200</v>
      </c>
      <c r="O479" t="s">
        <v>364</v>
      </c>
      <c r="P479" t="s">
        <v>232</v>
      </c>
      <c r="Q479" t="s">
        <v>150</v>
      </c>
      <c r="R479" t="s">
        <v>290</v>
      </c>
      <c r="S479" t="s">
        <v>379</v>
      </c>
      <c r="T479" t="s">
        <v>355</v>
      </c>
    </row>
    <row r="480" spans="1:20" x14ac:dyDescent="0.35">
      <c r="A480" s="13">
        <f t="shared" si="18"/>
        <v>43861</v>
      </c>
      <c r="B480" s="8" t="str">
        <f>B479</f>
        <v>31/1/2020</v>
      </c>
      <c r="C480" s="1">
        <v>27</v>
      </c>
      <c r="D480" t="s">
        <v>9</v>
      </c>
      <c r="F480" t="s">
        <v>322</v>
      </c>
      <c r="G480" t="s">
        <v>75</v>
      </c>
      <c r="I480" t="s">
        <v>217</v>
      </c>
      <c r="J480">
        <v>56</v>
      </c>
      <c r="K480" t="s">
        <v>89</v>
      </c>
      <c r="L480" t="s">
        <v>380</v>
      </c>
      <c r="M480" t="s">
        <v>381</v>
      </c>
      <c r="N480" t="s">
        <v>382</v>
      </c>
      <c r="O480" t="s">
        <v>358</v>
      </c>
      <c r="P480" t="s">
        <v>95</v>
      </c>
      <c r="Q480" t="s">
        <v>95</v>
      </c>
      <c r="R480" t="s">
        <v>383</v>
      </c>
      <c r="S480" t="s">
        <v>116</v>
      </c>
      <c r="T480" t="s">
        <v>116</v>
      </c>
    </row>
    <row r="481" spans="1:20" x14ac:dyDescent="0.35">
      <c r="A481" s="13">
        <f t="shared" si="18"/>
        <v>43861</v>
      </c>
      <c r="B481" s="8" t="str">
        <f>B480</f>
        <v>31/1/2020</v>
      </c>
      <c r="C481" s="1">
        <v>27</v>
      </c>
      <c r="D481" t="s">
        <v>9</v>
      </c>
      <c r="F481" t="s">
        <v>322</v>
      </c>
      <c r="G481" t="s">
        <v>75</v>
      </c>
      <c r="I481" t="s">
        <v>217</v>
      </c>
      <c r="J481">
        <v>56</v>
      </c>
      <c r="K481" t="s">
        <v>90</v>
      </c>
      <c r="L481" t="s">
        <v>251</v>
      </c>
      <c r="M481" t="s">
        <v>93</v>
      </c>
      <c r="N481" t="s">
        <v>93</v>
      </c>
      <c r="O481" t="s">
        <v>93</v>
      </c>
      <c r="P481" t="s">
        <v>93</v>
      </c>
      <c r="Q481" t="s">
        <v>93</v>
      </c>
      <c r="R481" t="s">
        <v>93</v>
      </c>
      <c r="S481" t="s">
        <v>93</v>
      </c>
      <c r="T481" t="s">
        <v>93</v>
      </c>
    </row>
    <row r="482" spans="1:20" x14ac:dyDescent="0.35">
      <c r="A482" s="13">
        <v>43868</v>
      </c>
      <c r="B482" s="8">
        <v>43868</v>
      </c>
      <c r="C482" s="1">
        <v>27</v>
      </c>
      <c r="D482" t="s">
        <v>9</v>
      </c>
      <c r="F482" t="s">
        <v>838</v>
      </c>
      <c r="G482" t="s">
        <v>75</v>
      </c>
      <c r="I482" t="s">
        <v>479</v>
      </c>
      <c r="J482">
        <v>288</v>
      </c>
      <c r="K482" t="s">
        <v>88</v>
      </c>
      <c r="L482" t="s">
        <v>839</v>
      </c>
      <c r="M482" t="s">
        <v>840</v>
      </c>
      <c r="N482" t="s">
        <v>347</v>
      </c>
      <c r="O482" t="s">
        <v>767</v>
      </c>
      <c r="P482" t="s">
        <v>352</v>
      </c>
      <c r="Q482" t="s">
        <v>841</v>
      </c>
    </row>
    <row r="483" spans="1:20" x14ac:dyDescent="0.35">
      <c r="A483" s="13">
        <v>43868</v>
      </c>
      <c r="B483" s="8">
        <v>43868</v>
      </c>
      <c r="C483" s="1">
        <v>27</v>
      </c>
      <c r="D483" t="s">
        <v>9</v>
      </c>
      <c r="F483" t="str">
        <f>F482</f>
        <v>WOMAUNGO JUSTINE</v>
      </c>
      <c r="G483" t="s">
        <v>75</v>
      </c>
      <c r="I483" t="s">
        <v>479</v>
      </c>
      <c r="J483">
        <v>288</v>
      </c>
      <c r="K483" t="s">
        <v>89</v>
      </c>
      <c r="L483" t="s">
        <v>842</v>
      </c>
      <c r="M483" t="s">
        <v>750</v>
      </c>
      <c r="N483" t="s">
        <v>750</v>
      </c>
      <c r="O483" t="s">
        <v>219</v>
      </c>
      <c r="P483" t="s">
        <v>790</v>
      </c>
      <c r="Q483" t="s">
        <v>747</v>
      </c>
    </row>
    <row r="484" spans="1:20" x14ac:dyDescent="0.35">
      <c r="A484" s="13">
        <v>43868</v>
      </c>
      <c r="B484" s="8">
        <v>43868</v>
      </c>
      <c r="C484" s="1">
        <v>27</v>
      </c>
      <c r="D484" t="s">
        <v>9</v>
      </c>
      <c r="F484" t="str">
        <f>F483</f>
        <v>WOMAUNGO JUSTINE</v>
      </c>
      <c r="G484" t="s">
        <v>75</v>
      </c>
      <c r="I484" t="s">
        <v>479</v>
      </c>
      <c r="J484">
        <v>288</v>
      </c>
      <c r="K484" t="s">
        <v>90</v>
      </c>
      <c r="L484" t="s">
        <v>738</v>
      </c>
      <c r="M484" t="s">
        <v>752</v>
      </c>
      <c r="N484" t="s">
        <v>752</v>
      </c>
      <c r="O484" t="s">
        <v>106</v>
      </c>
      <c r="P484" t="s">
        <v>785</v>
      </c>
      <c r="Q484" t="s">
        <v>785</v>
      </c>
    </row>
    <row r="485" spans="1:20" x14ac:dyDescent="0.35">
      <c r="A485" s="13">
        <v>43875</v>
      </c>
      <c r="B485" s="8">
        <v>43875</v>
      </c>
      <c r="C485" s="1">
        <f>VLOOKUP(F485,Motorcycles!$C$2:$L$35,10,0)</f>
        <v>27</v>
      </c>
      <c r="D485" t="s">
        <v>9</v>
      </c>
      <c r="F485" t="s">
        <v>843</v>
      </c>
      <c r="G485" t="s">
        <v>75</v>
      </c>
      <c r="I485" t="s">
        <v>479</v>
      </c>
      <c r="J485">
        <v>295</v>
      </c>
      <c r="K485" t="s">
        <v>88</v>
      </c>
      <c r="L485" t="s">
        <v>575</v>
      </c>
      <c r="M485" t="s">
        <v>319</v>
      </c>
      <c r="N485" t="s">
        <v>151</v>
      </c>
      <c r="O485" t="s">
        <v>319</v>
      </c>
      <c r="P485" t="s">
        <v>151</v>
      </c>
      <c r="Q485" t="s">
        <v>585</v>
      </c>
    </row>
    <row r="486" spans="1:20" x14ac:dyDescent="0.35">
      <c r="A486" s="13">
        <v>43875</v>
      </c>
      <c r="B486" s="8">
        <v>43875</v>
      </c>
      <c r="C486" s="1">
        <f>VLOOKUP(F486,Motorcycles!$C$2:$L$35,10,0)</f>
        <v>27</v>
      </c>
      <c r="D486" t="s">
        <v>9</v>
      </c>
      <c r="F486" t="str">
        <f>F485</f>
        <v>womaungo justine</v>
      </c>
      <c r="G486" t="s">
        <v>75</v>
      </c>
      <c r="I486" t="s">
        <v>479</v>
      </c>
      <c r="J486">
        <v>295</v>
      </c>
      <c r="K486" t="s">
        <v>89</v>
      </c>
      <c r="L486" t="s">
        <v>144</v>
      </c>
      <c r="M486" t="s">
        <v>607</v>
      </c>
      <c r="N486" t="s">
        <v>609</v>
      </c>
      <c r="O486" t="s">
        <v>607</v>
      </c>
      <c r="P486" t="s">
        <v>607</v>
      </c>
      <c r="Q486" t="s">
        <v>593</v>
      </c>
    </row>
    <row r="487" spans="1:20" x14ac:dyDescent="0.35">
      <c r="A487" s="13">
        <v>43875</v>
      </c>
      <c r="B487" s="8">
        <v>43875</v>
      </c>
      <c r="C487" s="1">
        <f>VLOOKUP(F487,Motorcycles!$C$2:$L$35,10,0)</f>
        <v>27</v>
      </c>
      <c r="D487" t="s">
        <v>9</v>
      </c>
      <c r="F487" t="str">
        <f>F486</f>
        <v>womaungo justine</v>
      </c>
      <c r="G487" t="s">
        <v>75</v>
      </c>
      <c r="I487" t="s">
        <v>479</v>
      </c>
      <c r="J487">
        <v>295</v>
      </c>
      <c r="K487" t="s">
        <v>90</v>
      </c>
      <c r="L487" t="s">
        <v>594</v>
      </c>
      <c r="M487" t="s">
        <v>93</v>
      </c>
      <c r="N487" t="s">
        <v>93</v>
      </c>
      <c r="O487" t="s">
        <v>93</v>
      </c>
      <c r="P487" t="s">
        <v>93</v>
      </c>
      <c r="Q487" t="s">
        <v>596</v>
      </c>
    </row>
    <row r="488" spans="1:20" x14ac:dyDescent="0.35">
      <c r="A488" s="11">
        <v>43884</v>
      </c>
      <c r="B488" s="11">
        <v>43884</v>
      </c>
      <c r="C488" s="1">
        <v>27</v>
      </c>
      <c r="D488" s="14" t="s">
        <v>9</v>
      </c>
      <c r="F488" t="s">
        <v>322</v>
      </c>
      <c r="G488" s="14" t="s">
        <v>75</v>
      </c>
      <c r="I488" s="14" t="s">
        <v>479</v>
      </c>
      <c r="J488" s="16">
        <v>227</v>
      </c>
      <c r="K488" s="14" t="s">
        <v>88</v>
      </c>
      <c r="L488" s="14" t="s">
        <v>122</v>
      </c>
      <c r="M488" s="14" t="s">
        <v>319</v>
      </c>
      <c r="N488" s="14" t="s">
        <v>151</v>
      </c>
      <c r="O488" s="14" t="s">
        <v>319</v>
      </c>
      <c r="P488" s="14" t="s">
        <v>151</v>
      </c>
      <c r="Q488" s="14" t="s">
        <v>583</v>
      </c>
      <c r="R488" s="14"/>
      <c r="S488" s="14"/>
    </row>
    <row r="489" spans="1:20" x14ac:dyDescent="0.35">
      <c r="A489" s="11">
        <v>43884</v>
      </c>
      <c r="B489" s="11">
        <v>43884</v>
      </c>
      <c r="C489" s="1">
        <v>27</v>
      </c>
      <c r="D489" s="14" t="s">
        <v>9</v>
      </c>
      <c r="F489" t="s">
        <v>322</v>
      </c>
      <c r="G489" s="14" t="s">
        <v>75</v>
      </c>
      <c r="I489" s="14" t="s">
        <v>479</v>
      </c>
      <c r="J489" s="16">
        <v>227</v>
      </c>
      <c r="K489" s="14" t="s">
        <v>89</v>
      </c>
      <c r="L489" s="14" t="s">
        <v>144</v>
      </c>
      <c r="M489" s="14" t="s">
        <v>607</v>
      </c>
      <c r="N489" s="14" t="s">
        <v>609</v>
      </c>
      <c r="O489" s="14" t="s">
        <v>607</v>
      </c>
      <c r="P489" s="14" t="s">
        <v>607</v>
      </c>
      <c r="Q489" s="14" t="s">
        <v>607</v>
      </c>
      <c r="R489" s="14"/>
      <c r="S489" s="14"/>
    </row>
    <row r="490" spans="1:20" x14ac:dyDescent="0.35">
      <c r="A490" s="11">
        <v>43884</v>
      </c>
      <c r="B490" s="11">
        <v>43884</v>
      </c>
      <c r="C490" s="1">
        <v>27</v>
      </c>
      <c r="D490" s="14" t="s">
        <v>9</v>
      </c>
      <c r="F490" t="s">
        <v>322</v>
      </c>
      <c r="G490" s="14" t="s">
        <v>75</v>
      </c>
      <c r="I490" s="14" t="s">
        <v>479</v>
      </c>
      <c r="J490" s="16">
        <v>227</v>
      </c>
      <c r="K490" s="14" t="s">
        <v>90</v>
      </c>
      <c r="L490" s="14" t="s">
        <v>594</v>
      </c>
      <c r="M490" s="14" t="s">
        <v>599</v>
      </c>
      <c r="N490" s="14" t="s">
        <v>93</v>
      </c>
      <c r="O490" s="14" t="s">
        <v>599</v>
      </c>
      <c r="P490" s="14" t="s">
        <v>599</v>
      </c>
      <c r="Q490" s="14" t="s">
        <v>598</v>
      </c>
      <c r="R490" s="14"/>
      <c r="S490" s="14"/>
    </row>
    <row r="491" spans="1:20" x14ac:dyDescent="0.35">
      <c r="A491" s="8">
        <v>43892</v>
      </c>
      <c r="B491" s="8">
        <v>43892</v>
      </c>
      <c r="C491" s="1">
        <v>27</v>
      </c>
      <c r="D491" s="14" t="s">
        <v>9</v>
      </c>
      <c r="E491" s="16"/>
      <c r="F491" t="s">
        <v>322</v>
      </c>
      <c r="G491" s="14" t="s">
        <v>75</v>
      </c>
      <c r="H491" s="16"/>
      <c r="I491" s="14" t="s">
        <v>479</v>
      </c>
      <c r="J491" s="16">
        <v>256</v>
      </c>
      <c r="K491" s="14" t="s">
        <v>88</v>
      </c>
      <c r="L491" s="14" t="s">
        <v>575</v>
      </c>
      <c r="M491" s="14" t="s">
        <v>319</v>
      </c>
      <c r="N491" s="14" t="s">
        <v>151</v>
      </c>
      <c r="O491" s="14" t="s">
        <v>122</v>
      </c>
      <c r="P491" s="14" t="s">
        <v>151</v>
      </c>
      <c r="Q491" s="14" t="s">
        <v>583</v>
      </c>
      <c r="R491" s="14"/>
      <c r="S491" s="14"/>
      <c r="T491" s="16"/>
    </row>
    <row r="492" spans="1:20" x14ac:dyDescent="0.35">
      <c r="A492" s="8">
        <v>43892</v>
      </c>
      <c r="B492" s="8">
        <v>43892</v>
      </c>
      <c r="C492" s="1">
        <v>27</v>
      </c>
      <c r="D492" s="14" t="s">
        <v>9</v>
      </c>
      <c r="E492" s="16"/>
      <c r="F492" t="s">
        <v>322</v>
      </c>
      <c r="G492" s="14" t="s">
        <v>75</v>
      </c>
      <c r="H492" s="16"/>
      <c r="I492" s="14" t="s">
        <v>479</v>
      </c>
      <c r="J492" s="16">
        <v>256</v>
      </c>
      <c r="K492" s="14" t="s">
        <v>89</v>
      </c>
      <c r="L492" s="14" t="s">
        <v>144</v>
      </c>
      <c r="M492" s="14" t="s">
        <v>590</v>
      </c>
      <c r="N492" s="14" t="s">
        <v>587</v>
      </c>
      <c r="O492" s="14" t="s">
        <v>121</v>
      </c>
      <c r="P492" s="14" t="s">
        <v>606</v>
      </c>
      <c r="Q492" s="14" t="s">
        <v>607</v>
      </c>
      <c r="R492" s="14"/>
      <c r="S492" s="14"/>
      <c r="T492" s="16"/>
    </row>
    <row r="493" spans="1:20" x14ac:dyDescent="0.35">
      <c r="A493" s="8">
        <v>43892</v>
      </c>
      <c r="B493" s="8">
        <v>43892</v>
      </c>
      <c r="C493" s="1">
        <v>27</v>
      </c>
      <c r="D493" s="14" t="s">
        <v>9</v>
      </c>
      <c r="E493" s="16"/>
      <c r="F493" t="s">
        <v>322</v>
      </c>
      <c r="G493" s="14" t="s">
        <v>75</v>
      </c>
      <c r="H493" s="16"/>
      <c r="I493" s="14" t="s">
        <v>479</v>
      </c>
      <c r="J493" s="16">
        <v>256</v>
      </c>
      <c r="K493" s="14" t="s">
        <v>90</v>
      </c>
      <c r="L493" s="14" t="s">
        <v>594</v>
      </c>
      <c r="M493" s="14" t="s">
        <v>93</v>
      </c>
      <c r="N493" s="14" t="s">
        <v>93</v>
      </c>
      <c r="O493" s="14" t="s">
        <v>601</v>
      </c>
      <c r="P493" s="14" t="s">
        <v>93</v>
      </c>
      <c r="Q493" s="14" t="s">
        <v>598</v>
      </c>
      <c r="R493" s="14"/>
      <c r="S493" s="14"/>
      <c r="T493" s="16"/>
    </row>
    <row r="494" spans="1:20" x14ac:dyDescent="0.35">
      <c r="A494" s="11">
        <v>43900</v>
      </c>
      <c r="B494" s="11">
        <v>43900</v>
      </c>
      <c r="C494" s="1">
        <v>27</v>
      </c>
      <c r="D494" s="14" t="s">
        <v>9</v>
      </c>
      <c r="F494" t="s">
        <v>322</v>
      </c>
      <c r="G494" s="14" t="s">
        <v>75</v>
      </c>
      <c r="I494" s="14" t="s">
        <v>479</v>
      </c>
      <c r="J494" s="16">
        <v>204</v>
      </c>
      <c r="K494" s="14" t="s">
        <v>88</v>
      </c>
      <c r="L494" s="14" t="s">
        <v>575</v>
      </c>
      <c r="M494" s="14" t="s">
        <v>154</v>
      </c>
      <c r="N494" s="14" t="s">
        <v>137</v>
      </c>
      <c r="O494" s="14" t="s">
        <v>319</v>
      </c>
      <c r="P494" s="14" t="s">
        <v>151</v>
      </c>
      <c r="Q494" s="14" t="s">
        <v>583</v>
      </c>
      <c r="R494" s="14"/>
      <c r="S494" s="14"/>
    </row>
    <row r="495" spans="1:20" x14ac:dyDescent="0.35">
      <c r="A495" s="11">
        <v>43900</v>
      </c>
      <c r="B495" s="11">
        <v>43900</v>
      </c>
      <c r="C495" s="1">
        <v>27</v>
      </c>
      <c r="D495" s="14" t="s">
        <v>9</v>
      </c>
      <c r="F495" t="s">
        <v>322</v>
      </c>
      <c r="G495" s="14" t="s">
        <v>75</v>
      </c>
      <c r="I495" s="14" t="s">
        <v>479</v>
      </c>
      <c r="J495" s="16">
        <v>204</v>
      </c>
      <c r="K495" s="14" t="s">
        <v>89</v>
      </c>
      <c r="L495" s="14" t="s">
        <v>144</v>
      </c>
      <c r="M495" s="14" t="s">
        <v>607</v>
      </c>
      <c r="N495" s="14" t="s">
        <v>588</v>
      </c>
      <c r="O495" s="14" t="s">
        <v>607</v>
      </c>
      <c r="P495" s="14" t="s">
        <v>607</v>
      </c>
      <c r="Q495" s="14" t="s">
        <v>607</v>
      </c>
      <c r="R495" s="14"/>
      <c r="S495" s="14"/>
    </row>
    <row r="496" spans="1:20" x14ac:dyDescent="0.35">
      <c r="A496" s="11">
        <v>43900</v>
      </c>
      <c r="B496" s="11">
        <v>43900</v>
      </c>
      <c r="C496" s="1">
        <v>27</v>
      </c>
      <c r="D496" s="14" t="s">
        <v>9</v>
      </c>
      <c r="F496" t="s">
        <v>322</v>
      </c>
      <c r="G496" s="14" t="s">
        <v>75</v>
      </c>
      <c r="I496" s="14" t="s">
        <v>479</v>
      </c>
      <c r="J496" s="16">
        <v>204</v>
      </c>
      <c r="K496" s="14" t="s">
        <v>90</v>
      </c>
      <c r="L496" s="14" t="s">
        <v>594</v>
      </c>
      <c r="M496" s="14" t="s">
        <v>93</v>
      </c>
      <c r="N496" s="14" t="s">
        <v>599</v>
      </c>
      <c r="O496" s="14" t="s">
        <v>93</v>
      </c>
      <c r="P496" s="14" t="s">
        <v>93</v>
      </c>
      <c r="Q496" s="14" t="s">
        <v>598</v>
      </c>
      <c r="R496" s="14"/>
      <c r="S496" s="14"/>
    </row>
    <row r="497" spans="1:20" x14ac:dyDescent="0.35">
      <c r="A497" s="11">
        <f>B497</f>
        <v>43848</v>
      </c>
      <c r="B497" s="8">
        <v>43848</v>
      </c>
      <c r="C497" s="1">
        <v>28</v>
      </c>
      <c r="D497" t="s">
        <v>52</v>
      </c>
      <c r="F497" t="s">
        <v>470</v>
      </c>
      <c r="G497" t="s">
        <v>34</v>
      </c>
      <c r="I497" t="s">
        <v>6</v>
      </c>
      <c r="J497">
        <v>37</v>
      </c>
      <c r="K497" t="s">
        <v>88</v>
      </c>
      <c r="L497" t="s">
        <v>319</v>
      </c>
      <c r="M497" t="s">
        <v>408</v>
      </c>
      <c r="N497" t="s">
        <v>471</v>
      </c>
      <c r="O497" t="s">
        <v>408</v>
      </c>
      <c r="P497" t="s">
        <v>408</v>
      </c>
      <c r="Q497" t="s">
        <v>408</v>
      </c>
      <c r="R497" t="s">
        <v>472</v>
      </c>
      <c r="S497" t="s">
        <v>472</v>
      </c>
      <c r="T497" t="s">
        <v>408</v>
      </c>
    </row>
    <row r="498" spans="1:20" x14ac:dyDescent="0.35">
      <c r="A498" s="11">
        <f>B498</f>
        <v>43848</v>
      </c>
      <c r="B498" s="8">
        <v>43848</v>
      </c>
      <c r="C498" s="1">
        <v>28</v>
      </c>
      <c r="D498" t="s">
        <v>52</v>
      </c>
      <c r="F498" t="s">
        <v>470</v>
      </c>
      <c r="G498" t="s">
        <v>34</v>
      </c>
      <c r="I498" t="s">
        <v>6</v>
      </c>
      <c r="J498">
        <v>37</v>
      </c>
      <c r="K498" t="s">
        <v>89</v>
      </c>
      <c r="L498" t="s">
        <v>411</v>
      </c>
      <c r="M498" t="s">
        <v>419</v>
      </c>
      <c r="N498" t="s">
        <v>419</v>
      </c>
      <c r="O498" t="s">
        <v>419</v>
      </c>
      <c r="P498" t="s">
        <v>419</v>
      </c>
      <c r="Q498" t="s">
        <v>419</v>
      </c>
      <c r="R498" t="s">
        <v>419</v>
      </c>
      <c r="S498" t="s">
        <v>419</v>
      </c>
      <c r="T498" t="s">
        <v>419</v>
      </c>
    </row>
    <row r="499" spans="1:20" x14ac:dyDescent="0.35">
      <c r="A499" s="11">
        <f>B499</f>
        <v>43848</v>
      </c>
      <c r="B499" s="8">
        <v>43848</v>
      </c>
      <c r="C499" s="1">
        <v>28</v>
      </c>
      <c r="D499" t="s">
        <v>52</v>
      </c>
      <c r="F499" t="s">
        <v>470</v>
      </c>
      <c r="G499" t="s">
        <v>34</v>
      </c>
      <c r="I499" t="s">
        <v>6</v>
      </c>
      <c r="J499">
        <v>37</v>
      </c>
      <c r="K499" t="s">
        <v>90</v>
      </c>
      <c r="L499" t="s">
        <v>414</v>
      </c>
      <c r="M499" t="s">
        <v>92</v>
      </c>
      <c r="N499" t="s">
        <v>272</v>
      </c>
      <c r="O499" t="s">
        <v>439</v>
      </c>
      <c r="P499" t="s">
        <v>439</v>
      </c>
      <c r="Q499" t="s">
        <v>439</v>
      </c>
      <c r="R499" t="s">
        <v>439</v>
      </c>
      <c r="S499" t="s">
        <v>439</v>
      </c>
      <c r="T499" t="s">
        <v>439</v>
      </c>
    </row>
    <row r="500" spans="1:20" x14ac:dyDescent="0.35">
      <c r="A500" s="11">
        <v>43869</v>
      </c>
      <c r="B500" s="11">
        <v>43869</v>
      </c>
      <c r="C500" s="1">
        <v>28</v>
      </c>
      <c r="D500" t="s">
        <v>52</v>
      </c>
      <c r="F500" t="s">
        <v>470</v>
      </c>
      <c r="G500" t="s">
        <v>34</v>
      </c>
      <c r="I500" t="s">
        <v>479</v>
      </c>
      <c r="J500">
        <v>120</v>
      </c>
      <c r="K500" t="s">
        <v>88</v>
      </c>
      <c r="L500" t="s">
        <v>654</v>
      </c>
      <c r="M500" t="s">
        <v>655</v>
      </c>
      <c r="N500" t="s">
        <v>656</v>
      </c>
      <c r="O500" t="s">
        <v>408</v>
      </c>
      <c r="P500" t="s">
        <v>657</v>
      </c>
      <c r="Q500" t="s">
        <v>408</v>
      </c>
    </row>
    <row r="501" spans="1:20" x14ac:dyDescent="0.35">
      <c r="A501" s="11">
        <v>43869</v>
      </c>
      <c r="B501" s="11">
        <v>43869</v>
      </c>
      <c r="C501" s="1">
        <v>28</v>
      </c>
      <c r="D501" t="s">
        <v>52</v>
      </c>
      <c r="F501" t="s">
        <v>470</v>
      </c>
      <c r="G501" t="s">
        <v>34</v>
      </c>
      <c r="I501" t="s">
        <v>479</v>
      </c>
      <c r="J501">
        <v>120</v>
      </c>
      <c r="K501" t="s">
        <v>89</v>
      </c>
      <c r="L501" t="s">
        <v>658</v>
      </c>
      <c r="M501" t="s">
        <v>659</v>
      </c>
      <c r="N501" t="s">
        <v>452</v>
      </c>
      <c r="O501" t="s">
        <v>660</v>
      </c>
      <c r="P501" t="s">
        <v>661</v>
      </c>
      <c r="Q501" t="s">
        <v>408</v>
      </c>
    </row>
    <row r="502" spans="1:20" x14ac:dyDescent="0.35">
      <c r="A502" s="11">
        <v>43869</v>
      </c>
      <c r="B502" s="11">
        <v>43869</v>
      </c>
      <c r="C502" s="1">
        <v>28</v>
      </c>
      <c r="D502" t="s">
        <v>52</v>
      </c>
      <c r="F502" t="s">
        <v>470</v>
      </c>
      <c r="G502" t="s">
        <v>34</v>
      </c>
      <c r="I502" t="s">
        <v>479</v>
      </c>
      <c r="J502">
        <v>120</v>
      </c>
      <c r="K502" t="s">
        <v>90</v>
      </c>
      <c r="L502" t="s">
        <v>530</v>
      </c>
      <c r="M502" t="s">
        <v>662</v>
      </c>
      <c r="N502" t="s">
        <v>663</v>
      </c>
      <c r="O502" t="s">
        <v>428</v>
      </c>
      <c r="P502" t="s">
        <v>664</v>
      </c>
      <c r="Q502" t="s">
        <v>429</v>
      </c>
    </row>
    <row r="503" spans="1:20" x14ac:dyDescent="0.35">
      <c r="A503" s="11">
        <f>B503</f>
        <v>43848</v>
      </c>
      <c r="B503" s="8">
        <v>43848</v>
      </c>
      <c r="C503" s="1">
        <v>29</v>
      </c>
      <c r="D503" t="s">
        <v>52</v>
      </c>
      <c r="F503" t="s">
        <v>473</v>
      </c>
      <c r="G503" t="s">
        <v>34</v>
      </c>
      <c r="I503" t="s">
        <v>6</v>
      </c>
      <c r="J503">
        <v>36</v>
      </c>
      <c r="K503" t="s">
        <v>88</v>
      </c>
      <c r="L503" t="s">
        <v>319</v>
      </c>
      <c r="M503" t="s">
        <v>422</v>
      </c>
      <c r="N503" t="s">
        <v>408</v>
      </c>
      <c r="O503" t="s">
        <v>408</v>
      </c>
      <c r="P503" t="s">
        <v>408</v>
      </c>
      <c r="Q503" t="s">
        <v>409</v>
      </c>
      <c r="R503" t="s">
        <v>472</v>
      </c>
      <c r="S503" t="s">
        <v>472</v>
      </c>
      <c r="T503" t="s">
        <v>408</v>
      </c>
    </row>
    <row r="504" spans="1:20" x14ac:dyDescent="0.35">
      <c r="A504" s="11">
        <f>B504</f>
        <v>43848</v>
      </c>
      <c r="B504" s="8">
        <v>43848</v>
      </c>
      <c r="C504" s="1">
        <v>29</v>
      </c>
      <c r="D504" t="s">
        <v>52</v>
      </c>
      <c r="F504" t="s">
        <v>473</v>
      </c>
      <c r="G504" t="s">
        <v>34</v>
      </c>
      <c r="I504" t="s">
        <v>6</v>
      </c>
      <c r="J504">
        <v>36</v>
      </c>
      <c r="K504" t="s">
        <v>89</v>
      </c>
      <c r="L504" t="s">
        <v>411</v>
      </c>
      <c r="M504" t="s">
        <v>419</v>
      </c>
      <c r="N504" t="s">
        <v>419</v>
      </c>
      <c r="O504" t="s">
        <v>419</v>
      </c>
      <c r="P504" t="s">
        <v>419</v>
      </c>
      <c r="Q504" t="s">
        <v>419</v>
      </c>
      <c r="R504" t="s">
        <v>419</v>
      </c>
      <c r="S504" t="s">
        <v>419</v>
      </c>
      <c r="T504" t="s">
        <v>419</v>
      </c>
    </row>
    <row r="505" spans="1:20" x14ac:dyDescent="0.35">
      <c r="A505" s="11">
        <f>B505</f>
        <v>43848</v>
      </c>
      <c r="B505" s="8">
        <v>43848</v>
      </c>
      <c r="C505" s="1">
        <v>29</v>
      </c>
      <c r="D505" t="s">
        <v>52</v>
      </c>
      <c r="F505" t="s">
        <v>473</v>
      </c>
      <c r="G505" t="s">
        <v>34</v>
      </c>
      <c r="I505" t="s">
        <v>6</v>
      </c>
      <c r="J505">
        <v>36</v>
      </c>
      <c r="K505" t="s">
        <v>90</v>
      </c>
      <c r="L505" t="s">
        <v>414</v>
      </c>
      <c r="M505" t="s">
        <v>92</v>
      </c>
      <c r="N505" t="s">
        <v>272</v>
      </c>
      <c r="O505" t="s">
        <v>439</v>
      </c>
      <c r="P505" t="s">
        <v>439</v>
      </c>
      <c r="Q505" t="s">
        <v>439</v>
      </c>
      <c r="R505" t="s">
        <v>272</v>
      </c>
      <c r="S505" t="s">
        <v>439</v>
      </c>
      <c r="T505" t="s">
        <v>439</v>
      </c>
    </row>
    <row r="506" spans="1:20" x14ac:dyDescent="0.35">
      <c r="A506" s="11">
        <v>43855</v>
      </c>
      <c r="B506" s="8">
        <v>43855</v>
      </c>
      <c r="C506" s="1">
        <v>29</v>
      </c>
      <c r="D506" t="s">
        <v>52</v>
      </c>
      <c r="F506" t="s">
        <v>473</v>
      </c>
      <c r="G506" t="s">
        <v>75</v>
      </c>
      <c r="I506" t="s">
        <v>479</v>
      </c>
      <c r="J506">
        <v>72</v>
      </c>
      <c r="K506" t="s">
        <v>88</v>
      </c>
      <c r="L506" t="s">
        <v>615</v>
      </c>
      <c r="M506" t="s">
        <v>408</v>
      </c>
      <c r="N506" t="s">
        <v>408</v>
      </c>
      <c r="O506" t="s">
        <v>563</v>
      </c>
      <c r="P506" t="s">
        <v>616</v>
      </c>
      <c r="Q506" t="s">
        <v>408</v>
      </c>
    </row>
    <row r="507" spans="1:20" x14ac:dyDescent="0.35">
      <c r="A507" s="11">
        <v>43855</v>
      </c>
      <c r="B507" s="11">
        <v>43855</v>
      </c>
      <c r="C507" s="1">
        <v>29</v>
      </c>
      <c r="D507" t="s">
        <v>52</v>
      </c>
      <c r="F507" t="s">
        <v>473</v>
      </c>
      <c r="G507" t="s">
        <v>75</v>
      </c>
      <c r="I507" t="s">
        <v>479</v>
      </c>
      <c r="J507">
        <v>72</v>
      </c>
      <c r="K507" t="s">
        <v>89</v>
      </c>
      <c r="L507" t="s">
        <v>526</v>
      </c>
      <c r="M507" t="s">
        <v>617</v>
      </c>
      <c r="N507" t="s">
        <v>618</v>
      </c>
      <c r="O507" t="s">
        <v>619</v>
      </c>
      <c r="P507" t="s">
        <v>179</v>
      </c>
      <c r="Q507" t="s">
        <v>617</v>
      </c>
    </row>
    <row r="508" spans="1:20" x14ac:dyDescent="0.35">
      <c r="A508" s="11">
        <v>43855</v>
      </c>
      <c r="B508" s="11">
        <v>43855</v>
      </c>
      <c r="C508" s="1">
        <v>29</v>
      </c>
      <c r="D508" t="s">
        <v>52</v>
      </c>
      <c r="F508" t="s">
        <v>473</v>
      </c>
      <c r="G508" t="s">
        <v>11</v>
      </c>
      <c r="I508" t="s">
        <v>479</v>
      </c>
      <c r="J508">
        <v>72</v>
      </c>
      <c r="K508" t="s">
        <v>90</v>
      </c>
      <c r="L508" t="s">
        <v>546</v>
      </c>
      <c r="M508" t="s">
        <v>433</v>
      </c>
      <c r="N508" t="s">
        <v>93</v>
      </c>
      <c r="O508" t="s">
        <v>432</v>
      </c>
      <c r="P508" t="s">
        <v>177</v>
      </c>
      <c r="Q508" t="s">
        <v>433</v>
      </c>
    </row>
    <row r="509" spans="1:20" x14ac:dyDescent="0.35">
      <c r="A509" s="11">
        <v>43862</v>
      </c>
      <c r="B509" s="8">
        <v>43862</v>
      </c>
      <c r="C509" s="1">
        <v>29</v>
      </c>
      <c r="D509" t="s">
        <v>52</v>
      </c>
      <c r="F509" t="s">
        <v>473</v>
      </c>
      <c r="G509" t="s">
        <v>75</v>
      </c>
      <c r="I509" t="s">
        <v>479</v>
      </c>
      <c r="J509">
        <v>86</v>
      </c>
      <c r="K509" t="s">
        <v>88</v>
      </c>
      <c r="L509" t="s">
        <v>615</v>
      </c>
      <c r="M509" t="s">
        <v>408</v>
      </c>
      <c r="N509" t="s">
        <v>408</v>
      </c>
      <c r="O509" t="s">
        <v>563</v>
      </c>
      <c r="P509" t="s">
        <v>621</v>
      </c>
      <c r="Q509" t="s">
        <v>623</v>
      </c>
    </row>
    <row r="510" spans="1:20" x14ac:dyDescent="0.35">
      <c r="A510" s="11">
        <v>43862</v>
      </c>
      <c r="B510" s="11">
        <v>43862</v>
      </c>
      <c r="C510" s="1">
        <v>29</v>
      </c>
      <c r="D510" t="s">
        <v>52</v>
      </c>
      <c r="F510" t="s">
        <v>473</v>
      </c>
      <c r="G510" t="s">
        <v>75</v>
      </c>
      <c r="I510" t="s">
        <v>479</v>
      </c>
      <c r="J510">
        <v>86</v>
      </c>
      <c r="K510" t="s">
        <v>89</v>
      </c>
      <c r="L510" t="s">
        <v>526</v>
      </c>
      <c r="M510" t="s">
        <v>617</v>
      </c>
      <c r="N510" t="s">
        <v>617</v>
      </c>
      <c r="O510" t="s">
        <v>619</v>
      </c>
      <c r="P510" t="s">
        <v>622</v>
      </c>
      <c r="Q510" t="s">
        <v>624</v>
      </c>
    </row>
    <row r="511" spans="1:20" x14ac:dyDescent="0.35">
      <c r="A511" s="11">
        <v>43862</v>
      </c>
      <c r="B511" s="11">
        <v>43862</v>
      </c>
      <c r="C511" s="1">
        <v>29</v>
      </c>
      <c r="D511" t="s">
        <v>52</v>
      </c>
      <c r="F511" t="s">
        <v>473</v>
      </c>
      <c r="G511" t="s">
        <v>75</v>
      </c>
      <c r="I511" t="s">
        <v>479</v>
      </c>
      <c r="J511">
        <v>86</v>
      </c>
      <c r="K511" t="s">
        <v>90</v>
      </c>
      <c r="L511" t="s">
        <v>546</v>
      </c>
      <c r="M511" t="s">
        <v>433</v>
      </c>
      <c r="N511" t="s">
        <v>93</v>
      </c>
      <c r="O511" t="s">
        <v>432</v>
      </c>
      <c r="P511" t="s">
        <v>93</v>
      </c>
      <c r="Q511" t="s">
        <v>433</v>
      </c>
    </row>
    <row r="512" spans="1:20" x14ac:dyDescent="0.35">
      <c r="A512" s="11">
        <v>43869</v>
      </c>
      <c r="B512" s="11">
        <v>43869</v>
      </c>
      <c r="C512" s="1">
        <v>29</v>
      </c>
      <c r="D512" t="s">
        <v>52</v>
      </c>
      <c r="F512" t="s">
        <v>473</v>
      </c>
      <c r="G512" t="s">
        <v>34</v>
      </c>
      <c r="I512" t="s">
        <v>479</v>
      </c>
      <c r="J512">
        <v>77</v>
      </c>
      <c r="K512" t="s">
        <v>88</v>
      </c>
      <c r="L512" t="s">
        <v>665</v>
      </c>
      <c r="M512" t="s">
        <v>562</v>
      </c>
      <c r="N512" t="s">
        <v>666</v>
      </c>
      <c r="O512" t="s">
        <v>667</v>
      </c>
      <c r="P512" t="s">
        <v>668</v>
      </c>
      <c r="Q512" t="s">
        <v>669</v>
      </c>
    </row>
    <row r="513" spans="1:18" x14ac:dyDescent="0.35">
      <c r="A513" s="11">
        <v>43869</v>
      </c>
      <c r="B513" s="11">
        <v>43869</v>
      </c>
      <c r="C513" s="1">
        <v>29</v>
      </c>
      <c r="D513" t="s">
        <v>52</v>
      </c>
      <c r="F513" t="s">
        <v>473</v>
      </c>
      <c r="G513" t="s">
        <v>34</v>
      </c>
      <c r="I513" t="s">
        <v>479</v>
      </c>
      <c r="J513">
        <v>77</v>
      </c>
      <c r="K513" t="s">
        <v>89</v>
      </c>
      <c r="L513" t="s">
        <v>670</v>
      </c>
      <c r="M513" t="s">
        <v>671</v>
      </c>
      <c r="N513" t="s">
        <v>452</v>
      </c>
      <c r="O513" t="s">
        <v>672</v>
      </c>
      <c r="P513" t="s">
        <v>673</v>
      </c>
      <c r="Q513" t="s">
        <v>674</v>
      </c>
    </row>
    <row r="514" spans="1:18" x14ac:dyDescent="0.35">
      <c r="A514" s="11">
        <v>43869</v>
      </c>
      <c r="B514" s="11">
        <v>43869</v>
      </c>
      <c r="C514" s="1">
        <v>29</v>
      </c>
      <c r="D514" t="s">
        <v>52</v>
      </c>
      <c r="F514" t="s">
        <v>473</v>
      </c>
      <c r="G514" t="s">
        <v>34</v>
      </c>
      <c r="I514" t="s">
        <v>479</v>
      </c>
      <c r="J514">
        <v>77</v>
      </c>
      <c r="K514" t="s">
        <v>90</v>
      </c>
      <c r="L514" t="s">
        <v>664</v>
      </c>
      <c r="M514" t="s">
        <v>565</v>
      </c>
      <c r="N514" t="s">
        <v>675</v>
      </c>
      <c r="O514" t="s">
        <v>93</v>
      </c>
      <c r="P514" t="s">
        <v>676</v>
      </c>
      <c r="Q514" t="s">
        <v>627</v>
      </c>
    </row>
    <row r="515" spans="1:18" x14ac:dyDescent="0.35">
      <c r="A515" s="11">
        <v>43876</v>
      </c>
      <c r="B515" s="11">
        <v>43876</v>
      </c>
      <c r="C515" s="1">
        <v>29</v>
      </c>
      <c r="D515" t="s">
        <v>52</v>
      </c>
      <c r="F515" t="s">
        <v>473</v>
      </c>
      <c r="G515" t="s">
        <v>75</v>
      </c>
      <c r="I515" t="s">
        <v>479</v>
      </c>
      <c r="J515">
        <v>143</v>
      </c>
      <c r="K515" t="s">
        <v>88</v>
      </c>
      <c r="L515" t="s">
        <v>615</v>
      </c>
      <c r="M515" t="s">
        <v>684</v>
      </c>
      <c r="N515" t="s">
        <v>137</v>
      </c>
      <c r="O515" t="s">
        <v>563</v>
      </c>
      <c r="P515" t="s">
        <v>621</v>
      </c>
      <c r="Q515" t="s">
        <v>408</v>
      </c>
    </row>
    <row r="516" spans="1:18" x14ac:dyDescent="0.35">
      <c r="A516" s="11">
        <v>43876</v>
      </c>
      <c r="B516" s="11">
        <v>43876</v>
      </c>
      <c r="C516" s="1">
        <v>29</v>
      </c>
      <c r="D516" t="s">
        <v>52</v>
      </c>
      <c r="F516" t="s">
        <v>473</v>
      </c>
      <c r="G516" t="s">
        <v>75</v>
      </c>
      <c r="I516" t="s">
        <v>479</v>
      </c>
      <c r="J516">
        <v>143</v>
      </c>
      <c r="K516" t="s">
        <v>89</v>
      </c>
      <c r="L516" t="s">
        <v>526</v>
      </c>
      <c r="M516" t="s">
        <v>693</v>
      </c>
      <c r="N516" t="s">
        <v>690</v>
      </c>
      <c r="O516" t="s">
        <v>622</v>
      </c>
      <c r="P516" t="s">
        <v>622</v>
      </c>
      <c r="Q516" t="s">
        <v>617</v>
      </c>
    </row>
    <row r="517" spans="1:18" x14ac:dyDescent="0.35">
      <c r="A517" s="11">
        <v>43876</v>
      </c>
      <c r="B517" s="11">
        <v>43876</v>
      </c>
      <c r="C517" s="1">
        <v>29</v>
      </c>
      <c r="D517" t="s">
        <v>52</v>
      </c>
      <c r="F517" t="s">
        <v>473</v>
      </c>
      <c r="G517" t="s">
        <v>75</v>
      </c>
      <c r="I517" t="s">
        <v>479</v>
      </c>
      <c r="J517">
        <v>143</v>
      </c>
      <c r="K517" t="s">
        <v>90</v>
      </c>
      <c r="L517" t="s">
        <v>546</v>
      </c>
      <c r="M517" t="s">
        <v>521</v>
      </c>
      <c r="N517" t="s">
        <v>681</v>
      </c>
      <c r="O517" t="s">
        <v>93</v>
      </c>
      <c r="P517" t="s">
        <v>433</v>
      </c>
      <c r="Q517" t="s">
        <v>433</v>
      </c>
    </row>
    <row r="518" spans="1:18" x14ac:dyDescent="0.35">
      <c r="A518" s="11">
        <v>43885</v>
      </c>
      <c r="B518" s="11">
        <v>43885</v>
      </c>
      <c r="C518" s="1">
        <v>29</v>
      </c>
      <c r="D518" t="s">
        <v>52</v>
      </c>
      <c r="F518" t="s">
        <v>473</v>
      </c>
      <c r="G518" t="s">
        <v>561</v>
      </c>
      <c r="I518" t="s">
        <v>479</v>
      </c>
      <c r="J518">
        <v>132</v>
      </c>
      <c r="K518" s="14" t="s">
        <v>88</v>
      </c>
      <c r="L518" s="14" t="s">
        <v>122</v>
      </c>
      <c r="M518" s="14" t="s">
        <v>154</v>
      </c>
      <c r="N518" s="14" t="s">
        <v>151</v>
      </c>
      <c r="O518" s="14" t="s">
        <v>575</v>
      </c>
      <c r="P518" s="14" t="s">
        <v>151</v>
      </c>
      <c r="Q518" s="14" t="s">
        <v>583</v>
      </c>
      <c r="R518" s="14"/>
    </row>
    <row r="519" spans="1:18" x14ac:dyDescent="0.35">
      <c r="A519" s="11">
        <v>43885</v>
      </c>
      <c r="B519" s="11">
        <v>43885</v>
      </c>
      <c r="C519" s="1">
        <v>29</v>
      </c>
      <c r="D519" t="s">
        <v>52</v>
      </c>
      <c r="F519" t="s">
        <v>473</v>
      </c>
      <c r="G519" t="s">
        <v>561</v>
      </c>
      <c r="I519" t="s">
        <v>479</v>
      </c>
      <c r="J519">
        <v>132</v>
      </c>
      <c r="K519" s="14" t="s">
        <v>89</v>
      </c>
      <c r="L519" s="14" t="s">
        <v>144</v>
      </c>
      <c r="M519" s="14" t="s">
        <v>607</v>
      </c>
      <c r="N519" s="14" t="s">
        <v>609</v>
      </c>
      <c r="O519" s="14" t="s">
        <v>121</v>
      </c>
      <c r="P519" s="14" t="s">
        <v>607</v>
      </c>
      <c r="Q519" s="14" t="s">
        <v>607</v>
      </c>
      <c r="R519" s="14"/>
    </row>
    <row r="520" spans="1:18" x14ac:dyDescent="0.35">
      <c r="A520" s="11">
        <v>43885</v>
      </c>
      <c r="B520" s="11">
        <v>43885</v>
      </c>
      <c r="C520" s="1">
        <v>29</v>
      </c>
      <c r="D520" t="s">
        <v>52</v>
      </c>
      <c r="F520" t="s">
        <v>473</v>
      </c>
      <c r="G520" t="s">
        <v>561</v>
      </c>
      <c r="I520" t="s">
        <v>479</v>
      </c>
      <c r="J520">
        <v>132</v>
      </c>
      <c r="K520" s="14" t="s">
        <v>90</v>
      </c>
      <c r="L520" s="14" t="s">
        <v>594</v>
      </c>
      <c r="M520" s="14" t="s">
        <v>93</v>
      </c>
      <c r="N520" s="14" t="s">
        <v>93</v>
      </c>
      <c r="O520" s="14" t="s">
        <v>601</v>
      </c>
      <c r="P520" s="14" t="s">
        <v>93</v>
      </c>
      <c r="Q520" s="14" t="s">
        <v>598</v>
      </c>
      <c r="R520" s="14"/>
    </row>
    <row r="521" spans="1:18" x14ac:dyDescent="0.35">
      <c r="A521" s="11">
        <v>43892</v>
      </c>
      <c r="B521" s="11">
        <v>43892</v>
      </c>
      <c r="C521" s="1">
        <v>29</v>
      </c>
      <c r="D521" t="s">
        <v>52</v>
      </c>
      <c r="F521" t="s">
        <v>473</v>
      </c>
      <c r="G521" t="s">
        <v>561</v>
      </c>
      <c r="I521" s="14" t="s">
        <v>479</v>
      </c>
      <c r="J521" s="14">
        <v>137</v>
      </c>
      <c r="K521" s="14" t="s">
        <v>88</v>
      </c>
      <c r="L521" s="14" t="s">
        <v>575</v>
      </c>
      <c r="M521" s="14" t="s">
        <v>122</v>
      </c>
      <c r="N521" s="14" t="s">
        <v>137</v>
      </c>
      <c r="O521" s="14" t="s">
        <v>154</v>
      </c>
      <c r="P521" s="14" t="s">
        <v>151</v>
      </c>
      <c r="Q521" s="14" t="s">
        <v>583</v>
      </c>
      <c r="R521" s="14"/>
    </row>
    <row r="522" spans="1:18" x14ac:dyDescent="0.35">
      <c r="A522" s="11">
        <v>43892</v>
      </c>
      <c r="B522" s="11">
        <v>43892</v>
      </c>
      <c r="C522" s="1">
        <v>29</v>
      </c>
      <c r="D522" t="s">
        <v>52</v>
      </c>
      <c r="F522" t="s">
        <v>473</v>
      </c>
      <c r="G522" t="s">
        <v>561</v>
      </c>
      <c r="I522" s="14" t="s">
        <v>479</v>
      </c>
      <c r="J522" s="14">
        <v>137</v>
      </c>
      <c r="K522" s="14" t="s">
        <v>89</v>
      </c>
      <c r="L522" s="14" t="s">
        <v>144</v>
      </c>
      <c r="M522" s="14" t="s">
        <v>121</v>
      </c>
      <c r="N522" s="14" t="s">
        <v>588</v>
      </c>
      <c r="O522" s="14" t="s">
        <v>121</v>
      </c>
      <c r="P522" s="14" t="s">
        <v>578</v>
      </c>
      <c r="Q522" s="14" t="s">
        <v>607</v>
      </c>
      <c r="R522" s="14"/>
    </row>
    <row r="523" spans="1:18" x14ac:dyDescent="0.35">
      <c r="A523" s="11">
        <v>43892</v>
      </c>
      <c r="B523" s="11">
        <v>43892</v>
      </c>
      <c r="C523" s="1">
        <v>29</v>
      </c>
      <c r="D523" t="s">
        <v>52</v>
      </c>
      <c r="F523" t="s">
        <v>473</v>
      </c>
      <c r="G523" t="s">
        <v>561</v>
      </c>
      <c r="I523" s="14" t="s">
        <v>479</v>
      </c>
      <c r="J523" s="14">
        <v>137</v>
      </c>
      <c r="K523" s="14" t="s">
        <v>90</v>
      </c>
      <c r="L523" s="14" t="s">
        <v>594</v>
      </c>
      <c r="M523" s="14" t="s">
        <v>603</v>
      </c>
      <c r="N523" s="14" t="s">
        <v>602</v>
      </c>
      <c r="O523" s="14" t="s">
        <v>601</v>
      </c>
      <c r="P523" s="14" t="s">
        <v>600</v>
      </c>
      <c r="Q523" s="14" t="s">
        <v>599</v>
      </c>
      <c r="R523" s="14"/>
    </row>
    <row r="524" spans="1:18" x14ac:dyDescent="0.35">
      <c r="A524" s="11">
        <f t="shared" ref="A524:A532" si="19">B524</f>
        <v>43848</v>
      </c>
      <c r="B524" s="8">
        <v>43848</v>
      </c>
      <c r="C524" s="1">
        <v>30</v>
      </c>
      <c r="D524" t="s">
        <v>52</v>
      </c>
      <c r="F524" t="s">
        <v>469</v>
      </c>
      <c r="G524" t="s">
        <v>34</v>
      </c>
      <c r="I524" t="s">
        <v>6</v>
      </c>
      <c r="J524">
        <v>40</v>
      </c>
      <c r="K524" t="s">
        <v>88</v>
      </c>
      <c r="L524" t="s">
        <v>319</v>
      </c>
      <c r="M524" t="s">
        <v>408</v>
      </c>
      <c r="N524" t="s">
        <v>408</v>
      </c>
      <c r="O524" t="s">
        <v>408</v>
      </c>
      <c r="P524" t="s">
        <v>408</v>
      </c>
      <c r="Q524" t="s">
        <v>408</v>
      </c>
    </row>
    <row r="525" spans="1:18" x14ac:dyDescent="0.35">
      <c r="A525" s="11">
        <f t="shared" si="19"/>
        <v>43848</v>
      </c>
      <c r="B525" s="8">
        <v>43848</v>
      </c>
      <c r="C525" s="1">
        <v>30</v>
      </c>
      <c r="D525" t="s">
        <v>52</v>
      </c>
      <c r="F525" t="s">
        <v>469</v>
      </c>
      <c r="G525" t="s">
        <v>34</v>
      </c>
      <c r="I525" t="s">
        <v>6</v>
      </c>
      <c r="J525">
        <v>40</v>
      </c>
      <c r="K525" t="s">
        <v>89</v>
      </c>
      <c r="L525" t="s">
        <v>411</v>
      </c>
      <c r="M525" t="s">
        <v>419</v>
      </c>
      <c r="N525" t="s">
        <v>419</v>
      </c>
      <c r="O525" t="s">
        <v>419</v>
      </c>
      <c r="P525" t="s">
        <v>419</v>
      </c>
      <c r="Q525" t="s">
        <v>419</v>
      </c>
    </row>
    <row r="526" spans="1:18" x14ac:dyDescent="0.35">
      <c r="A526" s="11">
        <f t="shared" si="19"/>
        <v>43848</v>
      </c>
      <c r="B526" s="8">
        <v>43848</v>
      </c>
      <c r="C526" s="1">
        <v>30</v>
      </c>
      <c r="D526" t="s">
        <v>52</v>
      </c>
      <c r="F526" t="s">
        <v>469</v>
      </c>
      <c r="G526" t="s">
        <v>34</v>
      </c>
      <c r="I526" t="s">
        <v>6</v>
      </c>
      <c r="J526">
        <v>40</v>
      </c>
      <c r="K526" t="s">
        <v>90</v>
      </c>
      <c r="L526" t="s">
        <v>414</v>
      </c>
      <c r="M526" t="s">
        <v>92</v>
      </c>
      <c r="N526" t="s">
        <v>439</v>
      </c>
      <c r="O526" t="s">
        <v>272</v>
      </c>
      <c r="P526" t="s">
        <v>272</v>
      </c>
      <c r="Q526" t="s">
        <v>439</v>
      </c>
    </row>
    <row r="527" spans="1:18" x14ac:dyDescent="0.35">
      <c r="A527" s="11">
        <f t="shared" si="19"/>
        <v>43855</v>
      </c>
      <c r="B527" s="8">
        <v>43855</v>
      </c>
      <c r="C527" s="1">
        <v>30</v>
      </c>
      <c r="D527" t="s">
        <v>52</v>
      </c>
      <c r="F527" t="s">
        <v>469</v>
      </c>
      <c r="G527" t="s">
        <v>34</v>
      </c>
      <c r="I527" t="s">
        <v>479</v>
      </c>
      <c r="J527">
        <v>69</v>
      </c>
      <c r="K527" t="s">
        <v>88</v>
      </c>
      <c r="L527" t="s">
        <v>319</v>
      </c>
      <c r="M527" t="s">
        <v>471</v>
      </c>
      <c r="N527" t="s">
        <v>408</v>
      </c>
      <c r="O527" t="s">
        <v>471</v>
      </c>
      <c r="P527" t="s">
        <v>408</v>
      </c>
      <c r="Q527" t="s">
        <v>480</v>
      </c>
    </row>
    <row r="528" spans="1:18" x14ac:dyDescent="0.35">
      <c r="A528" s="11">
        <f t="shared" si="19"/>
        <v>43855</v>
      </c>
      <c r="B528" s="8">
        <v>43855</v>
      </c>
      <c r="C528" s="1">
        <v>30</v>
      </c>
      <c r="D528" t="s">
        <v>52</v>
      </c>
      <c r="F528" t="s">
        <v>469</v>
      </c>
      <c r="G528" t="s">
        <v>34</v>
      </c>
      <c r="I528" t="s">
        <v>479</v>
      </c>
      <c r="J528">
        <v>69</v>
      </c>
      <c r="K528" t="s">
        <v>89</v>
      </c>
      <c r="L528" t="s">
        <v>411</v>
      </c>
      <c r="M528" t="s">
        <v>408</v>
      </c>
      <c r="N528" t="s">
        <v>408</v>
      </c>
      <c r="O528" t="s">
        <v>408</v>
      </c>
      <c r="P528" t="s">
        <v>408</v>
      </c>
      <c r="Q528" t="s">
        <v>547</v>
      </c>
    </row>
    <row r="529" spans="1:18" x14ac:dyDescent="0.35">
      <c r="A529" s="11">
        <f t="shared" si="19"/>
        <v>43855</v>
      </c>
      <c r="B529" s="8">
        <v>43855</v>
      </c>
      <c r="C529" s="1">
        <v>30</v>
      </c>
      <c r="D529" t="s">
        <v>52</v>
      </c>
      <c r="F529" t="s">
        <v>469</v>
      </c>
      <c r="G529" t="s">
        <v>34</v>
      </c>
      <c r="I529" t="s">
        <v>479</v>
      </c>
      <c r="J529">
        <v>69</v>
      </c>
      <c r="K529" t="s">
        <v>90</v>
      </c>
      <c r="L529" t="s">
        <v>546</v>
      </c>
      <c r="M529" t="s">
        <v>92</v>
      </c>
      <c r="N529" t="s">
        <v>427</v>
      </c>
      <c r="O529" t="s">
        <v>427</v>
      </c>
      <c r="P529" t="s">
        <v>428</v>
      </c>
      <c r="Q529" t="s">
        <v>530</v>
      </c>
    </row>
    <row r="530" spans="1:18" x14ac:dyDescent="0.35">
      <c r="A530" s="11">
        <f t="shared" si="19"/>
        <v>43862</v>
      </c>
      <c r="B530" s="8">
        <v>43862</v>
      </c>
      <c r="C530" s="1">
        <v>30</v>
      </c>
      <c r="D530" t="s">
        <v>52</v>
      </c>
      <c r="F530" t="s">
        <v>469</v>
      </c>
      <c r="G530" t="s">
        <v>561</v>
      </c>
      <c r="I530" t="s">
        <v>479</v>
      </c>
      <c r="J530">
        <v>90</v>
      </c>
      <c r="K530" t="s">
        <v>88</v>
      </c>
      <c r="L530" t="s">
        <v>151</v>
      </c>
      <c r="M530" t="s">
        <v>562</v>
      </c>
      <c r="N530" t="s">
        <v>408</v>
      </c>
      <c r="O530" t="s">
        <v>563</v>
      </c>
      <c r="P530" t="s">
        <v>408</v>
      </c>
      <c r="Q530" t="s">
        <v>435</v>
      </c>
    </row>
    <row r="531" spans="1:18" x14ac:dyDescent="0.35">
      <c r="A531" s="11">
        <f t="shared" si="19"/>
        <v>43862</v>
      </c>
      <c r="B531" s="8">
        <v>43862</v>
      </c>
      <c r="C531" s="1">
        <v>30</v>
      </c>
      <c r="D531" t="s">
        <v>52</v>
      </c>
      <c r="F531" t="s">
        <v>469</v>
      </c>
      <c r="G531" t="s">
        <v>561</v>
      </c>
      <c r="I531" t="s">
        <v>479</v>
      </c>
      <c r="J531">
        <v>90</v>
      </c>
      <c r="K531" t="s">
        <v>89</v>
      </c>
      <c r="L531" t="s">
        <v>526</v>
      </c>
      <c r="M531" t="s">
        <v>547</v>
      </c>
      <c r="N531" t="s">
        <v>408</v>
      </c>
      <c r="O531" t="s">
        <v>408</v>
      </c>
      <c r="P531" t="s">
        <v>408</v>
      </c>
      <c r="Q531" t="s">
        <v>408</v>
      </c>
    </row>
    <row r="532" spans="1:18" x14ac:dyDescent="0.35">
      <c r="A532" s="11">
        <f t="shared" si="19"/>
        <v>43862</v>
      </c>
      <c r="B532" s="8">
        <v>43862</v>
      </c>
      <c r="C532" s="1">
        <v>30</v>
      </c>
      <c r="D532" t="s">
        <v>52</v>
      </c>
      <c r="F532" t="s">
        <v>469</v>
      </c>
      <c r="G532" t="s">
        <v>561</v>
      </c>
      <c r="I532" t="s">
        <v>479</v>
      </c>
      <c r="J532">
        <v>90</v>
      </c>
      <c r="K532" t="s">
        <v>90</v>
      </c>
      <c r="L532" t="s">
        <v>546</v>
      </c>
      <c r="M532" t="s">
        <v>521</v>
      </c>
      <c r="N532" t="s">
        <v>428</v>
      </c>
      <c r="O532" t="s">
        <v>428</v>
      </c>
      <c r="P532" t="s">
        <v>428</v>
      </c>
      <c r="Q532" t="s">
        <v>428</v>
      </c>
    </row>
    <row r="533" spans="1:18" x14ac:dyDescent="0.35">
      <c r="A533" s="11">
        <v>43876</v>
      </c>
      <c r="B533" s="11">
        <v>43876</v>
      </c>
      <c r="C533" s="1">
        <v>30</v>
      </c>
      <c r="D533" t="s">
        <v>52</v>
      </c>
      <c r="F533" t="s">
        <v>469</v>
      </c>
      <c r="G533" t="s">
        <v>75</v>
      </c>
      <c r="I533" t="s">
        <v>479</v>
      </c>
      <c r="J533">
        <v>123</v>
      </c>
      <c r="K533" t="s">
        <v>88</v>
      </c>
      <c r="L533" t="s">
        <v>615</v>
      </c>
      <c r="M533" t="s">
        <v>408</v>
      </c>
      <c r="N533" t="s">
        <v>408</v>
      </c>
      <c r="O533" t="s">
        <v>563</v>
      </c>
      <c r="P533" t="s">
        <v>621</v>
      </c>
      <c r="Q533" t="s">
        <v>408</v>
      </c>
    </row>
    <row r="534" spans="1:18" x14ac:dyDescent="0.35">
      <c r="A534" s="11">
        <v>43876</v>
      </c>
      <c r="B534" s="11">
        <v>43876</v>
      </c>
      <c r="C534" s="1">
        <v>30</v>
      </c>
      <c r="D534" t="s">
        <v>52</v>
      </c>
      <c r="F534" t="s">
        <v>469</v>
      </c>
      <c r="G534" t="s">
        <v>75</v>
      </c>
      <c r="I534" t="s">
        <v>479</v>
      </c>
      <c r="J534">
        <v>123</v>
      </c>
      <c r="K534" t="s">
        <v>89</v>
      </c>
      <c r="L534" t="s">
        <v>526</v>
      </c>
      <c r="M534" t="s">
        <v>617</v>
      </c>
      <c r="N534" t="s">
        <v>617</v>
      </c>
      <c r="O534" t="s">
        <v>628</v>
      </c>
      <c r="P534" t="s">
        <v>622</v>
      </c>
      <c r="Q534" t="s">
        <v>617</v>
      </c>
    </row>
    <row r="535" spans="1:18" x14ac:dyDescent="0.35">
      <c r="A535" s="11">
        <v>43876</v>
      </c>
      <c r="B535" s="11">
        <v>43876</v>
      </c>
      <c r="C535" s="1">
        <v>30</v>
      </c>
      <c r="D535" t="s">
        <v>52</v>
      </c>
      <c r="F535" t="s">
        <v>469</v>
      </c>
      <c r="G535" t="s">
        <v>75</v>
      </c>
      <c r="I535" t="s">
        <v>479</v>
      </c>
      <c r="J535">
        <v>123</v>
      </c>
      <c r="K535" t="s">
        <v>90</v>
      </c>
      <c r="L535" t="s">
        <v>546</v>
      </c>
      <c r="M535" t="s">
        <v>627</v>
      </c>
      <c r="N535" t="s">
        <v>627</v>
      </c>
      <c r="O535" t="s">
        <v>627</v>
      </c>
      <c r="P535" t="s">
        <v>627</v>
      </c>
      <c r="Q535" t="s">
        <v>627</v>
      </c>
    </row>
    <row r="536" spans="1:18" x14ac:dyDescent="0.35">
      <c r="A536" s="11">
        <v>43885</v>
      </c>
      <c r="B536" s="11">
        <v>43885</v>
      </c>
      <c r="C536" s="1">
        <v>30</v>
      </c>
      <c r="D536" t="s">
        <v>52</v>
      </c>
      <c r="F536" t="s">
        <v>469</v>
      </c>
      <c r="G536" t="s">
        <v>561</v>
      </c>
      <c r="I536" t="s">
        <v>479</v>
      </c>
      <c r="J536">
        <v>145</v>
      </c>
      <c r="K536" s="14" t="s">
        <v>88</v>
      </c>
      <c r="L536" s="14" t="s">
        <v>122</v>
      </c>
      <c r="M536" s="14" t="s">
        <v>154</v>
      </c>
      <c r="N536" s="14" t="s">
        <v>151</v>
      </c>
      <c r="O536" s="14" t="s">
        <v>154</v>
      </c>
      <c r="P536" s="14" t="s">
        <v>151</v>
      </c>
      <c r="Q536" s="14" t="s">
        <v>583</v>
      </c>
      <c r="R536" s="14"/>
    </row>
    <row r="537" spans="1:18" x14ac:dyDescent="0.35">
      <c r="A537" s="11">
        <v>43885</v>
      </c>
      <c r="B537" s="11">
        <v>43885</v>
      </c>
      <c r="C537" s="1">
        <v>30</v>
      </c>
      <c r="D537" t="s">
        <v>52</v>
      </c>
      <c r="F537" t="s">
        <v>469</v>
      </c>
      <c r="G537" t="s">
        <v>561</v>
      </c>
      <c r="I537" t="s">
        <v>479</v>
      </c>
      <c r="J537">
        <v>145</v>
      </c>
      <c r="K537" s="14" t="s">
        <v>89</v>
      </c>
      <c r="L537" s="14" t="s">
        <v>144</v>
      </c>
      <c r="M537" s="14" t="s">
        <v>607</v>
      </c>
      <c r="N537" s="14" t="s">
        <v>609</v>
      </c>
      <c r="O537" s="14" t="s">
        <v>607</v>
      </c>
      <c r="P537" s="14" t="s">
        <v>607</v>
      </c>
      <c r="Q537" s="14" t="s">
        <v>607</v>
      </c>
      <c r="R537" s="14"/>
    </row>
    <row r="538" spans="1:18" x14ac:dyDescent="0.35">
      <c r="A538" s="11">
        <v>43885</v>
      </c>
      <c r="B538" s="11">
        <v>43885</v>
      </c>
      <c r="C538" s="1">
        <v>30</v>
      </c>
      <c r="D538" t="s">
        <v>52</v>
      </c>
      <c r="F538" t="s">
        <v>469</v>
      </c>
      <c r="G538" t="s">
        <v>561</v>
      </c>
      <c r="I538" t="s">
        <v>479</v>
      </c>
      <c r="J538">
        <v>145</v>
      </c>
      <c r="K538" s="14" t="s">
        <v>90</v>
      </c>
      <c r="L538" s="14" t="s">
        <v>594</v>
      </c>
      <c r="M538" s="14" t="s">
        <v>93</v>
      </c>
      <c r="N538" s="14" t="s">
        <v>93</v>
      </c>
      <c r="O538" s="14" t="s">
        <v>93</v>
      </c>
      <c r="P538" s="14" t="s">
        <v>93</v>
      </c>
      <c r="Q538" s="14" t="s">
        <v>598</v>
      </c>
      <c r="R538" s="14"/>
    </row>
    <row r="539" spans="1:18" x14ac:dyDescent="0.35">
      <c r="A539" s="11">
        <v>43869</v>
      </c>
      <c r="B539" s="11">
        <v>43869</v>
      </c>
      <c r="C539" s="1">
        <v>30</v>
      </c>
      <c r="D539" t="s">
        <v>52</v>
      </c>
      <c r="F539" t="s">
        <v>469</v>
      </c>
      <c r="G539" t="s">
        <v>561</v>
      </c>
      <c r="I539" t="s">
        <v>479</v>
      </c>
      <c r="J539">
        <v>149</v>
      </c>
      <c r="K539" t="s">
        <v>88</v>
      </c>
      <c r="L539" t="s">
        <v>717</v>
      </c>
      <c r="M539" t="s">
        <v>408</v>
      </c>
      <c r="N539" t="s">
        <v>408</v>
      </c>
      <c r="O539" t="s">
        <v>563</v>
      </c>
      <c r="P539" t="s">
        <v>408</v>
      </c>
      <c r="Q539" t="s">
        <v>408</v>
      </c>
    </row>
    <row r="540" spans="1:18" x14ac:dyDescent="0.35">
      <c r="A540" s="11">
        <v>43869</v>
      </c>
      <c r="B540" s="11">
        <v>43869</v>
      </c>
      <c r="C540" s="1">
        <v>30</v>
      </c>
      <c r="D540" t="s">
        <v>52</v>
      </c>
      <c r="F540" t="s">
        <v>469</v>
      </c>
      <c r="G540" t="s">
        <v>561</v>
      </c>
      <c r="I540" t="s">
        <v>479</v>
      </c>
      <c r="J540">
        <v>149</v>
      </c>
      <c r="K540" t="s">
        <v>89</v>
      </c>
      <c r="L540" t="s">
        <v>706</v>
      </c>
      <c r="M540" t="s">
        <v>428</v>
      </c>
      <c r="N540" t="s">
        <v>722</v>
      </c>
      <c r="O540" t="s">
        <v>429</v>
      </c>
      <c r="P540" t="s">
        <v>428</v>
      </c>
      <c r="Q540" t="s">
        <v>723</v>
      </c>
    </row>
    <row r="541" spans="1:18" x14ac:dyDescent="0.35">
      <c r="A541" s="11">
        <v>43869</v>
      </c>
      <c r="B541" s="11">
        <v>43869</v>
      </c>
      <c r="C541" s="1">
        <v>30</v>
      </c>
      <c r="D541" t="s">
        <v>52</v>
      </c>
      <c r="F541" t="s">
        <v>469</v>
      </c>
      <c r="G541" t="s">
        <v>561</v>
      </c>
      <c r="I541" t="s">
        <v>479</v>
      </c>
      <c r="J541">
        <v>149</v>
      </c>
      <c r="K541" t="s">
        <v>90</v>
      </c>
      <c r="L541" t="s">
        <v>546</v>
      </c>
      <c r="M541" t="s">
        <v>433</v>
      </c>
      <c r="N541" t="s">
        <v>433</v>
      </c>
      <c r="O541" t="s">
        <v>687</v>
      </c>
      <c r="P541" t="s">
        <v>565</v>
      </c>
      <c r="Q541" t="s">
        <v>433</v>
      </c>
    </row>
    <row r="542" spans="1:18" x14ac:dyDescent="0.35">
      <c r="A542" s="11">
        <v>43892</v>
      </c>
      <c r="B542" s="11">
        <v>43892</v>
      </c>
      <c r="C542" s="1">
        <v>30</v>
      </c>
      <c r="D542" t="s">
        <v>52</v>
      </c>
      <c r="F542" t="s">
        <v>469</v>
      </c>
      <c r="G542" t="s">
        <v>561</v>
      </c>
      <c r="I542" s="14" t="s">
        <v>479</v>
      </c>
      <c r="J542" s="14">
        <v>105</v>
      </c>
      <c r="K542" s="14" t="s">
        <v>88</v>
      </c>
      <c r="L542" s="14" t="s">
        <v>122</v>
      </c>
      <c r="M542" s="14" t="s">
        <v>122</v>
      </c>
      <c r="N542" s="14" t="s">
        <v>151</v>
      </c>
      <c r="O542" s="14" t="s">
        <v>575</v>
      </c>
      <c r="P542" s="14" t="s">
        <v>151</v>
      </c>
      <c r="Q542" s="14" t="s">
        <v>178</v>
      </c>
      <c r="R542" s="14"/>
    </row>
    <row r="543" spans="1:18" x14ac:dyDescent="0.35">
      <c r="A543" s="11">
        <v>43892</v>
      </c>
      <c r="B543" s="11">
        <v>43892</v>
      </c>
      <c r="C543" s="1">
        <v>30</v>
      </c>
      <c r="D543" t="s">
        <v>52</v>
      </c>
      <c r="F543" t="s">
        <v>469</v>
      </c>
      <c r="G543" t="s">
        <v>561</v>
      </c>
      <c r="I543" s="14" t="s">
        <v>479</v>
      </c>
      <c r="J543" s="14">
        <v>105</v>
      </c>
      <c r="K543" s="14" t="s">
        <v>89</v>
      </c>
      <c r="L543" s="14" t="s">
        <v>144</v>
      </c>
      <c r="M543" s="14" t="s">
        <v>121</v>
      </c>
      <c r="N543" s="14" t="s">
        <v>609</v>
      </c>
      <c r="O543" s="14" t="s">
        <v>121</v>
      </c>
      <c r="P543" s="14" t="s">
        <v>607</v>
      </c>
      <c r="Q543" s="14" t="s">
        <v>591</v>
      </c>
      <c r="R543" s="14"/>
    </row>
    <row r="544" spans="1:18" x14ac:dyDescent="0.35">
      <c r="A544" s="11">
        <v>43892</v>
      </c>
      <c r="B544" s="11">
        <v>43892</v>
      </c>
      <c r="C544" s="1">
        <v>30</v>
      </c>
      <c r="D544" t="s">
        <v>52</v>
      </c>
      <c r="F544" t="s">
        <v>469</v>
      </c>
      <c r="G544" t="s">
        <v>561</v>
      </c>
      <c r="I544" s="14" t="s">
        <v>479</v>
      </c>
      <c r="J544" s="14">
        <v>105</v>
      </c>
      <c r="K544" s="14" t="s">
        <v>90</v>
      </c>
      <c r="L544" s="14" t="s">
        <v>594</v>
      </c>
      <c r="M544" s="14" t="s">
        <v>603</v>
      </c>
      <c r="N544" s="14" t="s">
        <v>93</v>
      </c>
      <c r="O544" s="14" t="s">
        <v>601</v>
      </c>
      <c r="P544" s="14" t="s">
        <v>599</v>
      </c>
      <c r="Q544" s="14" t="s">
        <v>596</v>
      </c>
      <c r="R544" s="14"/>
    </row>
    <row r="545" spans="1:18" x14ac:dyDescent="0.35">
      <c r="A545" s="11">
        <v>43899</v>
      </c>
      <c r="B545" s="11">
        <v>43899</v>
      </c>
      <c r="C545" s="1">
        <v>30</v>
      </c>
      <c r="D545" t="s">
        <v>52</v>
      </c>
      <c r="F545" t="s">
        <v>469</v>
      </c>
      <c r="G545" t="s">
        <v>561</v>
      </c>
      <c r="I545" s="14" t="s">
        <v>479</v>
      </c>
      <c r="J545" s="14">
        <v>107</v>
      </c>
      <c r="K545" s="14" t="s">
        <v>88</v>
      </c>
      <c r="L545" s="14" t="s">
        <v>319</v>
      </c>
      <c r="M545" s="14" t="s">
        <v>319</v>
      </c>
      <c r="N545" s="14" t="s">
        <v>151</v>
      </c>
      <c r="O545" s="14" t="s">
        <v>319</v>
      </c>
      <c r="P545" s="14" t="s">
        <v>151</v>
      </c>
      <c r="Q545" s="14" t="s">
        <v>583</v>
      </c>
      <c r="R545" s="14"/>
    </row>
    <row r="546" spans="1:18" x14ac:dyDescent="0.35">
      <c r="A546" s="11">
        <v>43899</v>
      </c>
      <c r="B546" s="11">
        <v>43899</v>
      </c>
      <c r="C546" s="1">
        <v>30</v>
      </c>
      <c r="D546" t="s">
        <v>52</v>
      </c>
      <c r="F546" t="s">
        <v>469</v>
      </c>
      <c r="G546" t="s">
        <v>561</v>
      </c>
      <c r="I546" s="14" t="s">
        <v>479</v>
      </c>
      <c r="J546" s="14">
        <v>107</v>
      </c>
      <c r="K546" s="14" t="s">
        <v>89</v>
      </c>
      <c r="L546" s="14" t="s">
        <v>144</v>
      </c>
      <c r="M546" s="14" t="s">
        <v>607</v>
      </c>
      <c r="N546" s="14" t="s">
        <v>609</v>
      </c>
      <c r="O546" s="14" t="s">
        <v>607</v>
      </c>
      <c r="P546" s="14" t="s">
        <v>607</v>
      </c>
      <c r="Q546" s="14" t="s">
        <v>607</v>
      </c>
      <c r="R546" s="14"/>
    </row>
    <row r="547" spans="1:18" x14ac:dyDescent="0.35">
      <c r="A547" s="11">
        <v>43899</v>
      </c>
      <c r="B547" s="11">
        <v>43899</v>
      </c>
      <c r="C547" s="1">
        <v>30</v>
      </c>
      <c r="D547" t="s">
        <v>52</v>
      </c>
      <c r="F547" t="s">
        <v>469</v>
      </c>
      <c r="G547" t="s">
        <v>561</v>
      </c>
      <c r="I547" s="14" t="s">
        <v>479</v>
      </c>
      <c r="J547" s="14">
        <v>107</v>
      </c>
      <c r="K547" s="14" t="s">
        <v>90</v>
      </c>
      <c r="L547" s="14" t="s">
        <v>594</v>
      </c>
      <c r="M547" s="14" t="s">
        <v>93</v>
      </c>
      <c r="N547" s="14" t="s">
        <v>93</v>
      </c>
      <c r="O547" s="14" t="s">
        <v>93</v>
      </c>
      <c r="P547" s="14" t="s">
        <v>93</v>
      </c>
      <c r="Q547" s="14" t="s">
        <v>598</v>
      </c>
      <c r="R547" s="14"/>
    </row>
    <row r="548" spans="1:18" x14ac:dyDescent="0.35">
      <c r="A548" s="11">
        <f>B548</f>
        <v>43855</v>
      </c>
      <c r="B548" s="8">
        <v>43855</v>
      </c>
      <c r="C548" s="1">
        <v>31</v>
      </c>
      <c r="D548" t="s">
        <v>52</v>
      </c>
      <c r="F548" t="s">
        <v>520</v>
      </c>
      <c r="G548" t="s">
        <v>34</v>
      </c>
      <c r="I548" t="s">
        <v>6</v>
      </c>
      <c r="J548">
        <v>65</v>
      </c>
      <c r="K548" t="s">
        <v>88</v>
      </c>
      <c r="L548" t="s">
        <v>319</v>
      </c>
      <c r="M548" t="s">
        <v>521</v>
      </c>
      <c r="N548" t="s">
        <v>521</v>
      </c>
      <c r="O548" t="s">
        <v>408</v>
      </c>
      <c r="P548" t="s">
        <v>408</v>
      </c>
      <c r="Q548" t="s">
        <v>522</v>
      </c>
    </row>
    <row r="549" spans="1:18" x14ac:dyDescent="0.35">
      <c r="A549" s="11">
        <f>B549</f>
        <v>43855</v>
      </c>
      <c r="B549" s="8">
        <v>43855</v>
      </c>
      <c r="C549" s="1">
        <v>31</v>
      </c>
      <c r="D549" t="s">
        <v>52</v>
      </c>
      <c r="F549" t="s">
        <v>520</v>
      </c>
      <c r="G549" t="s">
        <v>34</v>
      </c>
      <c r="I549" t="s">
        <v>6</v>
      </c>
      <c r="J549">
        <v>65</v>
      </c>
      <c r="K549" t="s">
        <v>89</v>
      </c>
      <c r="L549" t="s">
        <v>411</v>
      </c>
      <c r="M549" t="s">
        <v>523</v>
      </c>
      <c r="N549" t="s">
        <v>524</v>
      </c>
      <c r="O549" t="s">
        <v>419</v>
      </c>
      <c r="P549" t="s">
        <v>419</v>
      </c>
      <c r="Q549" t="s">
        <v>525</v>
      </c>
    </row>
    <row r="550" spans="1:18" x14ac:dyDescent="0.35">
      <c r="A550" s="11">
        <f>B550</f>
        <v>43855</v>
      </c>
      <c r="B550" s="8">
        <v>43855</v>
      </c>
      <c r="C550" s="1">
        <v>31</v>
      </c>
      <c r="D550" t="s">
        <v>52</v>
      </c>
      <c r="F550" t="s">
        <v>520</v>
      </c>
      <c r="G550" t="s">
        <v>34</v>
      </c>
      <c r="I550" t="s">
        <v>6</v>
      </c>
      <c r="J550">
        <v>65</v>
      </c>
      <c r="K550" t="s">
        <v>90</v>
      </c>
      <c r="L550" t="s">
        <v>414</v>
      </c>
      <c r="M550" t="s">
        <v>448</v>
      </c>
      <c r="N550" t="s">
        <v>448</v>
      </c>
      <c r="O550" t="s">
        <v>439</v>
      </c>
      <c r="P550" t="s">
        <v>167</v>
      </c>
      <c r="Q550" t="s">
        <v>448</v>
      </c>
    </row>
    <row r="551" spans="1:18" x14ac:dyDescent="0.35">
      <c r="A551" s="11">
        <v>43862</v>
      </c>
      <c r="B551" s="11">
        <v>43862</v>
      </c>
      <c r="C551" s="1">
        <v>31</v>
      </c>
      <c r="D551" t="s">
        <v>52</v>
      </c>
      <c r="F551" t="s">
        <v>520</v>
      </c>
      <c r="G551" t="s">
        <v>75</v>
      </c>
      <c r="I551" t="s">
        <v>479</v>
      </c>
      <c r="J551">
        <v>117</v>
      </c>
      <c r="K551" t="s">
        <v>88</v>
      </c>
      <c r="L551" t="s">
        <v>615</v>
      </c>
      <c r="M551" t="s">
        <v>408</v>
      </c>
      <c r="N551" t="s">
        <v>408</v>
      </c>
      <c r="O551" t="s">
        <v>563</v>
      </c>
      <c r="P551" t="s">
        <v>621</v>
      </c>
      <c r="Q551" t="s">
        <v>408</v>
      </c>
    </row>
    <row r="552" spans="1:18" x14ac:dyDescent="0.35">
      <c r="A552" s="11">
        <v>43862</v>
      </c>
      <c r="B552" s="11">
        <v>43862</v>
      </c>
      <c r="C552" s="1">
        <v>31</v>
      </c>
      <c r="D552" t="s">
        <v>52</v>
      </c>
      <c r="F552" t="s">
        <v>520</v>
      </c>
      <c r="G552" t="s">
        <v>75</v>
      </c>
      <c r="I552" t="s">
        <v>479</v>
      </c>
      <c r="J552">
        <v>117</v>
      </c>
      <c r="K552" t="s">
        <v>89</v>
      </c>
      <c r="L552" t="s">
        <v>526</v>
      </c>
      <c r="M552" t="s">
        <v>617</v>
      </c>
      <c r="N552" t="s">
        <v>626</v>
      </c>
      <c r="O552" t="s">
        <v>617</v>
      </c>
      <c r="P552" t="s">
        <v>622</v>
      </c>
      <c r="Q552" t="s">
        <v>490</v>
      </c>
    </row>
    <row r="553" spans="1:18" x14ac:dyDescent="0.35">
      <c r="A553" s="11">
        <v>43862</v>
      </c>
      <c r="B553" s="11">
        <v>43862</v>
      </c>
      <c r="C553" s="1">
        <v>31</v>
      </c>
      <c r="D553" t="s">
        <v>52</v>
      </c>
      <c r="F553" t="s">
        <v>520</v>
      </c>
      <c r="G553" t="s">
        <v>75</v>
      </c>
      <c r="I553" t="s">
        <v>479</v>
      </c>
      <c r="J553">
        <v>117</v>
      </c>
      <c r="K553" t="s">
        <v>90</v>
      </c>
      <c r="L553" t="s">
        <v>546</v>
      </c>
      <c r="M553" t="s">
        <v>433</v>
      </c>
      <c r="N553" t="s">
        <v>627</v>
      </c>
      <c r="O553" t="s">
        <v>432</v>
      </c>
      <c r="P553" t="s">
        <v>93</v>
      </c>
      <c r="Q553" t="s">
        <v>627</v>
      </c>
    </row>
    <row r="554" spans="1:18" x14ac:dyDescent="0.35">
      <c r="A554" s="11">
        <v>43869</v>
      </c>
      <c r="B554" s="11">
        <v>43869</v>
      </c>
      <c r="C554" s="1">
        <v>31</v>
      </c>
      <c r="D554" t="s">
        <v>52</v>
      </c>
      <c r="F554" t="s">
        <v>520</v>
      </c>
      <c r="G554" t="s">
        <v>34</v>
      </c>
      <c r="I554" t="s">
        <v>479</v>
      </c>
      <c r="J554">
        <v>192</v>
      </c>
      <c r="K554" t="s">
        <v>88</v>
      </c>
      <c r="L554" t="s">
        <v>649</v>
      </c>
      <c r="M554" t="s">
        <v>408</v>
      </c>
      <c r="N554" t="s">
        <v>642</v>
      </c>
      <c r="O554" t="s">
        <v>650</v>
      </c>
      <c r="P554" t="s">
        <v>408</v>
      </c>
      <c r="Q554" t="s">
        <v>553</v>
      </c>
    </row>
    <row r="555" spans="1:18" x14ac:dyDescent="0.35">
      <c r="A555" s="11">
        <v>43869</v>
      </c>
      <c r="B555" s="11">
        <v>43869</v>
      </c>
      <c r="C555" s="1">
        <v>31</v>
      </c>
      <c r="D555" t="s">
        <v>52</v>
      </c>
      <c r="F555" t="s">
        <v>520</v>
      </c>
      <c r="G555" t="s">
        <v>34</v>
      </c>
      <c r="I555" t="s">
        <v>479</v>
      </c>
      <c r="J555">
        <v>192</v>
      </c>
      <c r="K555" t="s">
        <v>89</v>
      </c>
      <c r="L555" t="s">
        <v>651</v>
      </c>
      <c r="M555" t="s">
        <v>408</v>
      </c>
      <c r="N555" t="s">
        <v>648</v>
      </c>
      <c r="O555" t="s">
        <v>646</v>
      </c>
      <c r="P555" t="s">
        <v>408</v>
      </c>
      <c r="Q555" t="s">
        <v>408</v>
      </c>
    </row>
    <row r="556" spans="1:18" x14ac:dyDescent="0.35">
      <c r="A556" s="11">
        <v>43869</v>
      </c>
      <c r="B556" s="11">
        <v>43869</v>
      </c>
      <c r="C556" s="1">
        <v>31</v>
      </c>
      <c r="D556" t="s">
        <v>52</v>
      </c>
      <c r="F556" t="s">
        <v>520</v>
      </c>
      <c r="G556" t="s">
        <v>34</v>
      </c>
      <c r="I556" t="s">
        <v>479</v>
      </c>
      <c r="J556">
        <v>192</v>
      </c>
      <c r="K556" t="s">
        <v>90</v>
      </c>
      <c r="L556" t="s">
        <v>530</v>
      </c>
      <c r="M556" t="s">
        <v>428</v>
      </c>
      <c r="N556" t="s">
        <v>428</v>
      </c>
      <c r="O556" t="s">
        <v>652</v>
      </c>
      <c r="P556" t="s">
        <v>530</v>
      </c>
      <c r="Q556" t="s">
        <v>653</v>
      </c>
    </row>
    <row r="557" spans="1:18" x14ac:dyDescent="0.35">
      <c r="A557" s="11">
        <v>43876</v>
      </c>
      <c r="B557" s="11">
        <v>43876</v>
      </c>
      <c r="C557" s="1">
        <v>31</v>
      </c>
      <c r="D557" t="s">
        <v>52</v>
      </c>
      <c r="F557" t="s">
        <v>520</v>
      </c>
      <c r="G557" t="s">
        <v>75</v>
      </c>
      <c r="I557" t="s">
        <v>479</v>
      </c>
      <c r="J557">
        <v>126</v>
      </c>
      <c r="K557" t="s">
        <v>88</v>
      </c>
      <c r="L557" t="s">
        <v>615</v>
      </c>
      <c r="M557" t="s">
        <v>677</v>
      </c>
      <c r="N557" t="s">
        <v>137</v>
      </c>
      <c r="O557" t="s">
        <v>563</v>
      </c>
      <c r="P557" t="s">
        <v>621</v>
      </c>
      <c r="Q557" t="s">
        <v>408</v>
      </c>
    </row>
    <row r="558" spans="1:18" x14ac:dyDescent="0.35">
      <c r="A558" s="11">
        <v>43876</v>
      </c>
      <c r="B558" s="11">
        <v>43876</v>
      </c>
      <c r="C558" s="1">
        <v>31</v>
      </c>
      <c r="D558" t="s">
        <v>52</v>
      </c>
      <c r="F558" t="s">
        <v>520</v>
      </c>
      <c r="G558" t="s">
        <v>75</v>
      </c>
      <c r="I558" t="s">
        <v>479</v>
      </c>
      <c r="J558">
        <v>126</v>
      </c>
      <c r="K558" t="s">
        <v>89</v>
      </c>
      <c r="L558" t="s">
        <v>411</v>
      </c>
      <c r="M558" t="s">
        <v>678</v>
      </c>
      <c r="N558" t="s">
        <v>632</v>
      </c>
      <c r="O558" t="s">
        <v>679</v>
      </c>
      <c r="P558" t="s">
        <v>622</v>
      </c>
      <c r="Q558" t="s">
        <v>617</v>
      </c>
    </row>
    <row r="559" spans="1:18" x14ac:dyDescent="0.35">
      <c r="A559" s="11">
        <v>43876</v>
      </c>
      <c r="B559" s="11">
        <v>43876</v>
      </c>
      <c r="C559" s="1">
        <v>31</v>
      </c>
      <c r="D559" t="s">
        <v>52</v>
      </c>
      <c r="F559" t="s">
        <v>520</v>
      </c>
      <c r="G559" t="s">
        <v>75</v>
      </c>
      <c r="I559" t="s">
        <v>479</v>
      </c>
      <c r="J559">
        <v>126</v>
      </c>
      <c r="K559" t="s">
        <v>90</v>
      </c>
      <c r="L559" t="s">
        <v>546</v>
      </c>
      <c r="M559" t="s">
        <v>680</v>
      </c>
      <c r="N559" t="s">
        <v>681</v>
      </c>
      <c r="O559" t="s">
        <v>627</v>
      </c>
      <c r="P559" t="s">
        <v>627</v>
      </c>
      <c r="Q559" t="s">
        <v>627</v>
      </c>
    </row>
    <row r="560" spans="1:18" x14ac:dyDescent="0.35">
      <c r="A560" s="11">
        <v>43885</v>
      </c>
      <c r="B560" s="11">
        <v>43885</v>
      </c>
      <c r="C560" s="1">
        <v>31</v>
      </c>
      <c r="D560" t="s">
        <v>52</v>
      </c>
      <c r="F560" t="s">
        <v>520</v>
      </c>
      <c r="G560" t="s">
        <v>561</v>
      </c>
      <c r="I560" t="s">
        <v>479</v>
      </c>
      <c r="J560">
        <v>114</v>
      </c>
      <c r="K560" s="14" t="s">
        <v>88</v>
      </c>
      <c r="L560" s="14" t="s">
        <v>575</v>
      </c>
      <c r="M560" s="14" t="s">
        <v>154</v>
      </c>
      <c r="N560" s="14" t="s">
        <v>151</v>
      </c>
      <c r="O560" s="14" t="s">
        <v>154</v>
      </c>
      <c r="P560" s="14" t="s">
        <v>151</v>
      </c>
      <c r="Q560" s="14" t="s">
        <v>583</v>
      </c>
      <c r="R560" s="14"/>
    </row>
    <row r="561" spans="1:20" x14ac:dyDescent="0.35">
      <c r="A561" s="11">
        <v>43885</v>
      </c>
      <c r="B561" s="11">
        <v>43885</v>
      </c>
      <c r="C561" s="1">
        <v>31</v>
      </c>
      <c r="D561" t="s">
        <v>52</v>
      </c>
      <c r="F561" t="s">
        <v>520</v>
      </c>
      <c r="G561" t="s">
        <v>561</v>
      </c>
      <c r="I561" t="s">
        <v>479</v>
      </c>
      <c r="J561">
        <v>114</v>
      </c>
      <c r="K561" s="14" t="s">
        <v>89</v>
      </c>
      <c r="L561" s="14" t="s">
        <v>144</v>
      </c>
      <c r="M561" s="14" t="s">
        <v>607</v>
      </c>
      <c r="N561" s="14" t="s">
        <v>609</v>
      </c>
      <c r="O561" s="14" t="s">
        <v>607</v>
      </c>
      <c r="P561" s="14" t="s">
        <v>607</v>
      </c>
      <c r="Q561" s="14" t="s">
        <v>607</v>
      </c>
      <c r="R561" s="14"/>
    </row>
    <row r="562" spans="1:20" x14ac:dyDescent="0.35">
      <c r="A562" s="11">
        <v>43885</v>
      </c>
      <c r="B562" s="11">
        <v>43885</v>
      </c>
      <c r="C562" s="1">
        <v>31</v>
      </c>
      <c r="D562" t="s">
        <v>52</v>
      </c>
      <c r="F562" t="s">
        <v>520</v>
      </c>
      <c r="G562" t="s">
        <v>561</v>
      </c>
      <c r="I562" t="s">
        <v>479</v>
      </c>
      <c r="J562">
        <v>114</v>
      </c>
      <c r="K562" s="14" t="s">
        <v>90</v>
      </c>
      <c r="L562" s="14" t="s">
        <v>594</v>
      </c>
      <c r="M562" s="14" t="s">
        <v>93</v>
      </c>
      <c r="N562" s="14" t="s">
        <v>93</v>
      </c>
      <c r="O562" s="14" t="s">
        <v>93</v>
      </c>
      <c r="P562" s="14" t="s">
        <v>93</v>
      </c>
      <c r="Q562" s="14" t="s">
        <v>598</v>
      </c>
      <c r="R562" s="14"/>
    </row>
    <row r="563" spans="1:20" x14ac:dyDescent="0.35">
      <c r="A563" s="11">
        <v>43892</v>
      </c>
      <c r="B563" s="11">
        <v>43892</v>
      </c>
      <c r="C563" s="1">
        <v>31</v>
      </c>
      <c r="D563" t="s">
        <v>52</v>
      </c>
      <c r="F563" t="s">
        <v>520</v>
      </c>
      <c r="G563" t="s">
        <v>561</v>
      </c>
      <c r="I563" s="14" t="s">
        <v>479</v>
      </c>
      <c r="J563" s="14">
        <v>140</v>
      </c>
      <c r="K563" s="14" t="s">
        <v>88</v>
      </c>
      <c r="L563" s="14" t="s">
        <v>122</v>
      </c>
      <c r="M563" s="14" t="s">
        <v>122</v>
      </c>
      <c r="N563" s="14" t="s">
        <v>576</v>
      </c>
      <c r="O563" s="14" t="s">
        <v>122</v>
      </c>
      <c r="P563" s="14" t="s">
        <v>578</v>
      </c>
      <c r="Q563" s="14" t="s">
        <v>584</v>
      </c>
      <c r="R563" s="14"/>
    </row>
    <row r="564" spans="1:20" x14ac:dyDescent="0.35">
      <c r="A564" s="11">
        <v>43892</v>
      </c>
      <c r="B564" s="11">
        <v>43892</v>
      </c>
      <c r="C564" s="1">
        <v>31</v>
      </c>
      <c r="D564" t="s">
        <v>52</v>
      </c>
      <c r="F564" t="s">
        <v>520</v>
      </c>
      <c r="G564" t="s">
        <v>561</v>
      </c>
      <c r="I564" s="14" t="s">
        <v>479</v>
      </c>
      <c r="J564" s="14">
        <v>140</v>
      </c>
      <c r="K564" s="14" t="s">
        <v>89</v>
      </c>
      <c r="L564" s="14" t="s">
        <v>144</v>
      </c>
      <c r="M564" s="14" t="s">
        <v>589</v>
      </c>
      <c r="N564" s="14" t="s">
        <v>586</v>
      </c>
      <c r="O564" s="14" t="s">
        <v>121</v>
      </c>
      <c r="P564" s="14" t="s">
        <v>578</v>
      </c>
      <c r="Q564" s="14" t="s">
        <v>591</v>
      </c>
      <c r="R564" s="14"/>
    </row>
    <row r="565" spans="1:20" x14ac:dyDescent="0.35">
      <c r="A565" s="11">
        <v>43892</v>
      </c>
      <c r="B565" s="11">
        <v>43892</v>
      </c>
      <c r="C565" s="1">
        <v>31</v>
      </c>
      <c r="D565" t="s">
        <v>52</v>
      </c>
      <c r="F565" t="s">
        <v>520</v>
      </c>
      <c r="G565" t="s">
        <v>561</v>
      </c>
      <c r="I565" s="14" t="s">
        <v>479</v>
      </c>
      <c r="J565" s="14">
        <v>140</v>
      </c>
      <c r="K565" s="14" t="s">
        <v>90</v>
      </c>
      <c r="L565" s="14" t="s">
        <v>594</v>
      </c>
      <c r="M565" s="14" t="s">
        <v>603</v>
      </c>
      <c r="N565" s="14" t="s">
        <v>602</v>
      </c>
      <c r="O565" s="14" t="s">
        <v>601</v>
      </c>
      <c r="P565" s="14" t="s">
        <v>93</v>
      </c>
      <c r="Q565" s="14" t="s">
        <v>596</v>
      </c>
      <c r="R565" s="14"/>
    </row>
    <row r="566" spans="1:20" x14ac:dyDescent="0.35">
      <c r="A566" s="11">
        <v>43899</v>
      </c>
      <c r="B566" s="11">
        <v>43899</v>
      </c>
      <c r="C566" s="1">
        <v>31</v>
      </c>
      <c r="D566" t="s">
        <v>52</v>
      </c>
      <c r="F566" t="s">
        <v>520</v>
      </c>
      <c r="G566" t="s">
        <v>561</v>
      </c>
      <c r="I566" s="14" t="s">
        <v>479</v>
      </c>
      <c r="J566" s="14">
        <v>160</v>
      </c>
      <c r="K566" s="14" t="s">
        <v>88</v>
      </c>
      <c r="L566" s="14" t="s">
        <v>319</v>
      </c>
      <c r="M566" s="14" t="s">
        <v>122</v>
      </c>
      <c r="N566" s="14" t="s">
        <v>151</v>
      </c>
      <c r="O566" s="14" t="s">
        <v>319</v>
      </c>
      <c r="P566" s="14" t="s">
        <v>151</v>
      </c>
      <c r="Q566" s="14" t="s">
        <v>583</v>
      </c>
      <c r="R566" s="14"/>
    </row>
    <row r="567" spans="1:20" x14ac:dyDescent="0.35">
      <c r="A567" s="11">
        <v>43899</v>
      </c>
      <c r="B567" s="11">
        <v>43899</v>
      </c>
      <c r="C567" s="1">
        <v>31</v>
      </c>
      <c r="D567" t="s">
        <v>52</v>
      </c>
      <c r="F567" t="s">
        <v>520</v>
      </c>
      <c r="G567" t="s">
        <v>561</v>
      </c>
      <c r="I567" s="14" t="s">
        <v>479</v>
      </c>
      <c r="J567" s="14">
        <v>160</v>
      </c>
      <c r="K567" s="14" t="s">
        <v>89</v>
      </c>
      <c r="L567" s="14" t="s">
        <v>144</v>
      </c>
      <c r="M567" s="14" t="s">
        <v>121</v>
      </c>
      <c r="N567" s="14" t="s">
        <v>609</v>
      </c>
      <c r="O567" s="14" t="s">
        <v>607</v>
      </c>
      <c r="P567" s="14" t="s">
        <v>607</v>
      </c>
      <c r="Q567" s="14" t="s">
        <v>607</v>
      </c>
      <c r="R567" s="14"/>
    </row>
    <row r="568" spans="1:20" x14ac:dyDescent="0.35">
      <c r="A568" s="11">
        <v>43899</v>
      </c>
      <c r="B568" s="11">
        <v>43899</v>
      </c>
      <c r="C568" s="1">
        <v>31</v>
      </c>
      <c r="D568" t="s">
        <v>52</v>
      </c>
      <c r="F568" t="s">
        <v>520</v>
      </c>
      <c r="G568" t="s">
        <v>561</v>
      </c>
      <c r="I568" s="14" t="s">
        <v>479</v>
      </c>
      <c r="J568" s="14">
        <v>160</v>
      </c>
      <c r="K568" s="14" t="s">
        <v>90</v>
      </c>
      <c r="L568" s="14" t="s">
        <v>594</v>
      </c>
      <c r="M568" s="14" t="s">
        <v>603</v>
      </c>
      <c r="N568" s="14" t="s">
        <v>93</v>
      </c>
      <c r="O568" s="14" t="s">
        <v>93</v>
      </c>
      <c r="P568" s="14" t="s">
        <v>93</v>
      </c>
      <c r="Q568" s="14" t="s">
        <v>598</v>
      </c>
      <c r="R568" s="14"/>
    </row>
    <row r="569" spans="1:20" x14ac:dyDescent="0.35">
      <c r="A569" s="11">
        <f t="shared" ref="A569:A574" si="20">B569</f>
        <v>43848</v>
      </c>
      <c r="B569" s="8">
        <v>43848</v>
      </c>
      <c r="C569" s="1">
        <v>32</v>
      </c>
      <c r="D569" t="s">
        <v>52</v>
      </c>
      <c r="F569" t="s">
        <v>474</v>
      </c>
      <c r="G569" t="s">
        <v>34</v>
      </c>
      <c r="I569" t="s">
        <v>6</v>
      </c>
      <c r="J569">
        <v>61</v>
      </c>
      <c r="K569" t="s">
        <v>88</v>
      </c>
      <c r="L569" t="s">
        <v>319</v>
      </c>
      <c r="M569" t="s">
        <v>475</v>
      </c>
      <c r="N569" t="s">
        <v>408</v>
      </c>
      <c r="O569" t="s">
        <v>408</v>
      </c>
      <c r="P569" t="s">
        <v>476</v>
      </c>
      <c r="Q569" t="s">
        <v>408</v>
      </c>
      <c r="R569" t="s">
        <v>477</v>
      </c>
      <c r="S569" t="s">
        <v>408</v>
      </c>
      <c r="T569" t="s">
        <v>478</v>
      </c>
    </row>
    <row r="570" spans="1:20" x14ac:dyDescent="0.35">
      <c r="A570" s="11">
        <f t="shared" si="20"/>
        <v>43848</v>
      </c>
      <c r="B570" s="8">
        <v>43848</v>
      </c>
      <c r="C570" s="1">
        <v>32</v>
      </c>
      <c r="D570" t="s">
        <v>52</v>
      </c>
      <c r="F570" t="s">
        <v>474</v>
      </c>
      <c r="G570" t="s">
        <v>34</v>
      </c>
      <c r="I570" t="s">
        <v>6</v>
      </c>
      <c r="J570">
        <v>61</v>
      </c>
      <c r="K570" t="s">
        <v>89</v>
      </c>
    </row>
    <row r="571" spans="1:20" x14ac:dyDescent="0.35">
      <c r="A571" s="11">
        <f t="shared" si="20"/>
        <v>43848</v>
      </c>
      <c r="B571" s="8">
        <v>43848</v>
      </c>
      <c r="C571" s="1">
        <v>32</v>
      </c>
      <c r="D571" t="s">
        <v>52</v>
      </c>
      <c r="F571" t="s">
        <v>474</v>
      </c>
      <c r="G571" t="s">
        <v>34</v>
      </c>
      <c r="I571" t="s">
        <v>6</v>
      </c>
      <c r="J571">
        <v>61</v>
      </c>
      <c r="K571" t="s">
        <v>90</v>
      </c>
    </row>
    <row r="572" spans="1:20" x14ac:dyDescent="0.35">
      <c r="A572" s="11">
        <f t="shared" si="20"/>
        <v>43855</v>
      </c>
      <c r="B572" s="8">
        <v>43855</v>
      </c>
      <c r="C572" s="1">
        <v>32</v>
      </c>
      <c r="D572" t="s">
        <v>52</v>
      </c>
      <c r="F572" t="s">
        <v>474</v>
      </c>
      <c r="G572" t="s">
        <v>34</v>
      </c>
      <c r="I572" t="s">
        <v>479</v>
      </c>
      <c r="J572">
        <v>64</v>
      </c>
      <c r="K572" t="s">
        <v>88</v>
      </c>
      <c r="L572" t="s">
        <v>151</v>
      </c>
      <c r="M572" t="s">
        <v>516</v>
      </c>
      <c r="N572" t="s">
        <v>408</v>
      </c>
      <c r="O572" t="s">
        <v>408</v>
      </c>
      <c r="P572" t="s">
        <v>476</v>
      </c>
      <c r="Q572" t="s">
        <v>419</v>
      </c>
    </row>
    <row r="573" spans="1:20" x14ac:dyDescent="0.35">
      <c r="A573" s="11">
        <f t="shared" si="20"/>
        <v>43855</v>
      </c>
      <c r="B573" s="8">
        <v>43855</v>
      </c>
      <c r="C573" s="1">
        <v>32</v>
      </c>
      <c r="D573" t="s">
        <v>52</v>
      </c>
      <c r="F573" t="s">
        <v>474</v>
      </c>
      <c r="G573" t="s">
        <v>34</v>
      </c>
      <c r="I573" t="s">
        <v>479</v>
      </c>
      <c r="J573">
        <v>64</v>
      </c>
      <c r="K573" t="s">
        <v>89</v>
      </c>
      <c r="L573" t="s">
        <v>411</v>
      </c>
      <c r="M573" t="s">
        <v>517</v>
      </c>
      <c r="N573" t="s">
        <v>419</v>
      </c>
      <c r="O573" t="s">
        <v>419</v>
      </c>
      <c r="P573" t="s">
        <v>419</v>
      </c>
      <c r="Q573" t="s">
        <v>419</v>
      </c>
    </row>
    <row r="574" spans="1:20" x14ac:dyDescent="0.35">
      <c r="A574" s="11">
        <f t="shared" si="20"/>
        <v>43855</v>
      </c>
      <c r="B574" s="8">
        <v>43855</v>
      </c>
      <c r="C574" s="1">
        <v>32</v>
      </c>
      <c r="D574" t="s">
        <v>52</v>
      </c>
      <c r="F574" t="s">
        <v>474</v>
      </c>
      <c r="G574" t="s">
        <v>34</v>
      </c>
      <c r="I574" t="s">
        <v>479</v>
      </c>
      <c r="J574">
        <v>64</v>
      </c>
      <c r="K574" t="s">
        <v>90</v>
      </c>
      <c r="L574" t="s">
        <v>414</v>
      </c>
      <c r="M574" t="s">
        <v>518</v>
      </c>
      <c r="N574" t="s">
        <v>272</v>
      </c>
      <c r="O574" t="s">
        <v>439</v>
      </c>
      <c r="P574" t="s">
        <v>272</v>
      </c>
      <c r="Q574" t="s">
        <v>519</v>
      </c>
    </row>
    <row r="575" spans="1:20" x14ac:dyDescent="0.35">
      <c r="A575" s="11">
        <v>43862</v>
      </c>
      <c r="B575" s="11">
        <v>43862</v>
      </c>
      <c r="C575" s="1">
        <v>32</v>
      </c>
      <c r="D575" t="s">
        <v>52</v>
      </c>
      <c r="F575" t="s">
        <v>474</v>
      </c>
      <c r="G575" t="s">
        <v>75</v>
      </c>
      <c r="I575" t="s">
        <v>479</v>
      </c>
      <c r="J575">
        <v>119</v>
      </c>
      <c r="K575" t="s">
        <v>88</v>
      </c>
      <c r="L575" t="s">
        <v>615</v>
      </c>
      <c r="M575" t="s">
        <v>408</v>
      </c>
      <c r="N575" t="s">
        <v>408</v>
      </c>
      <c r="O575" t="s">
        <v>563</v>
      </c>
      <c r="P575" t="s">
        <v>621</v>
      </c>
      <c r="Q575" t="s">
        <v>408</v>
      </c>
    </row>
    <row r="576" spans="1:20" x14ac:dyDescent="0.35">
      <c r="A576" s="11">
        <v>43862</v>
      </c>
      <c r="B576" s="11">
        <v>43862</v>
      </c>
      <c r="C576" s="1">
        <v>32</v>
      </c>
      <c r="D576" t="s">
        <v>52</v>
      </c>
      <c r="F576" t="s">
        <v>474</v>
      </c>
      <c r="G576" t="s">
        <v>75</v>
      </c>
      <c r="I576" t="s">
        <v>479</v>
      </c>
      <c r="J576">
        <v>119</v>
      </c>
      <c r="K576" t="s">
        <v>89</v>
      </c>
      <c r="L576" t="s">
        <v>526</v>
      </c>
      <c r="M576" t="s">
        <v>617</v>
      </c>
      <c r="N576" t="s">
        <v>618</v>
      </c>
      <c r="O576" t="s">
        <v>628</v>
      </c>
      <c r="P576" t="s">
        <v>622</v>
      </c>
      <c r="Q576" t="s">
        <v>617</v>
      </c>
    </row>
    <row r="577" spans="1:18" x14ac:dyDescent="0.35">
      <c r="A577" s="11">
        <v>43862</v>
      </c>
      <c r="B577" s="11">
        <v>43862</v>
      </c>
      <c r="C577" s="1">
        <v>32</v>
      </c>
      <c r="D577" t="s">
        <v>52</v>
      </c>
      <c r="F577" t="s">
        <v>474</v>
      </c>
      <c r="G577" t="s">
        <v>75</v>
      </c>
      <c r="I577" t="s">
        <v>479</v>
      </c>
      <c r="J577">
        <v>119</v>
      </c>
      <c r="K577" t="s">
        <v>90</v>
      </c>
      <c r="L577" t="s">
        <v>546</v>
      </c>
      <c r="M577" t="s">
        <v>433</v>
      </c>
      <c r="N577" t="s">
        <v>93</v>
      </c>
      <c r="O577" t="s">
        <v>432</v>
      </c>
      <c r="P577" t="s">
        <v>93</v>
      </c>
      <c r="Q577" t="s">
        <v>433</v>
      </c>
    </row>
    <row r="578" spans="1:18" x14ac:dyDescent="0.35">
      <c r="A578" s="11">
        <v>43869</v>
      </c>
      <c r="B578" s="11">
        <v>43869</v>
      </c>
      <c r="C578" s="1">
        <v>32</v>
      </c>
      <c r="D578" t="s">
        <v>52</v>
      </c>
      <c r="F578" t="s">
        <v>474</v>
      </c>
      <c r="G578" t="s">
        <v>34</v>
      </c>
      <c r="I578" t="s">
        <v>479</v>
      </c>
      <c r="J578">
        <v>196</v>
      </c>
      <c r="K578" t="s">
        <v>88</v>
      </c>
      <c r="L578" t="s">
        <v>641</v>
      </c>
      <c r="M578" t="s">
        <v>408</v>
      </c>
      <c r="N578" t="s">
        <v>642</v>
      </c>
      <c r="O578" t="s">
        <v>643</v>
      </c>
      <c r="P578" t="s">
        <v>408</v>
      </c>
      <c r="Q578" t="s">
        <v>476</v>
      </c>
    </row>
    <row r="579" spans="1:18" x14ac:dyDescent="0.35">
      <c r="A579" s="11">
        <v>43869</v>
      </c>
      <c r="B579" s="11">
        <v>43869</v>
      </c>
      <c r="C579" s="1">
        <v>32</v>
      </c>
      <c r="D579" t="s">
        <v>52</v>
      </c>
      <c r="F579" t="s">
        <v>474</v>
      </c>
      <c r="G579" t="s">
        <v>34</v>
      </c>
      <c r="I579" t="s">
        <v>479</v>
      </c>
      <c r="J579">
        <v>196</v>
      </c>
      <c r="K579" t="s">
        <v>89</v>
      </c>
      <c r="L579" t="s">
        <v>644</v>
      </c>
      <c r="M579" t="s">
        <v>408</v>
      </c>
      <c r="N579" t="s">
        <v>645</v>
      </c>
      <c r="O579" t="s">
        <v>646</v>
      </c>
      <c r="P579" t="s">
        <v>408</v>
      </c>
      <c r="Q579" t="s">
        <v>408</v>
      </c>
    </row>
    <row r="580" spans="1:18" x14ac:dyDescent="0.35">
      <c r="A580" s="11">
        <v>43869</v>
      </c>
      <c r="B580" s="11">
        <v>43869</v>
      </c>
      <c r="C580" s="1">
        <v>32</v>
      </c>
      <c r="D580" t="s">
        <v>52</v>
      </c>
      <c r="F580" t="s">
        <v>474</v>
      </c>
      <c r="G580" t="s">
        <v>34</v>
      </c>
      <c r="I580" t="s">
        <v>479</v>
      </c>
      <c r="J580">
        <v>196</v>
      </c>
      <c r="K580" t="s">
        <v>90</v>
      </c>
      <c r="L580" t="s">
        <v>530</v>
      </c>
      <c r="M580" t="s">
        <v>428</v>
      </c>
      <c r="N580" t="s">
        <v>647</v>
      </c>
      <c r="O580" t="s">
        <v>648</v>
      </c>
      <c r="P580" t="s">
        <v>428</v>
      </c>
      <c r="Q580" t="s">
        <v>530</v>
      </c>
    </row>
    <row r="581" spans="1:18" x14ac:dyDescent="0.35">
      <c r="A581" s="11">
        <v>43876</v>
      </c>
      <c r="B581" s="11">
        <v>43876</v>
      </c>
      <c r="C581" s="1">
        <v>32</v>
      </c>
      <c r="D581" t="s">
        <v>52</v>
      </c>
      <c r="F581" t="s">
        <v>474</v>
      </c>
      <c r="G581" t="s">
        <v>75</v>
      </c>
      <c r="I581" t="s">
        <v>479</v>
      </c>
      <c r="J581">
        <v>142</v>
      </c>
      <c r="K581" t="s">
        <v>88</v>
      </c>
      <c r="L581" t="s">
        <v>615</v>
      </c>
      <c r="M581" t="s">
        <v>563</v>
      </c>
      <c r="N581" t="s">
        <v>408</v>
      </c>
      <c r="O581" t="s">
        <v>563</v>
      </c>
      <c r="P581" t="s">
        <v>621</v>
      </c>
      <c r="Q581" t="s">
        <v>408</v>
      </c>
    </row>
    <row r="582" spans="1:18" x14ac:dyDescent="0.35">
      <c r="A582" s="11">
        <v>43876</v>
      </c>
      <c r="B582" s="11">
        <v>43876</v>
      </c>
      <c r="C582" s="1">
        <v>32</v>
      </c>
      <c r="D582" t="s">
        <v>52</v>
      </c>
      <c r="F582" t="s">
        <v>474</v>
      </c>
      <c r="G582" t="s">
        <v>75</v>
      </c>
      <c r="I582" t="s">
        <v>479</v>
      </c>
      <c r="J582">
        <v>142</v>
      </c>
      <c r="K582" t="s">
        <v>89</v>
      </c>
      <c r="L582" t="s">
        <v>411</v>
      </c>
      <c r="M582" t="s">
        <v>628</v>
      </c>
      <c r="N582" t="s">
        <v>617</v>
      </c>
      <c r="O582" t="s">
        <v>622</v>
      </c>
      <c r="P582" t="s">
        <v>622</v>
      </c>
      <c r="Q582" t="s">
        <v>640</v>
      </c>
    </row>
    <row r="583" spans="1:18" x14ac:dyDescent="0.35">
      <c r="A583" s="11">
        <v>43876</v>
      </c>
      <c r="B583" s="11">
        <v>43876</v>
      </c>
      <c r="C583" s="1">
        <v>32</v>
      </c>
      <c r="D583" t="s">
        <v>52</v>
      </c>
      <c r="F583" t="s">
        <v>474</v>
      </c>
      <c r="G583" t="s">
        <v>75</v>
      </c>
      <c r="I583" t="s">
        <v>479</v>
      </c>
      <c r="J583">
        <v>142</v>
      </c>
      <c r="K583" t="s">
        <v>90</v>
      </c>
      <c r="L583" t="s">
        <v>546</v>
      </c>
      <c r="M583" t="s">
        <v>627</v>
      </c>
      <c r="N583" t="s">
        <v>627</v>
      </c>
      <c r="O583" t="s">
        <v>627</v>
      </c>
      <c r="P583" t="s">
        <v>627</v>
      </c>
      <c r="Q583" t="s">
        <v>627</v>
      </c>
    </row>
    <row r="584" spans="1:18" x14ac:dyDescent="0.35">
      <c r="A584" s="11">
        <v>43885</v>
      </c>
      <c r="B584" s="11">
        <v>43885</v>
      </c>
      <c r="C584" s="1">
        <v>32</v>
      </c>
      <c r="D584" t="s">
        <v>52</v>
      </c>
      <c r="F584" t="s">
        <v>474</v>
      </c>
      <c r="G584" t="s">
        <v>561</v>
      </c>
      <c r="I584" t="s">
        <v>479</v>
      </c>
      <c r="J584">
        <v>154</v>
      </c>
      <c r="K584" s="14" t="s">
        <v>88</v>
      </c>
      <c r="L584" s="14" t="s">
        <v>122</v>
      </c>
      <c r="M584" s="14" t="s">
        <v>319</v>
      </c>
      <c r="N584" s="14" t="s">
        <v>151</v>
      </c>
      <c r="O584" s="14" t="s">
        <v>575</v>
      </c>
      <c r="P584" s="14" t="s">
        <v>151</v>
      </c>
      <c r="Q584" s="14" t="s">
        <v>583</v>
      </c>
      <c r="R584" s="14"/>
    </row>
    <row r="585" spans="1:18" x14ac:dyDescent="0.35">
      <c r="A585" s="11">
        <v>43885</v>
      </c>
      <c r="B585" s="11">
        <v>43885</v>
      </c>
      <c r="C585" s="1">
        <v>32</v>
      </c>
      <c r="D585" t="s">
        <v>52</v>
      </c>
      <c r="F585" t="s">
        <v>474</v>
      </c>
      <c r="G585" t="s">
        <v>561</v>
      </c>
      <c r="I585" t="s">
        <v>479</v>
      </c>
      <c r="J585">
        <v>154</v>
      </c>
      <c r="K585" s="14" t="s">
        <v>89</v>
      </c>
      <c r="L585" s="14" t="s">
        <v>144</v>
      </c>
      <c r="M585" s="14" t="s">
        <v>607</v>
      </c>
      <c r="N585" s="14" t="s">
        <v>609</v>
      </c>
      <c r="O585" s="14" t="s">
        <v>121</v>
      </c>
      <c r="P585" s="14" t="s">
        <v>607</v>
      </c>
      <c r="Q585" s="14" t="s">
        <v>607</v>
      </c>
      <c r="R585" s="14"/>
    </row>
    <row r="586" spans="1:18" x14ac:dyDescent="0.35">
      <c r="A586" s="11">
        <v>43885</v>
      </c>
      <c r="B586" s="11">
        <v>43885</v>
      </c>
      <c r="C586" s="1">
        <v>32</v>
      </c>
      <c r="D586" t="s">
        <v>52</v>
      </c>
      <c r="F586" t="s">
        <v>474</v>
      </c>
      <c r="G586" t="s">
        <v>561</v>
      </c>
      <c r="I586" t="s">
        <v>479</v>
      </c>
      <c r="J586">
        <v>154</v>
      </c>
      <c r="K586" s="14" t="s">
        <v>90</v>
      </c>
      <c r="L586" s="14" t="s">
        <v>594</v>
      </c>
      <c r="M586" s="14" t="s">
        <v>93</v>
      </c>
      <c r="N586" s="14" t="s">
        <v>93</v>
      </c>
      <c r="O586" s="14" t="s">
        <v>601</v>
      </c>
      <c r="P586" s="14" t="s">
        <v>93</v>
      </c>
      <c r="Q586" s="14" t="s">
        <v>598</v>
      </c>
      <c r="R586" s="14"/>
    </row>
    <row r="587" spans="1:18" x14ac:dyDescent="0.35">
      <c r="A587" s="11">
        <v>43892</v>
      </c>
      <c r="B587" s="11">
        <v>43892</v>
      </c>
      <c r="C587" s="1">
        <v>32</v>
      </c>
      <c r="D587" t="s">
        <v>52</v>
      </c>
      <c r="F587" t="s">
        <v>474</v>
      </c>
      <c r="G587" t="s">
        <v>561</v>
      </c>
      <c r="I587" s="14" t="s">
        <v>479</v>
      </c>
      <c r="J587" s="14">
        <v>109</v>
      </c>
      <c r="K587" s="14" t="s">
        <v>88</v>
      </c>
      <c r="L587" s="14" t="s">
        <v>122</v>
      </c>
      <c r="M587" s="14" t="s">
        <v>319</v>
      </c>
      <c r="N587" s="14" t="s">
        <v>151</v>
      </c>
      <c r="O587" s="14" t="s">
        <v>319</v>
      </c>
      <c r="P587" s="14" t="s">
        <v>151</v>
      </c>
      <c r="Q587" s="14" t="s">
        <v>583</v>
      </c>
      <c r="R587" s="14"/>
    </row>
    <row r="588" spans="1:18" x14ac:dyDescent="0.35">
      <c r="A588" s="11">
        <v>43892</v>
      </c>
      <c r="B588" s="11">
        <v>43892</v>
      </c>
      <c r="C588" s="1">
        <v>32</v>
      </c>
      <c r="D588" t="s">
        <v>52</v>
      </c>
      <c r="F588" t="s">
        <v>474</v>
      </c>
      <c r="G588" t="s">
        <v>561</v>
      </c>
      <c r="I588" s="14" t="s">
        <v>479</v>
      </c>
      <c r="J588" s="14">
        <v>109</v>
      </c>
      <c r="K588" s="14" t="s">
        <v>89</v>
      </c>
      <c r="L588" s="14" t="s">
        <v>144</v>
      </c>
      <c r="M588" s="14" t="s">
        <v>607</v>
      </c>
      <c r="N588" s="14" t="s">
        <v>609</v>
      </c>
      <c r="O588" s="14" t="s">
        <v>607</v>
      </c>
      <c r="P588" s="14" t="s">
        <v>607</v>
      </c>
      <c r="Q588" s="14" t="s">
        <v>607</v>
      </c>
      <c r="R588" s="14"/>
    </row>
    <row r="589" spans="1:18" x14ac:dyDescent="0.35">
      <c r="A589" s="11">
        <v>43892</v>
      </c>
      <c r="B589" s="11">
        <v>43892</v>
      </c>
      <c r="C589" s="1">
        <v>32</v>
      </c>
      <c r="D589" t="s">
        <v>52</v>
      </c>
      <c r="F589" t="s">
        <v>474</v>
      </c>
      <c r="G589" t="s">
        <v>561</v>
      </c>
      <c r="I589" s="14" t="s">
        <v>479</v>
      </c>
      <c r="J589" s="14">
        <v>109</v>
      </c>
      <c r="K589" s="14" t="s">
        <v>90</v>
      </c>
      <c r="L589" s="14" t="s">
        <v>594</v>
      </c>
      <c r="M589" s="14" t="s">
        <v>93</v>
      </c>
      <c r="N589" s="14" t="s">
        <v>93</v>
      </c>
      <c r="O589" s="14" t="s">
        <v>599</v>
      </c>
      <c r="P589" s="14" t="s">
        <v>599</v>
      </c>
      <c r="Q589" s="14" t="s">
        <v>599</v>
      </c>
      <c r="R589" s="14"/>
    </row>
    <row r="590" spans="1:18" x14ac:dyDescent="0.35">
      <c r="A590" s="11">
        <v>43899</v>
      </c>
      <c r="B590" s="11">
        <v>43899</v>
      </c>
      <c r="C590" s="1">
        <v>32</v>
      </c>
      <c r="D590" t="s">
        <v>52</v>
      </c>
      <c r="F590" t="s">
        <v>474</v>
      </c>
      <c r="G590" t="s">
        <v>561</v>
      </c>
      <c r="I590" s="14" t="s">
        <v>479</v>
      </c>
      <c r="J590" s="14"/>
      <c r="K590" s="14" t="s">
        <v>88</v>
      </c>
      <c r="L590" s="14" t="s">
        <v>122</v>
      </c>
      <c r="M590" s="14" t="s">
        <v>319</v>
      </c>
      <c r="N590" s="14" t="s">
        <v>151</v>
      </c>
      <c r="O590" s="14" t="s">
        <v>154</v>
      </c>
      <c r="P590" s="14" t="s">
        <v>151</v>
      </c>
      <c r="Q590" s="14" t="s">
        <v>583</v>
      </c>
      <c r="R590" s="14"/>
    </row>
    <row r="591" spans="1:18" x14ac:dyDescent="0.35">
      <c r="A591" s="11">
        <v>43899</v>
      </c>
      <c r="B591" s="11">
        <v>43899</v>
      </c>
      <c r="C591" s="1">
        <v>32</v>
      </c>
      <c r="D591" t="s">
        <v>52</v>
      </c>
      <c r="F591" t="s">
        <v>474</v>
      </c>
      <c r="G591" t="s">
        <v>561</v>
      </c>
      <c r="I591" s="14" t="s">
        <v>479</v>
      </c>
      <c r="J591" s="14"/>
      <c r="K591" s="14" t="s">
        <v>89</v>
      </c>
      <c r="L591" s="14" t="s">
        <v>144</v>
      </c>
      <c r="M591" s="14" t="s">
        <v>607</v>
      </c>
      <c r="N591" s="14" t="s">
        <v>609</v>
      </c>
      <c r="O591" s="14" t="s">
        <v>607</v>
      </c>
      <c r="P591" s="14" t="s">
        <v>607</v>
      </c>
      <c r="Q591" s="14" t="s">
        <v>607</v>
      </c>
      <c r="R591" s="14"/>
    </row>
    <row r="592" spans="1:18" x14ac:dyDescent="0.35">
      <c r="A592" s="11">
        <v>43899</v>
      </c>
      <c r="B592" s="11">
        <v>43899</v>
      </c>
      <c r="C592" s="1">
        <v>32</v>
      </c>
      <c r="D592" t="s">
        <v>52</v>
      </c>
      <c r="F592" t="s">
        <v>474</v>
      </c>
      <c r="G592" t="s">
        <v>561</v>
      </c>
      <c r="I592" s="14" t="s">
        <v>479</v>
      </c>
      <c r="J592" s="14"/>
      <c r="K592" s="14" t="s">
        <v>90</v>
      </c>
      <c r="L592" s="14" t="s">
        <v>594</v>
      </c>
      <c r="M592" s="14" t="s">
        <v>599</v>
      </c>
      <c r="N592" s="14" t="s">
        <v>599</v>
      </c>
      <c r="O592" s="14" t="s">
        <v>93</v>
      </c>
      <c r="P592" s="14" t="s">
        <v>93</v>
      </c>
      <c r="Q592" s="14" t="s">
        <v>598</v>
      </c>
      <c r="R592" s="14"/>
    </row>
    <row r="593" spans="1:20" x14ac:dyDescent="0.35">
      <c r="A593" s="11">
        <f t="shared" ref="A593:A601" si="21">B593</f>
        <v>43848</v>
      </c>
      <c r="B593" s="8">
        <v>43848</v>
      </c>
      <c r="C593" s="1">
        <v>33</v>
      </c>
      <c r="D593" t="s">
        <v>52</v>
      </c>
      <c r="F593" t="s">
        <v>511</v>
      </c>
      <c r="G593" t="s">
        <v>75</v>
      </c>
      <c r="I593" t="s">
        <v>6</v>
      </c>
      <c r="J593">
        <v>39</v>
      </c>
      <c r="K593" t="s">
        <v>88</v>
      </c>
      <c r="L593" t="s">
        <v>111</v>
      </c>
      <c r="M593" t="s">
        <v>459</v>
      </c>
      <c r="N593" t="s">
        <v>408</v>
      </c>
      <c r="O593" t="s">
        <v>408</v>
      </c>
      <c r="P593" t="s">
        <v>422</v>
      </c>
      <c r="Q593" t="s">
        <v>512</v>
      </c>
      <c r="R593" t="s">
        <v>422</v>
      </c>
      <c r="S593" t="s">
        <v>408</v>
      </c>
      <c r="T593" t="s">
        <v>408</v>
      </c>
    </row>
    <row r="594" spans="1:20" x14ac:dyDescent="0.35">
      <c r="A594" s="11">
        <f t="shared" si="21"/>
        <v>43848</v>
      </c>
      <c r="B594" s="8">
        <v>43848</v>
      </c>
      <c r="C594" s="1">
        <v>33</v>
      </c>
      <c r="D594" t="s">
        <v>52</v>
      </c>
      <c r="F594" t="s">
        <v>511</v>
      </c>
      <c r="G594" t="s">
        <v>75</v>
      </c>
      <c r="I594" t="s">
        <v>6</v>
      </c>
      <c r="J594">
        <v>39</v>
      </c>
      <c r="K594" t="s">
        <v>89</v>
      </c>
      <c r="L594" t="s">
        <v>411</v>
      </c>
      <c r="M594" t="s">
        <v>513</v>
      </c>
      <c r="N594" t="s">
        <v>419</v>
      </c>
      <c r="O594" t="s">
        <v>419</v>
      </c>
      <c r="P594" t="s">
        <v>419</v>
      </c>
      <c r="Q594" t="s">
        <v>419</v>
      </c>
      <c r="R594" t="s">
        <v>419</v>
      </c>
      <c r="S594" t="s">
        <v>419</v>
      </c>
      <c r="T594" t="s">
        <v>419</v>
      </c>
    </row>
    <row r="595" spans="1:20" x14ac:dyDescent="0.35">
      <c r="A595" s="11">
        <f t="shared" si="21"/>
        <v>43848</v>
      </c>
      <c r="B595" s="8">
        <v>43848</v>
      </c>
      <c r="C595" s="1">
        <v>33</v>
      </c>
      <c r="D595" t="s">
        <v>52</v>
      </c>
      <c r="F595" t="s">
        <v>511</v>
      </c>
      <c r="G595" t="s">
        <v>75</v>
      </c>
      <c r="I595" t="s">
        <v>6</v>
      </c>
      <c r="J595">
        <v>39</v>
      </c>
      <c r="K595" t="s">
        <v>90</v>
      </c>
      <c r="L595" t="s">
        <v>414</v>
      </c>
      <c r="M595" t="s">
        <v>448</v>
      </c>
      <c r="N595" t="s">
        <v>272</v>
      </c>
      <c r="O595" t="s">
        <v>439</v>
      </c>
      <c r="P595" t="s">
        <v>272</v>
      </c>
      <c r="Q595" t="s">
        <v>439</v>
      </c>
      <c r="R595" t="s">
        <v>272</v>
      </c>
      <c r="S595" t="s">
        <v>272</v>
      </c>
      <c r="T595" t="s">
        <v>439</v>
      </c>
    </row>
    <row r="596" spans="1:20" x14ac:dyDescent="0.35">
      <c r="A596" s="11">
        <f t="shared" si="21"/>
        <v>43855</v>
      </c>
      <c r="B596" s="8">
        <v>43855</v>
      </c>
      <c r="C596" s="1">
        <v>33</v>
      </c>
      <c r="D596" t="s">
        <v>52</v>
      </c>
      <c r="F596" t="s">
        <v>511</v>
      </c>
      <c r="G596" t="s">
        <v>75</v>
      </c>
      <c r="I596" t="s">
        <v>479</v>
      </c>
      <c r="J596">
        <v>85</v>
      </c>
      <c r="K596" t="s">
        <v>88</v>
      </c>
      <c r="L596" t="s">
        <v>151</v>
      </c>
      <c r="M596" t="s">
        <v>408</v>
      </c>
      <c r="N596" t="s">
        <v>521</v>
      </c>
      <c r="O596" t="s">
        <v>408</v>
      </c>
      <c r="P596" t="s">
        <v>408</v>
      </c>
      <c r="Q596" t="s">
        <v>480</v>
      </c>
    </row>
    <row r="597" spans="1:20" x14ac:dyDescent="0.35">
      <c r="A597" s="11">
        <f t="shared" si="21"/>
        <v>43855</v>
      </c>
      <c r="B597" s="8">
        <v>43855</v>
      </c>
      <c r="C597" s="1">
        <v>33</v>
      </c>
      <c r="D597" t="s">
        <v>52</v>
      </c>
      <c r="F597" t="s">
        <v>511</v>
      </c>
      <c r="G597" t="s">
        <v>75</v>
      </c>
      <c r="I597" t="s">
        <v>479</v>
      </c>
      <c r="J597">
        <v>85</v>
      </c>
      <c r="K597" t="s">
        <v>89</v>
      </c>
      <c r="L597" t="s">
        <v>411</v>
      </c>
      <c r="M597" t="s">
        <v>408</v>
      </c>
      <c r="N597" t="s">
        <v>542</v>
      </c>
      <c r="O597" t="s">
        <v>408</v>
      </c>
      <c r="P597" t="s">
        <v>408</v>
      </c>
      <c r="Q597" t="s">
        <v>543</v>
      </c>
    </row>
    <row r="598" spans="1:20" x14ac:dyDescent="0.35">
      <c r="A598" s="11">
        <f t="shared" si="21"/>
        <v>43855</v>
      </c>
      <c r="B598" s="8">
        <v>43855</v>
      </c>
      <c r="C598" s="1">
        <v>33</v>
      </c>
      <c r="D598" t="s">
        <v>52</v>
      </c>
      <c r="F598" t="s">
        <v>511</v>
      </c>
      <c r="G598" t="s">
        <v>75</v>
      </c>
      <c r="I598" t="s">
        <v>479</v>
      </c>
      <c r="J598">
        <v>85</v>
      </c>
      <c r="K598" t="s">
        <v>90</v>
      </c>
      <c r="L598" t="s">
        <v>530</v>
      </c>
      <c r="M598" t="s">
        <v>272</v>
      </c>
      <c r="N598" t="s">
        <v>530</v>
      </c>
      <c r="O598" t="s">
        <v>428</v>
      </c>
      <c r="P598" t="s">
        <v>427</v>
      </c>
      <c r="Q598" t="s">
        <v>530</v>
      </c>
    </row>
    <row r="599" spans="1:20" x14ac:dyDescent="0.35">
      <c r="A599" s="11">
        <f t="shared" si="21"/>
        <v>43862</v>
      </c>
      <c r="B599" s="8">
        <v>43862</v>
      </c>
      <c r="C599" s="1">
        <v>33</v>
      </c>
      <c r="D599" t="s">
        <v>52</v>
      </c>
      <c r="F599" t="s">
        <v>511</v>
      </c>
      <c r="G599" t="s">
        <v>11</v>
      </c>
      <c r="I599" t="s">
        <v>479</v>
      </c>
      <c r="J599">
        <v>71</v>
      </c>
      <c r="K599" t="s">
        <v>88</v>
      </c>
      <c r="L599" t="s">
        <v>151</v>
      </c>
      <c r="M599" t="s">
        <v>408</v>
      </c>
      <c r="N599" t="s">
        <v>521</v>
      </c>
      <c r="O599" t="s">
        <v>408</v>
      </c>
      <c r="P599" t="s">
        <v>408</v>
      </c>
      <c r="Q599" t="s">
        <v>566</v>
      </c>
    </row>
    <row r="600" spans="1:20" x14ac:dyDescent="0.35">
      <c r="A600" s="11">
        <f t="shared" si="21"/>
        <v>43862</v>
      </c>
      <c r="B600" s="8">
        <v>43862</v>
      </c>
      <c r="C600" s="1">
        <v>33</v>
      </c>
      <c r="D600" t="s">
        <v>52</v>
      </c>
      <c r="F600" t="s">
        <v>511</v>
      </c>
      <c r="G600" t="s">
        <v>11</v>
      </c>
      <c r="I600" t="s">
        <v>479</v>
      </c>
      <c r="J600">
        <v>71</v>
      </c>
      <c r="K600" t="s">
        <v>89</v>
      </c>
      <c r="L600" t="s">
        <v>411</v>
      </c>
      <c r="M600" t="s">
        <v>408</v>
      </c>
      <c r="N600" t="s">
        <v>542</v>
      </c>
      <c r="O600" t="s">
        <v>408</v>
      </c>
      <c r="P600" t="s">
        <v>408</v>
      </c>
      <c r="Q600" t="s">
        <v>559</v>
      </c>
    </row>
    <row r="601" spans="1:20" x14ac:dyDescent="0.35">
      <c r="A601" s="11">
        <f t="shared" si="21"/>
        <v>43862</v>
      </c>
      <c r="B601" s="8">
        <v>43862</v>
      </c>
      <c r="C601" s="1">
        <v>33</v>
      </c>
      <c r="D601" t="s">
        <v>52</v>
      </c>
      <c r="F601" t="s">
        <v>511</v>
      </c>
      <c r="G601" t="s">
        <v>11</v>
      </c>
      <c r="I601" t="s">
        <v>479</v>
      </c>
      <c r="J601">
        <v>71</v>
      </c>
      <c r="K601" t="s">
        <v>90</v>
      </c>
      <c r="L601" t="s">
        <v>530</v>
      </c>
      <c r="M601" t="s">
        <v>556</v>
      </c>
      <c r="N601" t="s">
        <v>530</v>
      </c>
      <c r="O601" t="s">
        <v>428</v>
      </c>
      <c r="P601" t="s">
        <v>427</v>
      </c>
      <c r="Q601" t="s">
        <v>530</v>
      </c>
    </row>
    <row r="602" spans="1:20" x14ac:dyDescent="0.35">
      <c r="A602" s="11">
        <v>43869</v>
      </c>
      <c r="B602" s="11">
        <v>43869</v>
      </c>
      <c r="C602" s="1">
        <v>33</v>
      </c>
      <c r="D602" t="s">
        <v>52</v>
      </c>
      <c r="F602" t="s">
        <v>511</v>
      </c>
      <c r="G602" t="s">
        <v>75</v>
      </c>
      <c r="I602" t="s">
        <v>479</v>
      </c>
      <c r="J602">
        <v>198</v>
      </c>
      <c r="K602" t="s">
        <v>88</v>
      </c>
      <c r="L602" t="s">
        <v>615</v>
      </c>
      <c r="M602" t="s">
        <v>408</v>
      </c>
      <c r="N602" t="s">
        <v>408</v>
      </c>
      <c r="O602" t="s">
        <v>408</v>
      </c>
      <c r="P602" t="s">
        <v>408</v>
      </c>
      <c r="Q602" t="s">
        <v>408</v>
      </c>
    </row>
    <row r="603" spans="1:20" x14ac:dyDescent="0.35">
      <c r="A603" s="11">
        <v>43869</v>
      </c>
      <c r="B603" s="11">
        <v>43869</v>
      </c>
      <c r="C603" s="1">
        <v>33</v>
      </c>
      <c r="D603" t="s">
        <v>52</v>
      </c>
      <c r="F603" t="s">
        <v>511</v>
      </c>
      <c r="G603" t="s">
        <v>75</v>
      </c>
      <c r="I603" t="s">
        <v>479</v>
      </c>
      <c r="J603">
        <v>198</v>
      </c>
      <c r="K603" t="s">
        <v>89</v>
      </c>
      <c r="L603" t="s">
        <v>411</v>
      </c>
      <c r="M603" t="s">
        <v>628</v>
      </c>
      <c r="N603" t="s">
        <v>618</v>
      </c>
      <c r="O603" t="s">
        <v>490</v>
      </c>
      <c r="P603" t="s">
        <v>547</v>
      </c>
      <c r="Q603" t="s">
        <v>617</v>
      </c>
    </row>
    <row r="604" spans="1:20" x14ac:dyDescent="0.35">
      <c r="A604" s="11">
        <v>43869</v>
      </c>
      <c r="B604" s="11">
        <v>43869</v>
      </c>
      <c r="C604" s="1">
        <v>33</v>
      </c>
      <c r="D604" t="s">
        <v>52</v>
      </c>
      <c r="F604" t="s">
        <v>511</v>
      </c>
      <c r="G604" t="s">
        <v>75</v>
      </c>
      <c r="I604" t="s">
        <v>479</v>
      </c>
      <c r="J604">
        <v>198</v>
      </c>
      <c r="K604" t="s">
        <v>90</v>
      </c>
      <c r="L604" t="s">
        <v>546</v>
      </c>
      <c r="M604" t="s">
        <v>627</v>
      </c>
      <c r="N604" t="s">
        <v>408</v>
      </c>
      <c r="O604" t="s">
        <v>408</v>
      </c>
      <c r="P604" t="s">
        <v>521</v>
      </c>
      <c r="Q604" t="s">
        <v>521</v>
      </c>
    </row>
    <row r="605" spans="1:20" x14ac:dyDescent="0.35">
      <c r="A605" s="11">
        <v>43885</v>
      </c>
      <c r="B605" s="11">
        <v>43885</v>
      </c>
      <c r="C605" s="1">
        <v>33</v>
      </c>
      <c r="D605" t="s">
        <v>52</v>
      </c>
      <c r="F605" t="s">
        <v>511</v>
      </c>
      <c r="G605" t="s">
        <v>75</v>
      </c>
      <c r="I605" t="s">
        <v>479</v>
      </c>
      <c r="J605">
        <v>133</v>
      </c>
      <c r="K605" s="14" t="s">
        <v>88</v>
      </c>
      <c r="L605" s="14" t="s">
        <v>575</v>
      </c>
      <c r="M605" s="14" t="s">
        <v>319</v>
      </c>
      <c r="N605" s="14" t="s">
        <v>576</v>
      </c>
      <c r="O605" s="14" t="s">
        <v>319</v>
      </c>
      <c r="P605" s="14" t="s">
        <v>151</v>
      </c>
      <c r="Q605" s="14" t="s">
        <v>583</v>
      </c>
      <c r="R605" s="14"/>
    </row>
    <row r="606" spans="1:20" x14ac:dyDescent="0.35">
      <c r="A606" s="11">
        <v>43885</v>
      </c>
      <c r="B606" s="11">
        <v>43885</v>
      </c>
      <c r="C606" s="1">
        <v>33</v>
      </c>
      <c r="D606" t="s">
        <v>52</v>
      </c>
      <c r="F606" t="s">
        <v>511</v>
      </c>
      <c r="G606" t="s">
        <v>75</v>
      </c>
      <c r="I606" t="s">
        <v>479</v>
      </c>
      <c r="J606">
        <v>133</v>
      </c>
      <c r="K606" s="14" t="s">
        <v>89</v>
      </c>
      <c r="L606" s="14" t="s">
        <v>144</v>
      </c>
      <c r="M606" s="14" t="s">
        <v>607</v>
      </c>
      <c r="N606" s="14" t="s">
        <v>586</v>
      </c>
      <c r="O606" s="14" t="s">
        <v>607</v>
      </c>
      <c r="P606" s="14" t="s">
        <v>606</v>
      </c>
      <c r="Q606" s="14" t="s">
        <v>607</v>
      </c>
      <c r="R606" s="14"/>
    </row>
    <row r="607" spans="1:20" x14ac:dyDescent="0.35">
      <c r="A607" s="11">
        <v>43885</v>
      </c>
      <c r="B607" s="11">
        <v>43885</v>
      </c>
      <c r="C607" s="1">
        <v>33</v>
      </c>
      <c r="D607" t="s">
        <v>52</v>
      </c>
      <c r="F607" t="s">
        <v>511</v>
      </c>
      <c r="G607" t="s">
        <v>75</v>
      </c>
      <c r="I607" t="s">
        <v>479</v>
      </c>
      <c r="J607">
        <v>133</v>
      </c>
      <c r="K607" s="14" t="s">
        <v>90</v>
      </c>
      <c r="L607" s="14" t="s">
        <v>594</v>
      </c>
      <c r="M607" s="14" t="s">
        <v>93</v>
      </c>
      <c r="N607" s="14" t="s">
        <v>602</v>
      </c>
      <c r="O607" s="14" t="s">
        <v>93</v>
      </c>
      <c r="P607" s="14" t="s">
        <v>93</v>
      </c>
      <c r="Q607" s="14" t="s">
        <v>598</v>
      </c>
      <c r="R607" s="14"/>
    </row>
    <row r="608" spans="1:20" x14ac:dyDescent="0.35">
      <c r="A608" s="11">
        <v>43876</v>
      </c>
      <c r="B608" s="11">
        <v>43876</v>
      </c>
      <c r="C608" s="1">
        <v>33</v>
      </c>
      <c r="D608" t="s">
        <v>52</v>
      </c>
      <c r="F608" t="s">
        <v>511</v>
      </c>
      <c r="G608" t="s">
        <v>11</v>
      </c>
      <c r="I608" t="s">
        <v>479</v>
      </c>
      <c r="J608">
        <v>153</v>
      </c>
      <c r="K608" t="s">
        <v>88</v>
      </c>
      <c r="L608" t="s">
        <v>694</v>
      </c>
      <c r="M608" t="s">
        <v>435</v>
      </c>
      <c r="N608" t="s">
        <v>704</v>
      </c>
      <c r="O608" t="s">
        <v>563</v>
      </c>
      <c r="P608" t="s">
        <v>408</v>
      </c>
      <c r="Q608" t="s">
        <v>705</v>
      </c>
    </row>
    <row r="609" spans="1:20" x14ac:dyDescent="0.35">
      <c r="A609" s="11">
        <v>43876</v>
      </c>
      <c r="B609" s="11">
        <v>43876</v>
      </c>
      <c r="C609" s="1">
        <v>33</v>
      </c>
      <c r="D609" t="s">
        <v>52</v>
      </c>
      <c r="F609" t="s">
        <v>511</v>
      </c>
      <c r="G609" t="s">
        <v>11</v>
      </c>
      <c r="I609" t="s">
        <v>479</v>
      </c>
      <c r="J609">
        <v>153</v>
      </c>
      <c r="K609" t="s">
        <v>89</v>
      </c>
      <c r="L609" t="s">
        <v>706</v>
      </c>
      <c r="M609" t="s">
        <v>428</v>
      </c>
      <c r="N609" t="s">
        <v>707</v>
      </c>
      <c r="O609" t="s">
        <v>708</v>
      </c>
      <c r="P609" t="s">
        <v>709</v>
      </c>
      <c r="Q609" t="s">
        <v>710</v>
      </c>
    </row>
    <row r="610" spans="1:20" x14ac:dyDescent="0.35">
      <c r="A610" s="11">
        <v>43876</v>
      </c>
      <c r="B610" s="11">
        <v>43876</v>
      </c>
      <c r="C610" s="1">
        <v>33</v>
      </c>
      <c r="D610" t="s">
        <v>52</v>
      </c>
      <c r="F610" t="s">
        <v>511</v>
      </c>
      <c r="G610" t="s">
        <v>11</v>
      </c>
      <c r="I610" t="s">
        <v>479</v>
      </c>
      <c r="J610">
        <v>153</v>
      </c>
      <c r="K610" t="s">
        <v>90</v>
      </c>
      <c r="L610" t="s">
        <v>546</v>
      </c>
      <c r="M610" t="s">
        <v>530</v>
      </c>
      <c r="N610" t="s">
        <v>711</v>
      </c>
      <c r="O610" t="s">
        <v>433</v>
      </c>
      <c r="P610" t="s">
        <v>433</v>
      </c>
      <c r="Q610" t="s">
        <v>433</v>
      </c>
    </row>
    <row r="611" spans="1:20" x14ac:dyDescent="0.35">
      <c r="A611" s="11">
        <v>43892</v>
      </c>
      <c r="B611" s="11">
        <v>43892</v>
      </c>
      <c r="C611" s="1">
        <v>33</v>
      </c>
      <c r="D611" t="s">
        <v>52</v>
      </c>
      <c r="F611" t="s">
        <v>511</v>
      </c>
      <c r="G611" t="s">
        <v>11</v>
      </c>
      <c r="I611" s="14" t="s">
        <v>479</v>
      </c>
      <c r="J611" s="14">
        <v>135</v>
      </c>
      <c r="K611" s="14" t="s">
        <v>88</v>
      </c>
      <c r="L611" s="14" t="s">
        <v>575</v>
      </c>
      <c r="M611" s="14" t="s">
        <v>122</v>
      </c>
      <c r="N611" s="14" t="s">
        <v>577</v>
      </c>
      <c r="O611" s="14" t="s">
        <v>122</v>
      </c>
      <c r="P611" s="14" t="s">
        <v>151</v>
      </c>
      <c r="Q611" s="14" t="s">
        <v>584</v>
      </c>
      <c r="R611" s="14"/>
    </row>
    <row r="612" spans="1:20" x14ac:dyDescent="0.35">
      <c r="A612" s="11">
        <v>43892</v>
      </c>
      <c r="B612" s="11">
        <v>43892</v>
      </c>
      <c r="C612" s="1">
        <v>33</v>
      </c>
      <c r="D612" t="s">
        <v>52</v>
      </c>
      <c r="F612" t="s">
        <v>511</v>
      </c>
      <c r="G612" t="s">
        <v>11</v>
      </c>
      <c r="I612" s="14" t="s">
        <v>479</v>
      </c>
      <c r="J612" s="14">
        <v>135</v>
      </c>
      <c r="K612" s="14" t="s">
        <v>89</v>
      </c>
      <c r="L612" s="14" t="s">
        <v>144</v>
      </c>
      <c r="M612" s="14" t="s">
        <v>121</v>
      </c>
      <c r="N612" s="14" t="s">
        <v>586</v>
      </c>
      <c r="O612" s="14" t="s">
        <v>121</v>
      </c>
      <c r="P612" s="14" t="s">
        <v>607</v>
      </c>
      <c r="Q612" s="14" t="s">
        <v>591</v>
      </c>
      <c r="R612" s="14"/>
    </row>
    <row r="613" spans="1:20" x14ac:dyDescent="0.35">
      <c r="A613" s="11">
        <v>43892</v>
      </c>
      <c r="B613" s="11">
        <v>43892</v>
      </c>
      <c r="C613" s="1">
        <v>33</v>
      </c>
      <c r="D613" t="s">
        <v>52</v>
      </c>
      <c r="F613" t="s">
        <v>511</v>
      </c>
      <c r="G613" t="s">
        <v>11</v>
      </c>
      <c r="I613" s="14" t="s">
        <v>479</v>
      </c>
      <c r="J613" s="14">
        <v>135</v>
      </c>
      <c r="K613" s="14" t="s">
        <v>90</v>
      </c>
      <c r="L613" s="14" t="s">
        <v>594</v>
      </c>
      <c r="M613" s="14" t="s">
        <v>603</v>
      </c>
      <c r="N613" s="14" t="s">
        <v>602</v>
      </c>
      <c r="O613" s="14" t="s">
        <v>601</v>
      </c>
      <c r="P613" s="14" t="s">
        <v>599</v>
      </c>
      <c r="Q613" s="14" t="s">
        <v>596</v>
      </c>
      <c r="R613" s="14"/>
    </row>
    <row r="614" spans="1:20" x14ac:dyDescent="0.35">
      <c r="A614" s="11">
        <v>43899</v>
      </c>
      <c r="B614" s="11">
        <v>43899</v>
      </c>
      <c r="C614" s="1">
        <v>33</v>
      </c>
      <c r="D614" t="s">
        <v>52</v>
      </c>
      <c r="F614" t="s">
        <v>511</v>
      </c>
      <c r="G614" t="s">
        <v>11</v>
      </c>
      <c r="I614" s="14" t="s">
        <v>479</v>
      </c>
      <c r="J614" s="14">
        <v>156</v>
      </c>
      <c r="K614" s="14" t="s">
        <v>88</v>
      </c>
      <c r="L614" s="14" t="s">
        <v>319</v>
      </c>
      <c r="M614" s="14" t="s">
        <v>154</v>
      </c>
      <c r="N614" s="14" t="s">
        <v>151</v>
      </c>
      <c r="O614" s="14" t="s">
        <v>154</v>
      </c>
      <c r="P614" s="14" t="s">
        <v>151</v>
      </c>
      <c r="Q614" s="14" t="s">
        <v>583</v>
      </c>
      <c r="R614" s="14"/>
    </row>
    <row r="615" spans="1:20" x14ac:dyDescent="0.35">
      <c r="A615" s="11">
        <v>43899</v>
      </c>
      <c r="B615" s="11">
        <v>43899</v>
      </c>
      <c r="C615" s="1">
        <v>33</v>
      </c>
      <c r="D615" t="s">
        <v>52</v>
      </c>
      <c r="F615" t="s">
        <v>511</v>
      </c>
      <c r="G615" t="s">
        <v>11</v>
      </c>
      <c r="I615" s="14" t="s">
        <v>479</v>
      </c>
      <c r="J615" s="14">
        <v>156</v>
      </c>
      <c r="K615" s="14" t="s">
        <v>89</v>
      </c>
      <c r="L615" s="14" t="s">
        <v>144</v>
      </c>
      <c r="M615" s="14" t="s">
        <v>607</v>
      </c>
      <c r="N615" s="14" t="s">
        <v>609</v>
      </c>
      <c r="O615" s="14" t="s">
        <v>607</v>
      </c>
      <c r="P615" s="14" t="s">
        <v>607</v>
      </c>
      <c r="Q615" s="14" t="s">
        <v>607</v>
      </c>
      <c r="R615" s="14"/>
    </row>
    <row r="616" spans="1:20" x14ac:dyDescent="0.35">
      <c r="A616" s="11">
        <v>43899</v>
      </c>
      <c r="B616" s="11">
        <v>43899</v>
      </c>
      <c r="C616" s="1">
        <v>33</v>
      </c>
      <c r="D616" t="s">
        <v>52</v>
      </c>
      <c r="F616" t="s">
        <v>511</v>
      </c>
      <c r="G616" t="s">
        <v>11</v>
      </c>
      <c r="I616" s="14" t="s">
        <v>479</v>
      </c>
      <c r="J616" s="14">
        <v>156</v>
      </c>
      <c r="K616" s="14" t="s">
        <v>90</v>
      </c>
      <c r="L616" s="14" t="s">
        <v>594</v>
      </c>
      <c r="M616" s="14" t="s">
        <v>93</v>
      </c>
      <c r="N616" s="14" t="s">
        <v>93</v>
      </c>
      <c r="O616" s="14" t="s">
        <v>599</v>
      </c>
      <c r="P616" s="14" t="s">
        <v>93</v>
      </c>
      <c r="Q616" s="14" t="s">
        <v>598</v>
      </c>
      <c r="R616" s="14"/>
    </row>
    <row r="617" spans="1:20" x14ac:dyDescent="0.35">
      <c r="A617" s="11">
        <f t="shared" ref="A617:A625" si="22">B617</f>
        <v>43848</v>
      </c>
      <c r="B617" s="8">
        <v>43848</v>
      </c>
      <c r="C617" s="1">
        <v>34</v>
      </c>
      <c r="D617" t="s">
        <v>52</v>
      </c>
      <c r="F617" t="s">
        <v>485</v>
      </c>
      <c r="G617" t="s">
        <v>75</v>
      </c>
      <c r="I617" t="s">
        <v>6</v>
      </c>
      <c r="J617">
        <v>35</v>
      </c>
      <c r="K617" t="s">
        <v>88</v>
      </c>
      <c r="L617" t="s">
        <v>122</v>
      </c>
      <c r="M617" t="s">
        <v>408</v>
      </c>
      <c r="N617" t="s">
        <v>486</v>
      </c>
      <c r="O617" t="s">
        <v>408</v>
      </c>
      <c r="P617" t="s">
        <v>408</v>
      </c>
      <c r="Q617" t="s">
        <v>461</v>
      </c>
      <c r="R617" t="s">
        <v>487</v>
      </c>
      <c r="S617" t="s">
        <v>488</v>
      </c>
      <c r="T617" t="s">
        <v>472</v>
      </c>
    </row>
    <row r="618" spans="1:20" x14ac:dyDescent="0.35">
      <c r="A618" s="11">
        <f t="shared" si="22"/>
        <v>43848</v>
      </c>
      <c r="B618" s="8">
        <v>43848</v>
      </c>
      <c r="C618" s="1">
        <v>34</v>
      </c>
      <c r="D618" t="s">
        <v>52</v>
      </c>
      <c r="F618" t="s">
        <v>485</v>
      </c>
      <c r="G618" t="s">
        <v>75</v>
      </c>
      <c r="I618" t="s">
        <v>6</v>
      </c>
      <c r="J618">
        <v>35</v>
      </c>
      <c r="K618" t="s">
        <v>89</v>
      </c>
      <c r="L618" t="s">
        <v>425</v>
      </c>
      <c r="M618" t="s">
        <v>419</v>
      </c>
      <c r="N618" t="s">
        <v>489</v>
      </c>
      <c r="O618" t="s">
        <v>419</v>
      </c>
      <c r="P618" t="s">
        <v>419</v>
      </c>
      <c r="Q618" t="s">
        <v>490</v>
      </c>
      <c r="R618" t="s">
        <v>491</v>
      </c>
      <c r="S618" t="s">
        <v>492</v>
      </c>
      <c r="T618" t="s">
        <v>419</v>
      </c>
    </row>
    <row r="619" spans="1:20" x14ac:dyDescent="0.35">
      <c r="A619" s="11">
        <f t="shared" si="22"/>
        <v>43848</v>
      </c>
      <c r="B619" s="8">
        <v>43848</v>
      </c>
      <c r="C619" s="1">
        <v>34</v>
      </c>
      <c r="D619" t="s">
        <v>52</v>
      </c>
      <c r="F619" t="s">
        <v>485</v>
      </c>
      <c r="G619" t="s">
        <v>75</v>
      </c>
      <c r="I619" t="s">
        <v>6</v>
      </c>
      <c r="J619">
        <v>35</v>
      </c>
      <c r="K619" t="s">
        <v>90</v>
      </c>
      <c r="L619" t="s">
        <v>414</v>
      </c>
      <c r="M619" t="s">
        <v>92</v>
      </c>
      <c r="N619" t="s">
        <v>448</v>
      </c>
      <c r="O619" t="s">
        <v>272</v>
      </c>
      <c r="P619" t="s">
        <v>439</v>
      </c>
      <c r="Q619" t="s">
        <v>448</v>
      </c>
      <c r="R619" t="s">
        <v>449</v>
      </c>
      <c r="S619" t="s">
        <v>449</v>
      </c>
      <c r="T619" t="s">
        <v>272</v>
      </c>
    </row>
    <row r="620" spans="1:20" x14ac:dyDescent="0.35">
      <c r="A620" s="11">
        <f t="shared" si="22"/>
        <v>43855</v>
      </c>
      <c r="B620" s="8">
        <v>43855</v>
      </c>
      <c r="C620" s="1">
        <v>34</v>
      </c>
      <c r="D620" t="s">
        <v>52</v>
      </c>
      <c r="F620" t="s">
        <v>485</v>
      </c>
      <c r="G620" t="s">
        <v>75</v>
      </c>
      <c r="I620" t="s">
        <v>479</v>
      </c>
      <c r="J620">
        <v>78</v>
      </c>
      <c r="K620" t="s">
        <v>88</v>
      </c>
      <c r="L620" t="s">
        <v>111</v>
      </c>
      <c r="M620" t="s">
        <v>408</v>
      </c>
      <c r="N620" t="s">
        <v>408</v>
      </c>
      <c r="O620" t="s">
        <v>408</v>
      </c>
      <c r="P620" t="s">
        <v>408</v>
      </c>
      <c r="Q620" t="s">
        <v>480</v>
      </c>
    </row>
    <row r="621" spans="1:20" x14ac:dyDescent="0.35">
      <c r="A621" s="11">
        <f t="shared" si="22"/>
        <v>43855</v>
      </c>
      <c r="B621" s="8">
        <v>43855</v>
      </c>
      <c r="C621" s="1">
        <v>34</v>
      </c>
      <c r="D621" t="s">
        <v>52</v>
      </c>
      <c r="F621" t="s">
        <v>485</v>
      </c>
      <c r="G621" t="s">
        <v>75</v>
      </c>
      <c r="I621" t="s">
        <v>479</v>
      </c>
      <c r="J621">
        <v>78</v>
      </c>
      <c r="K621" t="s">
        <v>89</v>
      </c>
      <c r="L621" t="s">
        <v>514</v>
      </c>
      <c r="M621" t="s">
        <v>419</v>
      </c>
      <c r="N621" t="s">
        <v>419</v>
      </c>
      <c r="O621" t="s">
        <v>419</v>
      </c>
      <c r="P621" t="s">
        <v>419</v>
      </c>
      <c r="Q621" t="s">
        <v>515</v>
      </c>
    </row>
    <row r="622" spans="1:20" x14ac:dyDescent="0.35">
      <c r="A622" s="11">
        <f t="shared" si="22"/>
        <v>43855</v>
      </c>
      <c r="B622" s="8">
        <v>43855</v>
      </c>
      <c r="C622" s="1">
        <v>34</v>
      </c>
      <c r="D622" t="s">
        <v>52</v>
      </c>
      <c r="F622" t="s">
        <v>485</v>
      </c>
      <c r="G622" t="s">
        <v>75</v>
      </c>
      <c r="I622" t="s">
        <v>479</v>
      </c>
      <c r="J622">
        <v>78</v>
      </c>
      <c r="K622" t="s">
        <v>90</v>
      </c>
      <c r="L622" t="s">
        <v>448</v>
      </c>
      <c r="M622" t="s">
        <v>272</v>
      </c>
      <c r="N622" t="s">
        <v>272</v>
      </c>
      <c r="O622" t="s">
        <v>272</v>
      </c>
      <c r="P622" t="s">
        <v>448</v>
      </c>
      <c r="Q622" t="s">
        <v>448</v>
      </c>
    </row>
    <row r="623" spans="1:20" x14ac:dyDescent="0.35">
      <c r="A623" s="11">
        <f t="shared" si="22"/>
        <v>43862</v>
      </c>
      <c r="B623" s="8">
        <v>43862</v>
      </c>
      <c r="C623" s="1">
        <v>34</v>
      </c>
      <c r="D623" t="s">
        <v>52</v>
      </c>
      <c r="F623" t="s">
        <v>485</v>
      </c>
      <c r="G623" t="s">
        <v>11</v>
      </c>
      <c r="I623" t="s">
        <v>479</v>
      </c>
      <c r="J623">
        <v>84</v>
      </c>
      <c r="K623" t="s">
        <v>88</v>
      </c>
      <c r="L623" t="s">
        <v>151</v>
      </c>
      <c r="M623" t="s">
        <v>408</v>
      </c>
      <c r="N623" t="s">
        <v>408</v>
      </c>
      <c r="O623" t="s">
        <v>408</v>
      </c>
      <c r="P623" t="s">
        <v>408</v>
      </c>
      <c r="Q623" t="s">
        <v>557</v>
      </c>
    </row>
    <row r="624" spans="1:20" x14ac:dyDescent="0.35">
      <c r="A624" s="11">
        <f t="shared" si="22"/>
        <v>43862</v>
      </c>
      <c r="B624" s="8">
        <v>43862</v>
      </c>
      <c r="C624" s="1">
        <v>34</v>
      </c>
      <c r="D624" t="s">
        <v>52</v>
      </c>
      <c r="F624" t="s">
        <v>485</v>
      </c>
      <c r="G624" t="s">
        <v>11</v>
      </c>
      <c r="I624" t="s">
        <v>479</v>
      </c>
      <c r="J624">
        <v>84</v>
      </c>
      <c r="K624" t="s">
        <v>89</v>
      </c>
      <c r="L624" t="s">
        <v>411</v>
      </c>
      <c r="M624" t="s">
        <v>408</v>
      </c>
      <c r="N624" t="s">
        <v>408</v>
      </c>
      <c r="O624" t="s">
        <v>408</v>
      </c>
      <c r="P624" t="s">
        <v>408</v>
      </c>
      <c r="Q624" t="s">
        <v>558</v>
      </c>
    </row>
    <row r="625" spans="1:18" x14ac:dyDescent="0.35">
      <c r="A625" s="11">
        <f t="shared" si="22"/>
        <v>43862</v>
      </c>
      <c r="B625" s="8">
        <v>43862</v>
      </c>
      <c r="C625" s="1">
        <v>34</v>
      </c>
      <c r="D625" t="s">
        <v>52</v>
      </c>
      <c r="F625" t="s">
        <v>485</v>
      </c>
      <c r="G625" t="s">
        <v>11</v>
      </c>
      <c r="I625" t="s">
        <v>479</v>
      </c>
      <c r="J625">
        <v>84</v>
      </c>
      <c r="K625" t="s">
        <v>90</v>
      </c>
      <c r="L625" t="s">
        <v>530</v>
      </c>
      <c r="M625" t="s">
        <v>427</v>
      </c>
      <c r="N625" t="s">
        <v>428</v>
      </c>
      <c r="O625" t="s">
        <v>428</v>
      </c>
      <c r="P625" t="s">
        <v>427</v>
      </c>
      <c r="Q625" t="s">
        <v>530</v>
      </c>
    </row>
    <row r="626" spans="1:18" x14ac:dyDescent="0.35">
      <c r="A626" s="11">
        <v>43876</v>
      </c>
      <c r="B626" s="11">
        <v>43876</v>
      </c>
      <c r="C626" s="1">
        <v>34</v>
      </c>
      <c r="D626" t="s">
        <v>52</v>
      </c>
      <c r="F626" t="s">
        <v>485</v>
      </c>
      <c r="G626" t="s">
        <v>75</v>
      </c>
      <c r="I626" t="s">
        <v>479</v>
      </c>
      <c r="J626">
        <v>122</v>
      </c>
      <c r="K626" t="s">
        <v>88</v>
      </c>
      <c r="L626" t="s">
        <v>682</v>
      </c>
      <c r="M626" t="s">
        <v>408</v>
      </c>
      <c r="N626" t="s">
        <v>408</v>
      </c>
      <c r="O626" t="s">
        <v>563</v>
      </c>
      <c r="P626" t="s">
        <v>621</v>
      </c>
      <c r="Q626" t="s">
        <v>408</v>
      </c>
    </row>
    <row r="627" spans="1:18" x14ac:dyDescent="0.35">
      <c r="A627" s="11">
        <v>43876</v>
      </c>
      <c r="B627" s="11">
        <v>43876</v>
      </c>
      <c r="C627" s="1">
        <v>34</v>
      </c>
      <c r="D627" t="s">
        <v>52</v>
      </c>
      <c r="F627" t="s">
        <v>485</v>
      </c>
      <c r="G627" t="s">
        <v>75</v>
      </c>
      <c r="I627" t="s">
        <v>479</v>
      </c>
      <c r="J627">
        <v>122</v>
      </c>
      <c r="K627" t="s">
        <v>89</v>
      </c>
      <c r="L627" t="s">
        <v>683</v>
      </c>
      <c r="M627" t="s">
        <v>429</v>
      </c>
      <c r="N627" t="s">
        <v>429</v>
      </c>
      <c r="O627" t="s">
        <v>628</v>
      </c>
      <c r="P627" t="s">
        <v>622</v>
      </c>
      <c r="Q627" t="s">
        <v>617</v>
      </c>
    </row>
    <row r="628" spans="1:18" x14ac:dyDescent="0.35">
      <c r="A628" s="11">
        <v>43876</v>
      </c>
      <c r="B628" s="11">
        <v>43876</v>
      </c>
      <c r="C628" s="1">
        <v>34</v>
      </c>
      <c r="D628" t="s">
        <v>52</v>
      </c>
      <c r="F628" t="s">
        <v>485</v>
      </c>
      <c r="G628" t="s">
        <v>75</v>
      </c>
      <c r="I628" t="s">
        <v>479</v>
      </c>
      <c r="J628">
        <v>122</v>
      </c>
      <c r="K628" t="s">
        <v>90</v>
      </c>
      <c r="L628" t="s">
        <v>546</v>
      </c>
      <c r="M628" t="s">
        <v>627</v>
      </c>
      <c r="N628" t="s">
        <v>627</v>
      </c>
      <c r="O628" t="s">
        <v>627</v>
      </c>
      <c r="P628" t="s">
        <v>627</v>
      </c>
      <c r="Q628" t="s">
        <v>627</v>
      </c>
    </row>
    <row r="629" spans="1:18" x14ac:dyDescent="0.35">
      <c r="A629" s="11">
        <v>43885</v>
      </c>
      <c r="B629" s="11">
        <v>43885</v>
      </c>
      <c r="C629" s="1">
        <v>34</v>
      </c>
      <c r="D629" t="s">
        <v>52</v>
      </c>
      <c r="F629" t="s">
        <v>485</v>
      </c>
      <c r="G629" t="s">
        <v>75</v>
      </c>
      <c r="I629" t="s">
        <v>479</v>
      </c>
      <c r="J629">
        <v>144</v>
      </c>
      <c r="K629" s="14" t="s">
        <v>88</v>
      </c>
      <c r="L629" s="14" t="s">
        <v>575</v>
      </c>
      <c r="M629" s="14" t="s">
        <v>319</v>
      </c>
      <c r="N629" s="14" t="s">
        <v>151</v>
      </c>
      <c r="O629" s="14" t="s">
        <v>319</v>
      </c>
      <c r="P629" s="14" t="s">
        <v>151</v>
      </c>
      <c r="Q629" s="14" t="s">
        <v>583</v>
      </c>
      <c r="R629" s="14"/>
    </row>
    <row r="630" spans="1:18" x14ac:dyDescent="0.35">
      <c r="A630" s="11">
        <v>43885</v>
      </c>
      <c r="B630" s="11">
        <v>43885</v>
      </c>
      <c r="C630" s="1">
        <v>34</v>
      </c>
      <c r="D630" t="s">
        <v>52</v>
      </c>
      <c r="F630" t="s">
        <v>485</v>
      </c>
      <c r="G630" t="s">
        <v>75</v>
      </c>
      <c r="I630" t="s">
        <v>479</v>
      </c>
      <c r="J630">
        <v>144</v>
      </c>
      <c r="K630" s="14" t="s">
        <v>89</v>
      </c>
      <c r="L630" s="14" t="s">
        <v>144</v>
      </c>
      <c r="M630" s="14" t="s">
        <v>607</v>
      </c>
      <c r="N630" s="14" t="s">
        <v>609</v>
      </c>
      <c r="O630" s="14" t="s">
        <v>607</v>
      </c>
      <c r="P630" s="14" t="s">
        <v>607</v>
      </c>
      <c r="Q630" s="14" t="s">
        <v>607</v>
      </c>
      <c r="R630" s="14"/>
    </row>
    <row r="631" spans="1:18" x14ac:dyDescent="0.35">
      <c r="A631" s="11">
        <v>43885</v>
      </c>
      <c r="B631" s="11">
        <v>43885</v>
      </c>
      <c r="C631" s="1">
        <v>34</v>
      </c>
      <c r="D631" t="s">
        <v>52</v>
      </c>
      <c r="F631" t="s">
        <v>485</v>
      </c>
      <c r="G631" t="s">
        <v>75</v>
      </c>
      <c r="I631" t="s">
        <v>479</v>
      </c>
      <c r="J631">
        <v>144</v>
      </c>
      <c r="K631" s="14" t="s">
        <v>90</v>
      </c>
      <c r="L631" s="14" t="s">
        <v>594</v>
      </c>
      <c r="M631" s="14" t="s">
        <v>93</v>
      </c>
      <c r="N631" s="14" t="s">
        <v>93</v>
      </c>
      <c r="O631" s="14" t="s">
        <v>93</v>
      </c>
      <c r="P631" s="14" t="s">
        <v>93</v>
      </c>
      <c r="Q631" s="14" t="s">
        <v>598</v>
      </c>
      <c r="R631" s="14"/>
    </row>
    <row r="632" spans="1:18" x14ac:dyDescent="0.35">
      <c r="A632" s="11">
        <v>43869</v>
      </c>
      <c r="B632" s="11">
        <v>43869</v>
      </c>
      <c r="C632" s="1">
        <v>34</v>
      </c>
      <c r="D632" t="s">
        <v>52</v>
      </c>
      <c r="F632" t="s">
        <v>485</v>
      </c>
      <c r="G632" t="s">
        <v>11</v>
      </c>
      <c r="I632" t="s">
        <v>479</v>
      </c>
      <c r="J632">
        <v>111</v>
      </c>
      <c r="K632" t="s">
        <v>88</v>
      </c>
      <c r="L632" t="s">
        <v>717</v>
      </c>
      <c r="M632" t="s">
        <v>408</v>
      </c>
      <c r="N632" t="s">
        <v>408</v>
      </c>
      <c r="O632" t="s">
        <v>563</v>
      </c>
      <c r="P632" t="s">
        <v>408</v>
      </c>
      <c r="Q632" t="s">
        <v>718</v>
      </c>
    </row>
    <row r="633" spans="1:18" x14ac:dyDescent="0.35">
      <c r="A633" s="11">
        <v>43869</v>
      </c>
      <c r="B633" s="11">
        <v>43869</v>
      </c>
      <c r="C633" s="1">
        <v>34</v>
      </c>
      <c r="D633" t="s">
        <v>52</v>
      </c>
      <c r="F633" t="s">
        <v>485</v>
      </c>
      <c r="G633" t="s">
        <v>11</v>
      </c>
      <c r="I633" t="s">
        <v>479</v>
      </c>
      <c r="J633">
        <v>111</v>
      </c>
      <c r="K633" t="s">
        <v>89</v>
      </c>
      <c r="L633" t="s">
        <v>706</v>
      </c>
      <c r="M633" t="s">
        <v>719</v>
      </c>
      <c r="N633" t="s">
        <v>429</v>
      </c>
      <c r="O633" t="s">
        <v>720</v>
      </c>
      <c r="P633" t="s">
        <v>428</v>
      </c>
      <c r="Q633" t="s">
        <v>710</v>
      </c>
    </row>
    <row r="634" spans="1:18" x14ac:dyDescent="0.35">
      <c r="A634" s="11">
        <v>43869</v>
      </c>
      <c r="B634" s="11">
        <v>43869</v>
      </c>
      <c r="C634" s="1">
        <v>34</v>
      </c>
      <c r="D634" t="s">
        <v>52</v>
      </c>
      <c r="F634" t="s">
        <v>485</v>
      </c>
      <c r="G634" t="s">
        <v>11</v>
      </c>
      <c r="I634" t="s">
        <v>479</v>
      </c>
      <c r="J634">
        <v>111</v>
      </c>
      <c r="K634" t="s">
        <v>90</v>
      </c>
      <c r="L634" t="s">
        <v>546</v>
      </c>
      <c r="M634" t="s">
        <v>433</v>
      </c>
      <c r="N634" t="s">
        <v>530</v>
      </c>
      <c r="O634" t="s">
        <v>433</v>
      </c>
      <c r="P634" t="s">
        <v>721</v>
      </c>
      <c r="Q634" t="s">
        <v>433</v>
      </c>
    </row>
    <row r="635" spans="1:18" x14ac:dyDescent="0.35">
      <c r="A635" s="11">
        <v>43892</v>
      </c>
      <c r="B635" s="11">
        <v>43892</v>
      </c>
      <c r="C635" s="1">
        <v>34</v>
      </c>
      <c r="D635" t="s">
        <v>52</v>
      </c>
      <c r="F635" t="s">
        <v>485</v>
      </c>
      <c r="G635" t="s">
        <v>11</v>
      </c>
      <c r="I635" s="14" t="s">
        <v>479</v>
      </c>
      <c r="J635" s="14">
        <v>138</v>
      </c>
      <c r="K635" s="14" t="s">
        <v>88</v>
      </c>
      <c r="L635" s="14" t="s">
        <v>122</v>
      </c>
      <c r="M635" s="14" t="s">
        <v>122</v>
      </c>
      <c r="N635" s="14" t="s">
        <v>576</v>
      </c>
      <c r="O635" s="14" t="s">
        <v>319</v>
      </c>
      <c r="P635" s="14" t="s">
        <v>151</v>
      </c>
      <c r="Q635" s="14" t="s">
        <v>583</v>
      </c>
      <c r="R635" s="14"/>
    </row>
    <row r="636" spans="1:18" x14ac:dyDescent="0.35">
      <c r="A636" s="11">
        <v>43892</v>
      </c>
      <c r="B636" s="11">
        <v>43892</v>
      </c>
      <c r="C636" s="1">
        <v>34</v>
      </c>
      <c r="D636" t="s">
        <v>52</v>
      </c>
      <c r="F636" t="s">
        <v>485</v>
      </c>
      <c r="G636" t="s">
        <v>11</v>
      </c>
      <c r="I636" s="14" t="s">
        <v>479</v>
      </c>
      <c r="J636" s="14">
        <v>138</v>
      </c>
      <c r="K636" s="14" t="s">
        <v>89</v>
      </c>
      <c r="L636" s="14" t="s">
        <v>144</v>
      </c>
      <c r="M636" s="14" t="s">
        <v>121</v>
      </c>
      <c r="N636" s="14" t="s">
        <v>586</v>
      </c>
      <c r="O636" s="14" t="s">
        <v>607</v>
      </c>
      <c r="P636" s="14" t="s">
        <v>607</v>
      </c>
      <c r="Q636" s="14" t="s">
        <v>607</v>
      </c>
      <c r="R636" s="14"/>
    </row>
    <row r="637" spans="1:18" x14ac:dyDescent="0.35">
      <c r="A637" s="11">
        <v>43892</v>
      </c>
      <c r="B637" s="11">
        <v>43892</v>
      </c>
      <c r="C637" s="1">
        <v>34</v>
      </c>
      <c r="D637" t="s">
        <v>52</v>
      </c>
      <c r="F637" t="s">
        <v>485</v>
      </c>
      <c r="G637" t="s">
        <v>11</v>
      </c>
      <c r="I637" s="14" t="s">
        <v>479</v>
      </c>
      <c r="J637" s="14">
        <v>138</v>
      </c>
      <c r="K637" s="14" t="s">
        <v>90</v>
      </c>
      <c r="L637" s="14" t="s">
        <v>594</v>
      </c>
      <c r="M637" s="14" t="s">
        <v>603</v>
      </c>
      <c r="N637" s="14" t="s">
        <v>602</v>
      </c>
      <c r="O637" s="14" t="s">
        <v>599</v>
      </c>
      <c r="P637" s="14" t="s">
        <v>599</v>
      </c>
      <c r="Q637" s="14" t="s">
        <v>599</v>
      </c>
      <c r="R637" s="14"/>
    </row>
    <row r="638" spans="1:18" x14ac:dyDescent="0.35">
      <c r="A638" s="11">
        <v>43899</v>
      </c>
      <c r="B638" s="11">
        <v>43899</v>
      </c>
      <c r="C638" s="1">
        <v>34</v>
      </c>
      <c r="D638" t="s">
        <v>52</v>
      </c>
      <c r="F638" t="s">
        <v>485</v>
      </c>
      <c r="G638" t="s">
        <v>11</v>
      </c>
      <c r="I638" s="14" t="s">
        <v>479</v>
      </c>
      <c r="J638" s="14">
        <v>171</v>
      </c>
      <c r="K638" s="14" t="s">
        <v>88</v>
      </c>
      <c r="L638" s="14" t="s">
        <v>319</v>
      </c>
      <c r="M638" s="14" t="s">
        <v>122</v>
      </c>
      <c r="N638" s="14" t="s">
        <v>137</v>
      </c>
      <c r="O638" s="14" t="s">
        <v>319</v>
      </c>
      <c r="P638" s="14" t="s">
        <v>151</v>
      </c>
      <c r="Q638" s="14" t="s">
        <v>583</v>
      </c>
      <c r="R638" s="14"/>
    </row>
    <row r="639" spans="1:18" x14ac:dyDescent="0.35">
      <c r="A639" s="11">
        <v>43899</v>
      </c>
      <c r="B639" s="11">
        <v>43899</v>
      </c>
      <c r="C639" s="1">
        <v>34</v>
      </c>
      <c r="D639" t="s">
        <v>52</v>
      </c>
      <c r="F639" t="s">
        <v>485</v>
      </c>
      <c r="G639" t="s">
        <v>11</v>
      </c>
      <c r="I639" s="14" t="s">
        <v>479</v>
      </c>
      <c r="J639" s="14">
        <v>171</v>
      </c>
      <c r="K639" s="14" t="s">
        <v>89</v>
      </c>
      <c r="L639" s="14" t="s">
        <v>144</v>
      </c>
      <c r="M639" s="14" t="s">
        <v>121</v>
      </c>
      <c r="N639" s="14" t="s">
        <v>588</v>
      </c>
      <c r="O639" s="14" t="s">
        <v>607</v>
      </c>
      <c r="P639" s="14" t="s">
        <v>607</v>
      </c>
      <c r="Q639" s="14" t="s">
        <v>607</v>
      </c>
      <c r="R639" s="14"/>
    </row>
    <row r="640" spans="1:18" x14ac:dyDescent="0.35">
      <c r="A640" s="11">
        <v>43899</v>
      </c>
      <c r="B640" s="11">
        <v>43899</v>
      </c>
      <c r="C640" s="1">
        <v>34</v>
      </c>
      <c r="D640" t="s">
        <v>52</v>
      </c>
      <c r="F640" t="s">
        <v>485</v>
      </c>
      <c r="G640" t="s">
        <v>11</v>
      </c>
      <c r="I640" s="14" t="s">
        <v>479</v>
      </c>
      <c r="J640" s="14">
        <v>171</v>
      </c>
      <c r="K640" s="14" t="s">
        <v>90</v>
      </c>
      <c r="L640" s="14" t="s">
        <v>594</v>
      </c>
      <c r="M640" s="14" t="s">
        <v>603</v>
      </c>
      <c r="N640" s="14" t="s">
        <v>602</v>
      </c>
      <c r="O640" s="14" t="s">
        <v>93</v>
      </c>
      <c r="P640" s="14" t="s">
        <v>599</v>
      </c>
      <c r="Q640" s="14" t="s">
        <v>598</v>
      </c>
      <c r="R640" s="14"/>
    </row>
    <row r="641" spans="1:18" x14ac:dyDescent="0.35">
      <c r="A641" s="11">
        <v>43878</v>
      </c>
      <c r="B641" s="11">
        <v>43878</v>
      </c>
      <c r="C641" s="1" t="e">
        <f>VLOOKUP(F641,Motorcycles!$C$2:$L$35,10,0)</f>
        <v>#N/A</v>
      </c>
      <c r="D641" s="14" t="s">
        <v>9</v>
      </c>
      <c r="F641" s="19" t="s">
        <v>846</v>
      </c>
      <c r="G641" s="14" t="s">
        <v>34</v>
      </c>
      <c r="I641" s="14" t="s">
        <v>479</v>
      </c>
      <c r="J641" s="16">
        <v>225</v>
      </c>
      <c r="K641" s="14" t="s">
        <v>88</v>
      </c>
      <c r="L641" s="14" t="s">
        <v>154</v>
      </c>
      <c r="M641" s="14" t="s">
        <v>319</v>
      </c>
      <c r="N641" s="14" t="s">
        <v>151</v>
      </c>
      <c r="O641" s="14" t="s">
        <v>319</v>
      </c>
      <c r="P641" s="14" t="s">
        <v>151</v>
      </c>
      <c r="Q641" s="14" t="s">
        <v>583</v>
      </c>
    </row>
    <row r="642" spans="1:18" x14ac:dyDescent="0.35">
      <c r="A642" s="11">
        <v>43878</v>
      </c>
      <c r="B642" s="11">
        <v>43878</v>
      </c>
      <c r="C642" s="1" t="e">
        <f>VLOOKUP(F642,Motorcycles!$C$2:$L$35,10,0)</f>
        <v>#N/A</v>
      </c>
      <c r="D642" s="14" t="s">
        <v>9</v>
      </c>
      <c r="F642" t="str">
        <f>F641</f>
        <v>NEED TO CHECK</v>
      </c>
      <c r="G642" s="14" t="s">
        <v>34</v>
      </c>
      <c r="I642" s="14" t="s">
        <v>479</v>
      </c>
      <c r="J642" s="16">
        <v>225</v>
      </c>
      <c r="K642" s="14" t="s">
        <v>89</v>
      </c>
      <c r="L642" s="14" t="s">
        <v>144</v>
      </c>
      <c r="M642" s="14" t="s">
        <v>607</v>
      </c>
      <c r="N642" s="14" t="s">
        <v>609</v>
      </c>
      <c r="O642" s="14" t="s">
        <v>605</v>
      </c>
      <c r="P642" s="14" t="s">
        <v>606</v>
      </c>
      <c r="Q642" s="14" t="s">
        <v>607</v>
      </c>
    </row>
    <row r="643" spans="1:18" x14ac:dyDescent="0.35">
      <c r="A643" s="11">
        <v>43878</v>
      </c>
      <c r="B643" s="11">
        <v>43878</v>
      </c>
      <c r="C643" s="1" t="e">
        <f>VLOOKUP(F643,Motorcycles!$C$2:$L$35,10,0)</f>
        <v>#N/A</v>
      </c>
      <c r="D643" s="14" t="s">
        <v>9</v>
      </c>
      <c r="F643" t="str">
        <f>F642</f>
        <v>NEED TO CHECK</v>
      </c>
      <c r="G643" s="14" t="s">
        <v>34</v>
      </c>
      <c r="I643" s="14" t="s">
        <v>479</v>
      </c>
      <c r="J643" s="16">
        <v>225</v>
      </c>
      <c r="K643" s="14" t="s">
        <v>90</v>
      </c>
      <c r="L643" s="14" t="s">
        <v>594</v>
      </c>
      <c r="M643" s="14" t="s">
        <v>93</v>
      </c>
      <c r="N643" s="14" t="s">
        <v>93</v>
      </c>
      <c r="O643" s="14" t="s">
        <v>93</v>
      </c>
      <c r="P643" s="14" t="s">
        <v>93</v>
      </c>
      <c r="Q643" s="14" t="s">
        <v>598</v>
      </c>
    </row>
    <row r="644" spans="1:18" x14ac:dyDescent="0.35">
      <c r="A644" s="11">
        <v>43855</v>
      </c>
      <c r="B644" s="11">
        <v>43855</v>
      </c>
      <c r="C644" s="1" t="e">
        <v>#N/A</v>
      </c>
      <c r="D644" t="s">
        <v>52</v>
      </c>
      <c r="F644" t="s">
        <v>620</v>
      </c>
      <c r="G644" t="s">
        <v>11</v>
      </c>
      <c r="I644" t="s">
        <v>479</v>
      </c>
      <c r="J644">
        <v>73</v>
      </c>
      <c r="K644" t="s">
        <v>88</v>
      </c>
      <c r="L644" t="s">
        <v>615</v>
      </c>
      <c r="M644" t="s">
        <v>408</v>
      </c>
      <c r="N644" t="s">
        <v>408</v>
      </c>
      <c r="O644" t="s">
        <v>563</v>
      </c>
      <c r="P644" t="s">
        <v>621</v>
      </c>
      <c r="Q644" t="s">
        <v>408</v>
      </c>
    </row>
    <row r="645" spans="1:18" x14ac:dyDescent="0.35">
      <c r="A645" s="11">
        <v>43855</v>
      </c>
      <c r="B645" s="11">
        <v>43855</v>
      </c>
      <c r="C645" s="1" t="e">
        <v>#N/A</v>
      </c>
      <c r="D645" t="s">
        <v>52</v>
      </c>
      <c r="F645" t="s">
        <v>620</v>
      </c>
      <c r="G645" t="s">
        <v>11</v>
      </c>
      <c r="I645" t="s">
        <v>479</v>
      </c>
      <c r="J645">
        <v>73</v>
      </c>
      <c r="K645" t="s">
        <v>89</v>
      </c>
      <c r="L645" t="s">
        <v>526</v>
      </c>
      <c r="M645" t="s">
        <v>617</v>
      </c>
      <c r="N645" t="s">
        <v>618</v>
      </c>
      <c r="O645" t="s">
        <v>619</v>
      </c>
      <c r="P645" t="s">
        <v>622</v>
      </c>
      <c r="Q645" t="s">
        <v>617</v>
      </c>
    </row>
    <row r="646" spans="1:18" x14ac:dyDescent="0.35">
      <c r="A646" s="11">
        <v>43855</v>
      </c>
      <c r="B646" s="11">
        <v>43855</v>
      </c>
      <c r="C646" s="1" t="e">
        <v>#N/A</v>
      </c>
      <c r="D646" t="s">
        <v>52</v>
      </c>
      <c r="F646" t="s">
        <v>620</v>
      </c>
      <c r="G646" t="s">
        <v>75</v>
      </c>
      <c r="I646" t="s">
        <v>479</v>
      </c>
      <c r="J646">
        <v>73</v>
      </c>
      <c r="K646" t="s">
        <v>90</v>
      </c>
      <c r="L646" t="s">
        <v>546</v>
      </c>
      <c r="M646" t="s">
        <v>433</v>
      </c>
      <c r="N646" t="s">
        <v>93</v>
      </c>
      <c r="O646" t="s">
        <v>432</v>
      </c>
      <c r="P646" t="s">
        <v>93</v>
      </c>
      <c r="Q646" t="s">
        <v>433</v>
      </c>
    </row>
    <row r="647" spans="1:18" x14ac:dyDescent="0.35">
      <c r="A647" s="11">
        <v>43862</v>
      </c>
      <c r="B647" s="11">
        <v>43862</v>
      </c>
      <c r="C647" s="1" t="e">
        <v>#N/A</v>
      </c>
      <c r="D647" t="s">
        <v>52</v>
      </c>
      <c r="F647" t="s">
        <v>620</v>
      </c>
      <c r="G647" t="s">
        <v>75</v>
      </c>
      <c r="I647" t="s">
        <v>479</v>
      </c>
      <c r="J647">
        <v>194</v>
      </c>
      <c r="K647" t="s">
        <v>88</v>
      </c>
      <c r="L647" t="s">
        <v>615</v>
      </c>
      <c r="M647" t="s">
        <v>408</v>
      </c>
      <c r="N647" t="s">
        <v>408</v>
      </c>
      <c r="O647" t="s">
        <v>563</v>
      </c>
      <c r="P647" t="s">
        <v>621</v>
      </c>
      <c r="Q647" t="s">
        <v>623</v>
      </c>
    </row>
    <row r="648" spans="1:18" x14ac:dyDescent="0.35">
      <c r="A648" s="11">
        <v>43862</v>
      </c>
      <c r="B648" s="11">
        <v>43862</v>
      </c>
      <c r="C648" s="1" t="e">
        <v>#N/A</v>
      </c>
      <c r="D648" t="s">
        <v>52</v>
      </c>
      <c r="F648" t="s">
        <v>620</v>
      </c>
      <c r="G648" t="s">
        <v>75</v>
      </c>
      <c r="I648" t="s">
        <v>479</v>
      </c>
      <c r="J648">
        <v>194</v>
      </c>
      <c r="K648" t="s">
        <v>89</v>
      </c>
      <c r="L648" t="s">
        <v>546</v>
      </c>
      <c r="M648" t="s">
        <v>433</v>
      </c>
      <c r="N648" t="s">
        <v>93</v>
      </c>
      <c r="O648" t="s">
        <v>521</v>
      </c>
      <c r="P648" t="s">
        <v>93</v>
      </c>
      <c r="Q648" t="s">
        <v>433</v>
      </c>
    </row>
    <row r="649" spans="1:18" x14ac:dyDescent="0.35">
      <c r="A649" s="11">
        <v>43862</v>
      </c>
      <c r="B649" s="11">
        <v>43862</v>
      </c>
      <c r="C649" s="1" t="e">
        <v>#N/A</v>
      </c>
      <c r="D649" t="s">
        <v>52</v>
      </c>
      <c r="F649" t="s">
        <v>620</v>
      </c>
      <c r="G649" t="s">
        <v>75</v>
      </c>
      <c r="I649" t="s">
        <v>479</v>
      </c>
      <c r="J649">
        <v>194</v>
      </c>
      <c r="K649" t="s">
        <v>90</v>
      </c>
      <c r="L649" t="s">
        <v>526</v>
      </c>
      <c r="M649" t="s">
        <v>617</v>
      </c>
      <c r="N649" t="s">
        <v>617</v>
      </c>
      <c r="O649" t="s">
        <v>625</v>
      </c>
      <c r="P649" t="s">
        <v>622</v>
      </c>
      <c r="Q649" t="s">
        <v>624</v>
      </c>
    </row>
    <row r="650" spans="1:18" x14ac:dyDescent="0.35">
      <c r="A650" s="11">
        <v>43876</v>
      </c>
      <c r="B650" s="11">
        <v>43876</v>
      </c>
      <c r="C650" s="1" t="e">
        <v>#N/A</v>
      </c>
      <c r="D650" t="s">
        <v>52</v>
      </c>
      <c r="F650" t="s">
        <v>620</v>
      </c>
      <c r="G650" t="s">
        <v>75</v>
      </c>
      <c r="I650" t="s">
        <v>479</v>
      </c>
      <c r="J650">
        <v>148</v>
      </c>
      <c r="K650" t="s">
        <v>88</v>
      </c>
      <c r="L650" t="s">
        <v>615</v>
      </c>
      <c r="M650" t="s">
        <v>408</v>
      </c>
      <c r="N650" t="s">
        <v>137</v>
      </c>
      <c r="O650" t="s">
        <v>563</v>
      </c>
      <c r="P650" t="s">
        <v>621</v>
      </c>
      <c r="Q650" t="s">
        <v>471</v>
      </c>
    </row>
    <row r="651" spans="1:18" x14ac:dyDescent="0.35">
      <c r="A651" s="11">
        <v>43876</v>
      </c>
      <c r="B651" s="11">
        <v>43876</v>
      </c>
      <c r="C651" s="1" t="e">
        <v>#N/A</v>
      </c>
      <c r="D651" t="s">
        <v>52</v>
      </c>
      <c r="F651" t="s">
        <v>620</v>
      </c>
      <c r="G651" t="s">
        <v>75</v>
      </c>
      <c r="I651" t="s">
        <v>479</v>
      </c>
      <c r="J651">
        <v>148</v>
      </c>
      <c r="K651" t="s">
        <v>89</v>
      </c>
      <c r="L651" t="s">
        <v>526</v>
      </c>
      <c r="M651" t="s">
        <v>628</v>
      </c>
      <c r="N651" t="s">
        <v>690</v>
      </c>
      <c r="O651" t="s">
        <v>622</v>
      </c>
      <c r="P651" t="s">
        <v>692</v>
      </c>
      <c r="Q651" t="s">
        <v>617</v>
      </c>
    </row>
    <row r="652" spans="1:18" x14ac:dyDescent="0.35">
      <c r="A652" s="11">
        <v>43876</v>
      </c>
      <c r="B652" s="11">
        <v>43876</v>
      </c>
      <c r="C652" s="1" t="e">
        <v>#N/A</v>
      </c>
      <c r="D652" t="s">
        <v>52</v>
      </c>
      <c r="F652" t="s">
        <v>620</v>
      </c>
      <c r="G652" t="s">
        <v>75</v>
      </c>
      <c r="I652" t="s">
        <v>479</v>
      </c>
      <c r="J652">
        <v>148</v>
      </c>
      <c r="K652" t="s">
        <v>90</v>
      </c>
      <c r="L652" t="s">
        <v>546</v>
      </c>
      <c r="M652" t="s">
        <v>433</v>
      </c>
      <c r="N652" t="s">
        <v>93</v>
      </c>
      <c r="O652" t="s">
        <v>93</v>
      </c>
      <c r="P652" t="s">
        <v>433</v>
      </c>
      <c r="Q652" t="s">
        <v>433</v>
      </c>
    </row>
    <row r="653" spans="1:18" x14ac:dyDescent="0.35">
      <c r="A653" s="11">
        <v>43885</v>
      </c>
      <c r="B653" s="11">
        <v>43885</v>
      </c>
      <c r="C653" s="1" t="e">
        <v>#N/A</v>
      </c>
      <c r="D653" t="s">
        <v>52</v>
      </c>
      <c r="F653" t="s">
        <v>620</v>
      </c>
      <c r="G653" t="s">
        <v>561</v>
      </c>
      <c r="I653" t="s">
        <v>479</v>
      </c>
      <c r="J653">
        <v>131</v>
      </c>
      <c r="K653" s="14" t="s">
        <v>88</v>
      </c>
      <c r="L653" s="14" t="s">
        <v>154</v>
      </c>
      <c r="M653" s="14" t="s">
        <v>154</v>
      </c>
      <c r="N653" s="14" t="s">
        <v>576</v>
      </c>
      <c r="O653" s="14" t="s">
        <v>122</v>
      </c>
      <c r="P653" s="14" t="s">
        <v>151</v>
      </c>
      <c r="Q653" s="14" t="s">
        <v>583</v>
      </c>
      <c r="R653" s="14"/>
    </row>
    <row r="654" spans="1:18" x14ac:dyDescent="0.35">
      <c r="A654" s="11">
        <v>43885</v>
      </c>
      <c r="B654" s="11">
        <v>43885</v>
      </c>
      <c r="C654" s="1" t="e">
        <v>#N/A</v>
      </c>
      <c r="D654" t="s">
        <v>52</v>
      </c>
      <c r="F654" t="s">
        <v>620</v>
      </c>
      <c r="G654" t="s">
        <v>561</v>
      </c>
      <c r="I654" t="s">
        <v>479</v>
      </c>
      <c r="J654">
        <v>131</v>
      </c>
      <c r="K654" s="14" t="s">
        <v>89</v>
      </c>
      <c r="L654" s="14" t="s">
        <v>144</v>
      </c>
      <c r="M654" s="14" t="s">
        <v>607</v>
      </c>
      <c r="N654" s="14" t="s">
        <v>586</v>
      </c>
      <c r="O654" s="14" t="s">
        <v>121</v>
      </c>
      <c r="P654" s="14" t="s">
        <v>607</v>
      </c>
      <c r="Q654" s="14" t="s">
        <v>607</v>
      </c>
      <c r="R654" s="14"/>
    </row>
    <row r="655" spans="1:18" x14ac:dyDescent="0.35">
      <c r="A655" s="11">
        <v>43885</v>
      </c>
      <c r="B655" s="11">
        <v>43885</v>
      </c>
      <c r="C655" s="1" t="e">
        <v>#N/A</v>
      </c>
      <c r="D655" t="s">
        <v>52</v>
      </c>
      <c r="F655" t="s">
        <v>620</v>
      </c>
      <c r="G655" t="s">
        <v>561</v>
      </c>
      <c r="I655" t="s">
        <v>479</v>
      </c>
      <c r="J655">
        <v>131</v>
      </c>
      <c r="K655" s="14" t="s">
        <v>90</v>
      </c>
      <c r="L655" s="14" t="s">
        <v>594</v>
      </c>
      <c r="M655" s="14" t="s">
        <v>93</v>
      </c>
      <c r="N655" s="14" t="s">
        <v>602</v>
      </c>
      <c r="O655" s="14" t="s">
        <v>601</v>
      </c>
      <c r="P655" s="14" t="s">
        <v>93</v>
      </c>
      <c r="Q655" s="14" t="s">
        <v>598</v>
      </c>
      <c r="R655" s="14"/>
    </row>
    <row r="656" spans="1:18" x14ac:dyDescent="0.35">
      <c r="A656" s="11">
        <v>43892</v>
      </c>
      <c r="B656" s="11">
        <v>43892</v>
      </c>
      <c r="C656" s="1" t="e">
        <v>#N/A</v>
      </c>
      <c r="D656" t="s">
        <v>52</v>
      </c>
      <c r="F656" t="s">
        <v>726</v>
      </c>
      <c r="G656" t="s">
        <v>561</v>
      </c>
      <c r="I656" s="14" t="s">
        <v>479</v>
      </c>
      <c r="J656" s="14">
        <v>130</v>
      </c>
      <c r="K656" s="14" t="s">
        <v>88</v>
      </c>
      <c r="L656" s="14" t="s">
        <v>154</v>
      </c>
      <c r="M656" s="14" t="s">
        <v>319</v>
      </c>
      <c r="N656" s="14" t="s">
        <v>151</v>
      </c>
      <c r="O656" s="14" t="s">
        <v>319</v>
      </c>
      <c r="P656" s="14" t="s">
        <v>151</v>
      </c>
      <c r="Q656" s="14" t="s">
        <v>583</v>
      </c>
      <c r="R656" s="14"/>
    </row>
    <row r="657" spans="1:20" x14ac:dyDescent="0.35">
      <c r="A657" s="11">
        <v>43892</v>
      </c>
      <c r="B657" s="11">
        <v>43892</v>
      </c>
      <c r="C657" s="1" t="e">
        <v>#N/A</v>
      </c>
      <c r="D657" t="s">
        <v>52</v>
      </c>
      <c r="F657" t="s">
        <v>726</v>
      </c>
      <c r="G657" t="s">
        <v>561</v>
      </c>
      <c r="I657" s="14" t="s">
        <v>479</v>
      </c>
      <c r="J657" s="14">
        <v>130</v>
      </c>
      <c r="K657" s="14" t="s">
        <v>89</v>
      </c>
      <c r="L657" s="14" t="s">
        <v>144</v>
      </c>
      <c r="M657" s="14" t="s">
        <v>121</v>
      </c>
      <c r="N657" s="14" t="s">
        <v>609</v>
      </c>
      <c r="O657" s="14" t="s">
        <v>607</v>
      </c>
      <c r="P657" s="14" t="s">
        <v>607</v>
      </c>
      <c r="Q657" s="14" t="s">
        <v>607</v>
      </c>
      <c r="R657" s="14"/>
    </row>
    <row r="658" spans="1:20" x14ac:dyDescent="0.35">
      <c r="A658" s="11">
        <v>43892</v>
      </c>
      <c r="B658" s="11">
        <v>43892</v>
      </c>
      <c r="C658" s="1" t="e">
        <v>#N/A</v>
      </c>
      <c r="D658" t="s">
        <v>52</v>
      </c>
      <c r="F658" t="s">
        <v>726</v>
      </c>
      <c r="G658" t="s">
        <v>561</v>
      </c>
      <c r="I658" s="14" t="s">
        <v>479</v>
      </c>
      <c r="J658" s="14">
        <v>130</v>
      </c>
      <c r="K658" s="14" t="s">
        <v>90</v>
      </c>
      <c r="L658" s="14" t="s">
        <v>594</v>
      </c>
      <c r="M658" s="14" t="s">
        <v>603</v>
      </c>
      <c r="N658" s="14" t="s">
        <v>93</v>
      </c>
      <c r="O658" s="14" t="s">
        <v>93</v>
      </c>
      <c r="P658" s="14" t="s">
        <v>93</v>
      </c>
      <c r="Q658" s="14" t="s">
        <v>599</v>
      </c>
      <c r="R658" s="14"/>
    </row>
    <row r="659" spans="1:20" x14ac:dyDescent="0.35">
      <c r="A659" s="11">
        <v>43898</v>
      </c>
      <c r="B659" s="11">
        <v>43898</v>
      </c>
      <c r="C659" s="1"/>
      <c r="D659" s="14" t="s">
        <v>9</v>
      </c>
      <c r="F659" t="s">
        <v>611</v>
      </c>
      <c r="G659" s="14" t="s">
        <v>34</v>
      </c>
      <c r="I659" s="14" t="s">
        <v>6</v>
      </c>
      <c r="J659" s="16">
        <v>252</v>
      </c>
      <c r="K659" s="14" t="s">
        <v>88</v>
      </c>
      <c r="L659" s="14" t="s">
        <v>122</v>
      </c>
      <c r="M659" s="14" t="s">
        <v>122</v>
      </c>
      <c r="N659" s="14" t="s">
        <v>577</v>
      </c>
      <c r="O659" s="14" t="s">
        <v>122</v>
      </c>
      <c r="P659" s="14" t="s">
        <v>151</v>
      </c>
      <c r="Q659" s="14" t="s">
        <v>583</v>
      </c>
      <c r="R659" s="14"/>
      <c r="S659" s="14"/>
    </row>
    <row r="660" spans="1:20" x14ac:dyDescent="0.35">
      <c r="A660" s="11">
        <v>43898</v>
      </c>
      <c r="B660" s="11">
        <v>43898</v>
      </c>
      <c r="C660" s="1"/>
      <c r="D660" s="14" t="s">
        <v>9</v>
      </c>
      <c r="F660" t="s">
        <v>611</v>
      </c>
      <c r="G660" s="14" t="s">
        <v>34</v>
      </c>
      <c r="I660" s="14" t="s">
        <v>6</v>
      </c>
      <c r="J660" s="16">
        <v>252</v>
      </c>
      <c r="K660" s="14" t="s">
        <v>89</v>
      </c>
      <c r="L660" s="14" t="s">
        <v>144</v>
      </c>
      <c r="M660" s="14" t="s">
        <v>121</v>
      </c>
      <c r="N660" s="14" t="s">
        <v>587</v>
      </c>
      <c r="O660" s="14" t="s">
        <v>121</v>
      </c>
      <c r="P660" s="14" t="s">
        <v>607</v>
      </c>
      <c r="Q660" s="14" t="s">
        <v>607</v>
      </c>
      <c r="R660" s="14"/>
      <c r="S660" s="14"/>
      <c r="T660" s="14"/>
    </row>
    <row r="661" spans="1:20" x14ac:dyDescent="0.35">
      <c r="A661" s="11">
        <v>43898</v>
      </c>
      <c r="B661" s="11">
        <v>43898</v>
      </c>
      <c r="C661" s="1"/>
      <c r="D661" s="14" t="s">
        <v>9</v>
      </c>
      <c r="F661" t="s">
        <v>611</v>
      </c>
      <c r="G661" s="14" t="s">
        <v>34</v>
      </c>
      <c r="I661" s="14" t="s">
        <v>614</v>
      </c>
      <c r="J661" s="16">
        <v>252</v>
      </c>
      <c r="K661" s="14" t="s">
        <v>90</v>
      </c>
      <c r="L661" s="14" t="s">
        <v>594</v>
      </c>
      <c r="M661" s="14" t="s">
        <v>603</v>
      </c>
      <c r="N661" s="14" t="s">
        <v>602</v>
      </c>
      <c r="O661" s="14" t="s">
        <v>601</v>
      </c>
      <c r="P661" s="14" t="s">
        <v>93</v>
      </c>
      <c r="Q661" s="14" t="s">
        <v>598</v>
      </c>
      <c r="R661" s="14"/>
      <c r="S661" s="14"/>
      <c r="T661" s="14"/>
    </row>
    <row r="662" spans="1:20" x14ac:dyDescent="0.35">
      <c r="A662" s="11">
        <v>43898</v>
      </c>
      <c r="B662" s="11">
        <v>43898</v>
      </c>
      <c r="C662" s="1"/>
      <c r="D662" s="14" t="s">
        <v>9</v>
      </c>
      <c r="F662" t="s">
        <v>612</v>
      </c>
      <c r="G662" s="14" t="s">
        <v>34</v>
      </c>
      <c r="I662" s="14" t="s">
        <v>6</v>
      </c>
      <c r="J662" s="16">
        <v>242</v>
      </c>
      <c r="K662" s="14" t="s">
        <v>88</v>
      </c>
      <c r="L662" s="14" t="s">
        <v>575</v>
      </c>
      <c r="M662" s="14" t="s">
        <v>122</v>
      </c>
      <c r="N662" s="14" t="s">
        <v>151</v>
      </c>
      <c r="O662" s="14" t="s">
        <v>122</v>
      </c>
      <c r="P662" s="14" t="s">
        <v>151</v>
      </c>
      <c r="Q662" s="14" t="s">
        <v>583</v>
      </c>
      <c r="R662" s="14"/>
      <c r="S662" s="14"/>
      <c r="T662" s="14"/>
    </row>
    <row r="663" spans="1:20" x14ac:dyDescent="0.35">
      <c r="A663" s="11">
        <v>43898</v>
      </c>
      <c r="B663" s="11">
        <v>43898</v>
      </c>
      <c r="C663" s="1"/>
      <c r="D663" s="14" t="s">
        <v>9</v>
      </c>
      <c r="F663" t="s">
        <v>612</v>
      </c>
      <c r="G663" s="14" t="s">
        <v>34</v>
      </c>
      <c r="I663" s="14" t="s">
        <v>6</v>
      </c>
      <c r="J663" s="16">
        <v>242</v>
      </c>
      <c r="K663" s="14" t="s">
        <v>89</v>
      </c>
      <c r="L663" s="14" t="s">
        <v>144</v>
      </c>
      <c r="M663" s="14" t="s">
        <v>121</v>
      </c>
      <c r="N663" s="14" t="s">
        <v>609</v>
      </c>
      <c r="O663" s="14" t="s">
        <v>121</v>
      </c>
      <c r="P663" s="14" t="s">
        <v>607</v>
      </c>
      <c r="Q663" s="14" t="s">
        <v>607</v>
      </c>
      <c r="R663" s="14"/>
      <c r="S663" s="14"/>
      <c r="T663" s="14"/>
    </row>
    <row r="664" spans="1:20" x14ac:dyDescent="0.35">
      <c r="A664" s="11">
        <v>43898</v>
      </c>
      <c r="B664" s="11">
        <v>43898</v>
      </c>
      <c r="C664" s="1"/>
      <c r="D664" s="14" t="s">
        <v>9</v>
      </c>
      <c r="F664" t="s">
        <v>612</v>
      </c>
      <c r="G664" s="14" t="s">
        <v>34</v>
      </c>
      <c r="I664" s="14" t="s">
        <v>614</v>
      </c>
      <c r="J664" s="16">
        <v>242</v>
      </c>
      <c r="K664" s="14" t="s">
        <v>90</v>
      </c>
      <c r="L664" s="14" t="s">
        <v>594</v>
      </c>
      <c r="M664" s="14" t="s">
        <v>603</v>
      </c>
      <c r="N664" s="14" t="s">
        <v>93</v>
      </c>
      <c r="O664" s="14" t="s">
        <v>601</v>
      </c>
      <c r="P664" s="14" t="s">
        <v>93</v>
      </c>
      <c r="Q664" s="14" t="s">
        <v>598</v>
      </c>
      <c r="R664" s="14"/>
      <c r="S664" s="14"/>
    </row>
    <row r="665" spans="1:20" x14ac:dyDescent="0.35">
      <c r="A665" s="11">
        <v>43898</v>
      </c>
      <c r="B665" s="11">
        <v>43898</v>
      </c>
      <c r="C665" s="1"/>
      <c r="D665" s="14" t="s">
        <v>9</v>
      </c>
      <c r="F665" t="s">
        <v>610</v>
      </c>
      <c r="G665" s="14" t="s">
        <v>34</v>
      </c>
      <c r="I665" s="14" t="s">
        <v>479</v>
      </c>
      <c r="J665" s="16">
        <v>248</v>
      </c>
      <c r="K665" s="14" t="s">
        <v>88</v>
      </c>
      <c r="L665" s="14" t="s">
        <v>575</v>
      </c>
      <c r="M665" s="14" t="s">
        <v>122</v>
      </c>
      <c r="N665" s="14" t="s">
        <v>151</v>
      </c>
      <c r="O665" s="14" t="s">
        <v>122</v>
      </c>
      <c r="P665" s="14" t="s">
        <v>151</v>
      </c>
      <c r="Q665" s="14" t="s">
        <v>583</v>
      </c>
      <c r="R665" s="14"/>
      <c r="S665" s="14"/>
    </row>
    <row r="666" spans="1:20" x14ac:dyDescent="0.35">
      <c r="A666" s="11">
        <v>43898</v>
      </c>
      <c r="B666" s="11">
        <v>43898</v>
      </c>
      <c r="C666" s="1"/>
      <c r="D666" s="14" t="s">
        <v>9</v>
      </c>
      <c r="F666" t="s">
        <v>610</v>
      </c>
      <c r="G666" s="14" t="s">
        <v>34</v>
      </c>
      <c r="I666" s="14" t="s">
        <v>479</v>
      </c>
      <c r="J666" s="16">
        <v>248</v>
      </c>
      <c r="K666" s="14" t="s">
        <v>89</v>
      </c>
      <c r="L666" s="14" t="s">
        <v>144</v>
      </c>
      <c r="M666" s="14" t="s">
        <v>121</v>
      </c>
      <c r="N666" s="14" t="s">
        <v>609</v>
      </c>
      <c r="O666" s="14" t="s">
        <v>121</v>
      </c>
      <c r="P666" s="14" t="s">
        <v>607</v>
      </c>
      <c r="Q666" s="14" t="s">
        <v>607</v>
      </c>
      <c r="R666" s="14"/>
      <c r="S666" s="14"/>
    </row>
    <row r="667" spans="1:20" x14ac:dyDescent="0.35">
      <c r="A667" s="11">
        <v>43898</v>
      </c>
      <c r="B667" s="11">
        <v>43898</v>
      </c>
      <c r="C667" s="1"/>
      <c r="D667" s="14" t="s">
        <v>9</v>
      </c>
      <c r="F667" t="s">
        <v>610</v>
      </c>
      <c r="G667" s="14" t="s">
        <v>34</v>
      </c>
      <c r="I667" s="14" t="s">
        <v>479</v>
      </c>
      <c r="J667" s="16">
        <v>248</v>
      </c>
      <c r="K667" s="14" t="s">
        <v>90</v>
      </c>
      <c r="L667" s="14" t="s">
        <v>594</v>
      </c>
      <c r="M667" s="14" t="s">
        <v>603</v>
      </c>
      <c r="N667" s="14" t="s">
        <v>93</v>
      </c>
      <c r="O667" s="14" t="s">
        <v>601</v>
      </c>
      <c r="P667" s="14" t="s">
        <v>93</v>
      </c>
      <c r="Q667" s="14" t="s">
        <v>598</v>
      </c>
      <c r="R667" s="14"/>
      <c r="S667" s="14"/>
    </row>
    <row r="668" spans="1:20" x14ac:dyDescent="0.35">
      <c r="A668" s="11">
        <v>43899</v>
      </c>
      <c r="B668" s="11">
        <v>43899</v>
      </c>
      <c r="C668" s="1"/>
      <c r="D668" s="14" t="s">
        <v>9</v>
      </c>
      <c r="F668" t="s">
        <v>613</v>
      </c>
      <c r="G668" s="14" t="s">
        <v>75</v>
      </c>
      <c r="I668" s="14" t="s">
        <v>6</v>
      </c>
      <c r="J668" s="16">
        <v>271</v>
      </c>
      <c r="K668" s="14" t="s">
        <v>88</v>
      </c>
      <c r="L668" s="14" t="s">
        <v>154</v>
      </c>
      <c r="M668" s="14" t="s">
        <v>319</v>
      </c>
      <c r="N668" s="14" t="s">
        <v>137</v>
      </c>
      <c r="O668" s="14" t="s">
        <v>154</v>
      </c>
      <c r="P668" s="14" t="s">
        <v>578</v>
      </c>
      <c r="Q668" s="14" t="s">
        <v>583</v>
      </c>
      <c r="R668" s="14"/>
      <c r="S668" s="14"/>
    </row>
    <row r="669" spans="1:20" x14ac:dyDescent="0.35">
      <c r="A669" s="11">
        <v>43899</v>
      </c>
      <c r="B669" s="11">
        <v>43899</v>
      </c>
      <c r="C669" s="1"/>
      <c r="D669" s="14" t="s">
        <v>9</v>
      </c>
      <c r="F669" t="s">
        <v>613</v>
      </c>
      <c r="G669" s="14" t="s">
        <v>75</v>
      </c>
      <c r="I669" s="14" t="s">
        <v>6</v>
      </c>
      <c r="J669" s="16">
        <v>271</v>
      </c>
      <c r="K669" s="14" t="s">
        <v>89</v>
      </c>
      <c r="L669" s="14" t="s">
        <v>144</v>
      </c>
      <c r="M669" s="14" t="s">
        <v>607</v>
      </c>
      <c r="N669" s="14" t="s">
        <v>588</v>
      </c>
      <c r="O669" s="14" t="s">
        <v>607</v>
      </c>
      <c r="P669" s="14" t="s">
        <v>578</v>
      </c>
      <c r="Q669" s="14" t="s">
        <v>607</v>
      </c>
      <c r="R669" s="14"/>
      <c r="S669" s="14"/>
    </row>
    <row r="670" spans="1:20" x14ac:dyDescent="0.35">
      <c r="A670" s="11">
        <v>43899</v>
      </c>
      <c r="B670" s="11">
        <v>43899</v>
      </c>
      <c r="C670" s="1"/>
      <c r="D670" s="14" t="s">
        <v>9</v>
      </c>
      <c r="F670" t="s">
        <v>613</v>
      </c>
      <c r="G670" s="14" t="s">
        <v>75</v>
      </c>
      <c r="I670" s="14" t="s">
        <v>614</v>
      </c>
      <c r="J670" s="16">
        <v>271</v>
      </c>
      <c r="K670" s="14" t="s">
        <v>90</v>
      </c>
      <c r="L670" s="14" t="s">
        <v>594</v>
      </c>
      <c r="M670" s="14" t="s">
        <v>93</v>
      </c>
      <c r="N670" s="14" t="s">
        <v>602</v>
      </c>
      <c r="O670" s="14" t="s">
        <v>93</v>
      </c>
      <c r="P670" s="14" t="s">
        <v>599</v>
      </c>
      <c r="Q670" s="14" t="s">
        <v>598</v>
      </c>
      <c r="R670" s="14"/>
      <c r="S670" s="14"/>
    </row>
  </sheetData>
  <autoFilter ref="J1:J670" xr:uid="{00000000-0009-0000-0000-000001000000}"/>
  <sortState xmlns:xlrd2="http://schemas.microsoft.com/office/spreadsheetml/2017/richdata2" ref="A2:T670">
    <sortCondition ref="C1"/>
  </sortState>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100-000000000000}">
          <x14:formula1>
            <xm:f>Dictionary!$A$10</xm:f>
          </x14:formula1>
          <xm:sqref>L264 L267 U270 L273 U276 L279 L282 L286 L288 L291 L294 L297 L300 L302 L305 L308 L311 L314 L317 L323 L326 L329 L332 L335 L338 L341 L344 L347 L350 L353 L356 L359 L362 L365 L320 L277 L271</xm:sqref>
        </x14:dataValidation>
        <x14:dataValidation type="list" allowBlank="1" showInputMessage="1" showErrorMessage="1" xr:uid="{00000000-0002-0000-0100-000001000000}">
          <x14:formula1>
            <xm:f>Dictionary!$A$18:$A$19</xm:f>
          </x14:formula1>
          <xm:sqref>L265 L268:L269 L274:L275 L280 L289 L292 L295 L298 L301 L303 L306 L309 L312 L315 L366 L324 L327 L330 L333 L336 L339 L342 L345 L348 L351 L354 L357 L360 L363 L318 L321 U271 L283:L284</xm:sqref>
        </x14:dataValidation>
        <x14:dataValidation type="list" allowBlank="1" showInputMessage="1" showErrorMessage="1" xr:uid="{00000000-0002-0000-0100-000002000000}">
          <x14:formula1>
            <xm:f>Dictionary!$B$10:$B$13</xm:f>
          </x14:formula1>
          <xm:sqref>M264 M267 V270 M273 V276 M279 M282 M286 M288 M291 M294 M297 M300 M302 M305 M308 M311 M314 M317 M323 M326 M329 M332 M335 M338 M341 M344 M347 M350 M353 M356 M359 M362 M365 M320 M277 M271</xm:sqref>
        </x14:dataValidation>
        <x14:dataValidation type="list" allowBlank="1" showInputMessage="1" showErrorMessage="1" xr:uid="{00000000-0002-0000-0100-000003000000}">
          <x14:formula1>
            <xm:f>Dictionary!$B$18:$B$20</xm:f>
          </x14:formula1>
          <xm:sqref>M265 M268:M269 M274:M275 M280 M289 M292 M295 M298 M301 M303 M306 M309 M312 M315 M366 M324 M327 M330 M333 M336 M339 M342 M345 M348 M351 M354 M357 M360 M363 M318 M321 V271 M283:M284</xm:sqref>
        </x14:dataValidation>
        <x14:dataValidation type="list" allowBlank="1" showInputMessage="1" showErrorMessage="1" xr:uid="{00000000-0002-0000-0100-000004000000}">
          <x14:formula1>
            <xm:f>Dictionary!$C$10:$C$13</xm:f>
          </x14:formula1>
          <xm:sqref>N264 N267 W270 N273 W276 N279 N282 N286 N288 N291 N294 N297 N300 N302 N305 N308 N311 N314 N317 N323 N326 N329 N332 N335 N338 N341 N344 N347 N350 N353 N356 N359 N362 N365 N320 N277 N271</xm:sqref>
        </x14:dataValidation>
        <x14:dataValidation type="list" allowBlank="1" showInputMessage="1" showErrorMessage="1" xr:uid="{00000000-0002-0000-0100-000005000000}">
          <x14:formula1>
            <xm:f>Dictionary!$D$10:$D$13</xm:f>
          </x14:formula1>
          <xm:sqref>O264 O267 X270 O273 X276 O279 O282 O286 O288 O291 O294 O297 O300 O302 O305 O308 O311 O314 O317 O323 O326 O329 O332 O335 O338 O341 O344 O347 O350 O353 O356 O359 O362 O365 O320 O277 O271</xm:sqref>
        </x14:dataValidation>
        <x14:dataValidation type="list" allowBlank="1" showInputMessage="1" showErrorMessage="1" xr:uid="{00000000-0002-0000-0100-000006000000}">
          <x14:formula1>
            <xm:f>Dictionary!$E$10:$E$12</xm:f>
          </x14:formula1>
          <xm:sqref>P264 P267 Y270 P273 Y276 P279 P282 P286 P288 P291 P294 P297 P300 P302 P305 P308 P311 P314 P317 P323 P326 P329 P332 P335 P338 P341 P344 P347 P350 P353 P356 P359 P362 P365 P320 P277 P271</xm:sqref>
        </x14:dataValidation>
        <x14:dataValidation type="list" allowBlank="1" showInputMessage="1" showErrorMessage="1" xr:uid="{00000000-0002-0000-0100-000007000000}">
          <x14:formula1>
            <xm:f>Dictionary!$F$10:$F$13</xm:f>
          </x14:formula1>
          <xm:sqref>Q264 Q267 Z270 Q273 Z276 Q279 Q282 Q286 Q288 Q291 Q294 Q297 Q300 Q302 Q305 Q308 Q311 Q314 Q317 Q323 Q326 Q329 Q332 Q335 Q338 Q341 Q344 Q347 Q350 Q353 Q356 Q359 Q362 Q365 Q320 Q277 Q271</xm:sqref>
        </x14:dataValidation>
        <x14:dataValidation type="list" allowBlank="1" showInputMessage="1" showErrorMessage="1" xr:uid="{00000000-0002-0000-0100-000008000000}">
          <x14:formula1>
            <xm:f>Dictionary!$C$18:$C$20</xm:f>
          </x14:formula1>
          <xm:sqref>N265 N268:N269 N274:N275 N280 N289 N292 N295 N298 N301 N303 N306 N309 N312 N315 N366 N324 N327 N330 N333 N336 N339 N342 N345 N348 N351 N354 N357 N360 N363 N318 N321 W271 N283:N284</xm:sqref>
        </x14:dataValidation>
        <x14:dataValidation type="list" allowBlank="1" showInputMessage="1" showErrorMessage="1" xr:uid="{00000000-0002-0000-0100-000009000000}">
          <x14:formula1>
            <xm:f>Dictionary!$D$18:$D$20</xm:f>
          </x14:formula1>
          <xm:sqref>O265 O268:O269 O274:O275 O280 O289 O292 O295 O298 O301 O303 O306 O309 O312 O315 O366 O324 O327 O330 O333 O336 O339 O342 O345 O348 O351 O354 O357 O360 O363 O318 O321 X271 O283:O284</xm:sqref>
        </x14:dataValidation>
        <x14:dataValidation type="list" allowBlank="1" showInputMessage="1" showErrorMessage="1" xr:uid="{00000000-0002-0000-0100-00000A000000}">
          <x14:formula1>
            <xm:f>Dictionary!$E$18:$E$20</xm:f>
          </x14:formula1>
          <xm:sqref>P265 P268:P269 P274:P275 P280 P289 P292 P295 P298 P301 P303 P306 P309 P312 P315 P366 P324 P327 P330 P333 P336 P339 P342 P345 P348 P351 P354 P357 P360 P363 P318 P321 Y271 P283:P284</xm:sqref>
        </x14:dataValidation>
        <x14:dataValidation type="list" allowBlank="1" showInputMessage="1" showErrorMessage="1" xr:uid="{00000000-0002-0000-0100-00000B000000}">
          <x14:formula1>
            <xm:f>Dictionary!$F$18:$F$21</xm:f>
          </x14:formula1>
          <xm:sqref>Q265 Q268:Q269 Q274:Q275 Q280 Q289 Q292 Q295 Q298 Q301 Q303 Q306 Q309 Q312 Q315 Q366 Q324 Q327 Q330 Q333 Q336 Q339 Q342 Q345 Q348 Q351 Q354 Q357 Q360 Q363 Q318 Q321 Z271 Q283:Q284</xm:sqref>
        </x14:dataValidation>
        <x14:dataValidation type="list" allowBlank="1" showInputMessage="1" xr:uid="{00000000-0002-0000-0100-00000C000000}">
          <x14:formula1>
            <xm:f>Dictionary!$A$3:$A$6</xm:f>
          </x14:formula1>
          <xm:sqref>L263 L266 L278 U275 L319 L281 L285 L287 L290 L293 L296 L299 L304 L307 L310 L313 L316 L322 L325 L328 L331 L334 L337 L340 L343 L346 L349 L352 L355 L358 L361 L364 L276 L270 L272</xm:sqref>
        </x14:dataValidation>
        <x14:dataValidation type="list" allowBlank="1" showInputMessage="1" xr:uid="{00000000-0002-0000-0100-00000D000000}">
          <x14:formula1>
            <xm:f>Dictionary!$B$3:$B$6</xm:f>
          </x14:formula1>
          <xm:sqref>M263 M266 M278 V275 M319 M281 M285 M287 M290 M293 M296 M299 M304 M307 M310 M313 M316 M322 M325 M328 M331 M334 M337 M340 M343 M346 M349 M352 M355 M358 M361 M364 M276 M270 M272</xm:sqref>
        </x14:dataValidation>
        <x14:dataValidation type="list" allowBlank="1" showInputMessage="1" xr:uid="{00000000-0002-0000-0100-00000E000000}">
          <x14:formula1>
            <xm:f>Dictionary!$D$3:$D$6</xm:f>
          </x14:formula1>
          <xm:sqref>O263 O266 O278 X275 O319 O281 O285 O287 O290 O293 O296 O299 O304 O307 O310 O313 O316 O322 O325 O328 O331 O334 O337 O340 O343 O346 O349 O352 O355 O358 O361 O364 O276 O270 O272</xm:sqref>
        </x14:dataValidation>
        <x14:dataValidation type="list" allowBlank="1" showInputMessage="1" xr:uid="{00000000-0002-0000-0100-00000F000000}">
          <x14:formula1>
            <xm:f>Dictionary!$E$3:$E$4</xm:f>
          </x14:formula1>
          <xm:sqref>P263 P266 P278 Y275 P319 P281 P285 P287 P290 P293 P296 P299 P304 P307 P310 P313 P316 P322 P325 P328 P331 P334 P337 P340 P343 P346 P349 P352 P355 P358 P361 P364 P276 P270 P272</xm:sqref>
        </x14:dataValidation>
        <x14:dataValidation type="list" allowBlank="1" showInputMessage="1" xr:uid="{00000000-0002-0000-0100-000010000000}">
          <x14:formula1>
            <xm:f>Dictionary!$F$3:$F$6</xm:f>
          </x14:formula1>
          <xm:sqref>Q263 Q266 Q278 Z275 Q319 Q281 Q285 Q287 Q290 Q293 Q296 Q299 Q304 Q307 Q310 Q313 Q316 Q322 Q325 Q328 Q331 Q334 Q337 Q340 Q343 Q346 Q349 Q352 Q355 Q358 Q361 Q364 Q276 Q270 Q272</xm:sqref>
        </x14:dataValidation>
        <x14:dataValidation type="list" allowBlank="1" showInputMessage="1" xr:uid="{00000000-0002-0000-0100-000011000000}">
          <x14:formula1>
            <xm:f>Dictionary!$C$3:$C$6</xm:f>
          </x14:formula1>
          <xm:sqref>N263 N266 N278 W275 N319 N281 N285 N287 N290 N293 N296 N299 N304 N307 N310 N313 N316 N322 N325 N328 N331 N334 N337 N340 N343 N346 N349 N352 N355 N358 N361 N364 N276 N270 N272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21"/>
  <sheetViews>
    <sheetView workbookViewId="0">
      <selection activeCell="D26" sqref="D26"/>
    </sheetView>
  </sheetViews>
  <sheetFormatPr defaultRowHeight="14.5" x14ac:dyDescent="0.35"/>
  <cols>
    <col min="1" max="1" width="16.26953125" customWidth="1"/>
    <col min="2" max="2" width="35.453125" customWidth="1"/>
    <col min="3" max="3" width="39.1796875" customWidth="1"/>
    <col min="4" max="4" width="35" customWidth="1"/>
    <col min="5" max="5" width="37.26953125" customWidth="1"/>
    <col min="6" max="6" width="27.54296875" customWidth="1"/>
  </cols>
  <sheetData>
    <row r="1" spans="1:6" x14ac:dyDescent="0.35">
      <c r="A1" s="17" t="s">
        <v>581</v>
      </c>
      <c r="B1" s="2"/>
      <c r="C1" s="2"/>
      <c r="D1" s="2"/>
      <c r="E1" s="2"/>
      <c r="F1" s="2"/>
    </row>
    <row r="2" spans="1:6" x14ac:dyDescent="0.35">
      <c r="A2" s="18" t="s">
        <v>76</v>
      </c>
      <c r="B2" s="18" t="s">
        <v>77</v>
      </c>
      <c r="C2" s="18" t="s">
        <v>78</v>
      </c>
      <c r="D2" s="18" t="s">
        <v>79</v>
      </c>
      <c r="E2" s="18" t="s">
        <v>80</v>
      </c>
      <c r="F2" s="18" t="s">
        <v>81</v>
      </c>
    </row>
    <row r="3" spans="1:6" x14ac:dyDescent="0.35">
      <c r="A3" s="2" t="s">
        <v>575</v>
      </c>
      <c r="B3" s="2" t="s">
        <v>575</v>
      </c>
      <c r="C3" s="2" t="s">
        <v>576</v>
      </c>
      <c r="D3" s="2" t="s">
        <v>575</v>
      </c>
      <c r="E3" s="2" t="s">
        <v>578</v>
      </c>
      <c r="F3" s="2" t="s">
        <v>583</v>
      </c>
    </row>
    <row r="4" spans="1:6" x14ac:dyDescent="0.35">
      <c r="A4" s="2" t="s">
        <v>122</v>
      </c>
      <c r="B4" s="2" t="s">
        <v>122</v>
      </c>
      <c r="C4" s="2" t="s">
        <v>577</v>
      </c>
      <c r="D4" s="2" t="s">
        <v>122</v>
      </c>
      <c r="E4" s="2" t="s">
        <v>151</v>
      </c>
      <c r="F4" s="2" t="s">
        <v>585</v>
      </c>
    </row>
    <row r="5" spans="1:6" x14ac:dyDescent="0.35">
      <c r="A5" s="2" t="s">
        <v>319</v>
      </c>
      <c r="B5" s="2" t="s">
        <v>319</v>
      </c>
      <c r="C5" s="2" t="s">
        <v>137</v>
      </c>
      <c r="D5" s="2" t="s">
        <v>319</v>
      </c>
      <c r="E5" s="2"/>
      <c r="F5" s="2" t="s">
        <v>178</v>
      </c>
    </row>
    <row r="6" spans="1:6" x14ac:dyDescent="0.35">
      <c r="A6" s="2" t="s">
        <v>154</v>
      </c>
      <c r="B6" s="2" t="s">
        <v>154</v>
      </c>
      <c r="C6" s="2" t="s">
        <v>151</v>
      </c>
      <c r="D6" s="2" t="s">
        <v>154</v>
      </c>
      <c r="E6" s="2"/>
      <c r="F6" s="2" t="s">
        <v>584</v>
      </c>
    </row>
    <row r="7" spans="1:6" x14ac:dyDescent="0.35">
      <c r="A7" s="2"/>
      <c r="B7" s="2"/>
      <c r="C7" s="2"/>
      <c r="D7" s="2"/>
      <c r="E7" s="2"/>
      <c r="F7" s="2"/>
    </row>
    <row r="8" spans="1:6" x14ac:dyDescent="0.35">
      <c r="A8" s="17" t="s">
        <v>89</v>
      </c>
      <c r="B8" s="2"/>
      <c r="C8" s="2"/>
      <c r="D8" s="2"/>
      <c r="E8" s="2"/>
      <c r="F8" s="2"/>
    </row>
    <row r="9" spans="1:6" x14ac:dyDescent="0.35">
      <c r="A9" s="18" t="s">
        <v>76</v>
      </c>
      <c r="B9" s="18" t="s">
        <v>77</v>
      </c>
      <c r="C9" s="18" t="s">
        <v>78</v>
      </c>
      <c r="D9" s="18" t="s">
        <v>79</v>
      </c>
      <c r="E9" s="18" t="s">
        <v>80</v>
      </c>
      <c r="F9" s="18" t="s">
        <v>81</v>
      </c>
    </row>
    <row r="10" spans="1:6" x14ac:dyDescent="0.35">
      <c r="A10" s="2" t="s">
        <v>144</v>
      </c>
      <c r="B10" s="2" t="s">
        <v>121</v>
      </c>
      <c r="C10" s="2" t="s">
        <v>586</v>
      </c>
      <c r="D10" s="2" t="s">
        <v>121</v>
      </c>
      <c r="E10" s="2" t="s">
        <v>578</v>
      </c>
      <c r="F10" s="2" t="s">
        <v>591</v>
      </c>
    </row>
    <row r="11" spans="1:6" x14ac:dyDescent="0.35">
      <c r="A11" s="2"/>
      <c r="B11" s="2" t="s">
        <v>589</v>
      </c>
      <c r="C11" s="2" t="s">
        <v>587</v>
      </c>
      <c r="D11" s="2" t="s">
        <v>605</v>
      </c>
      <c r="E11" s="2" t="s">
        <v>606</v>
      </c>
      <c r="F11" s="2" t="s">
        <v>592</v>
      </c>
    </row>
    <row r="12" spans="1:6" x14ac:dyDescent="0.35">
      <c r="A12" s="2"/>
      <c r="B12" s="2" t="s">
        <v>590</v>
      </c>
      <c r="C12" s="2" t="s">
        <v>588</v>
      </c>
      <c r="D12" s="2" t="s">
        <v>604</v>
      </c>
      <c r="E12" s="2" t="s">
        <v>607</v>
      </c>
      <c r="F12" s="2" t="s">
        <v>593</v>
      </c>
    </row>
    <row r="13" spans="1:6" x14ac:dyDescent="0.35">
      <c r="A13" s="2"/>
      <c r="B13" s="2" t="s">
        <v>607</v>
      </c>
      <c r="C13" s="2" t="s">
        <v>609</v>
      </c>
      <c r="D13" s="2" t="s">
        <v>607</v>
      </c>
      <c r="E13" s="2"/>
      <c r="F13" s="2" t="s">
        <v>607</v>
      </c>
    </row>
    <row r="14" spans="1:6" x14ac:dyDescent="0.35">
      <c r="A14" s="2"/>
      <c r="B14" s="2"/>
      <c r="C14" s="2"/>
      <c r="D14" s="2"/>
      <c r="E14" s="2"/>
      <c r="F14" s="2"/>
    </row>
    <row r="15" spans="1:6" x14ac:dyDescent="0.35">
      <c r="A15" s="2"/>
      <c r="B15" s="2"/>
      <c r="C15" s="2"/>
      <c r="D15" s="2"/>
      <c r="E15" s="2"/>
      <c r="F15" s="2"/>
    </row>
    <row r="16" spans="1:6" x14ac:dyDescent="0.35">
      <c r="A16" s="17" t="s">
        <v>582</v>
      </c>
      <c r="B16" s="2"/>
      <c r="C16" s="2"/>
      <c r="D16" s="2"/>
      <c r="E16" s="2"/>
      <c r="F16" s="2"/>
    </row>
    <row r="17" spans="1:6" x14ac:dyDescent="0.35">
      <c r="A17" s="18" t="s">
        <v>76</v>
      </c>
      <c r="B17" s="18" t="s">
        <v>77</v>
      </c>
      <c r="C17" s="18" t="s">
        <v>78</v>
      </c>
      <c r="D17" s="18" t="s">
        <v>79</v>
      </c>
      <c r="E17" s="18" t="s">
        <v>80</v>
      </c>
      <c r="F17" s="18" t="s">
        <v>81</v>
      </c>
    </row>
    <row r="18" spans="1:6" x14ac:dyDescent="0.35">
      <c r="A18" s="2" t="s">
        <v>594</v>
      </c>
      <c r="B18" s="2" t="s">
        <v>603</v>
      </c>
      <c r="C18" s="2" t="s">
        <v>602</v>
      </c>
      <c r="D18" s="2" t="s">
        <v>601</v>
      </c>
      <c r="E18" s="2" t="s">
        <v>600</v>
      </c>
      <c r="F18" s="2" t="s">
        <v>596</v>
      </c>
    </row>
    <row r="19" spans="1:6" x14ac:dyDescent="0.35">
      <c r="A19" s="2" t="s">
        <v>595</v>
      </c>
      <c r="B19" s="2" t="s">
        <v>93</v>
      </c>
      <c r="C19" s="2" t="s">
        <v>93</v>
      </c>
      <c r="D19" s="2" t="s">
        <v>93</v>
      </c>
      <c r="E19" s="2" t="s">
        <v>93</v>
      </c>
      <c r="F19" s="2" t="s">
        <v>597</v>
      </c>
    </row>
    <row r="20" spans="1:6" x14ac:dyDescent="0.35">
      <c r="A20" s="2"/>
      <c r="B20" s="2" t="s">
        <v>599</v>
      </c>
      <c r="C20" s="2" t="s">
        <v>599</v>
      </c>
      <c r="D20" s="2" t="s">
        <v>599</v>
      </c>
      <c r="E20" s="2" t="s">
        <v>599</v>
      </c>
      <c r="F20" s="2" t="s">
        <v>598</v>
      </c>
    </row>
    <row r="21" spans="1:6" x14ac:dyDescent="0.35">
      <c r="A21" s="2"/>
      <c r="B21" s="2"/>
      <c r="C21" s="2"/>
      <c r="D21" s="2"/>
      <c r="E21" s="2"/>
      <c r="F21" s="2" t="s">
        <v>599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227"/>
  <sheetViews>
    <sheetView topLeftCell="A88" workbookViewId="0">
      <selection activeCell="D227" sqref="D227"/>
    </sheetView>
  </sheetViews>
  <sheetFormatPr defaultRowHeight="14.5" x14ac:dyDescent="0.35"/>
  <cols>
    <col min="1" max="1" width="12.7265625" customWidth="1"/>
    <col min="2" max="2" width="9.54296875" customWidth="1"/>
    <col min="3" max="3" width="8.81640625" customWidth="1"/>
    <col min="7" max="7" width="4.26953125" customWidth="1"/>
    <col min="8" max="8" width="21" customWidth="1"/>
    <col min="10" max="10" width="16.26953125" customWidth="1"/>
    <col min="11" max="11" width="36.453125" bestFit="1" customWidth="1"/>
    <col min="12" max="12" width="36.26953125" bestFit="1" customWidth="1"/>
    <col min="13" max="13" width="24.26953125" bestFit="1" customWidth="1"/>
    <col min="14" max="14" width="21.7265625" bestFit="1" customWidth="1"/>
    <col min="15" max="15" width="27.7265625" bestFit="1" customWidth="1"/>
    <col min="16" max="16" width="45.7265625" bestFit="1" customWidth="1"/>
    <col min="17" max="17" width="35.453125" bestFit="1" customWidth="1"/>
    <col min="18" max="18" width="23.7265625" bestFit="1" customWidth="1"/>
    <col min="19" max="19" width="32.1796875" bestFit="1" customWidth="1"/>
  </cols>
  <sheetData>
    <row r="1" spans="1:21" s="9" customFormat="1" x14ac:dyDescent="0.35">
      <c r="A1" s="9" t="s">
        <v>54</v>
      </c>
      <c r="B1" s="9" t="s">
        <v>580</v>
      </c>
      <c r="C1" s="10" t="s">
        <v>7</v>
      </c>
      <c r="D1" s="9" t="s">
        <v>8</v>
      </c>
      <c r="E1" s="9" t="s">
        <v>4</v>
      </c>
      <c r="F1" s="9" t="s">
        <v>5</v>
      </c>
      <c r="G1" s="9" t="s">
        <v>49</v>
      </c>
      <c r="H1" s="9" t="s">
        <v>55</v>
      </c>
      <c r="I1" s="10" t="s">
        <v>53</v>
      </c>
      <c r="J1" s="10" t="s">
        <v>87</v>
      </c>
      <c r="K1" s="10" t="s">
        <v>76</v>
      </c>
      <c r="L1" s="10" t="s">
        <v>77</v>
      </c>
      <c r="M1" s="10" t="s">
        <v>78</v>
      </c>
      <c r="N1" s="10" t="s">
        <v>79</v>
      </c>
      <c r="O1" s="10" t="s">
        <v>80</v>
      </c>
      <c r="P1" s="10" t="s">
        <v>81</v>
      </c>
      <c r="Q1" s="10" t="s">
        <v>82</v>
      </c>
      <c r="R1" s="10" t="s">
        <v>83</v>
      </c>
      <c r="S1" s="10" t="s">
        <v>84</v>
      </c>
      <c r="T1" s="9" t="s">
        <v>848</v>
      </c>
      <c r="U1" s="9" t="s">
        <v>849</v>
      </c>
    </row>
    <row r="2" spans="1:21" x14ac:dyDescent="0.35">
      <c r="A2" s="11">
        <f ca="1">OFFSET(Sheet2!B$2,(ROW(A3))*3,0)</f>
        <v>43876</v>
      </c>
      <c r="B2" s="11">
        <f ca="1">OFFSET(Sheet2!A$2,(ROW(A3))*3,0)</f>
        <v>43876</v>
      </c>
      <c r="C2">
        <f ca="1">OFFSET(Sheet2!C$2,(ROW(C3))*3,0)</f>
        <v>1</v>
      </c>
      <c r="D2" t="str">
        <f ca="1">OFFSET(Sheet2!D$2,(ROW(D3))*3,0)</f>
        <v>North</v>
      </c>
      <c r="E2" t="str">
        <f ca="1">OFFSET(Sheet2!F$2,(ROW(E3))*3,0)</f>
        <v>Mwalye Eric Sam</v>
      </c>
      <c r="F2" t="str">
        <f ca="1">OFFSET(Sheet2!G$2,(ROW(F3))*3,0)</f>
        <v>H2Go</v>
      </c>
      <c r="G2">
        <f ca="1">OFFSET(Sheet2!H$2,(ROW(G3))*3,0)</f>
        <v>0</v>
      </c>
      <c r="H2" t="str">
        <f ca="1">OFFSET(Sheet2!I$2,(ROW(H3))*3,0)</f>
        <v>WEEKLY</v>
      </c>
      <c r="I2">
        <f ca="1">OFFSET(Sheet2!J$2,(ROW(I3))*3,0)</f>
        <v>294</v>
      </c>
      <c r="J2" t="str">
        <f ca="1">OFFSET(Sheet2!K$2,(ROW(J3))*3,0)</f>
        <v>Damage Observed</v>
      </c>
      <c r="K2" t="str">
        <f ca="1">OFFSET(Sheet2!L$2,(ROW(K3))*3,0)</f>
        <v>Dirty</v>
      </c>
      <c r="L2" t="str">
        <f ca="1">OFFSET(Sheet2!M$2,(ROW(L3))*3,0)</f>
        <v>Okay</v>
      </c>
      <c r="M2" t="str">
        <f ca="1">OFFSET(Sheet2!N$2,(ROW(M3))*3,0)</f>
        <v>Good</v>
      </c>
      <c r="N2" t="str">
        <f ca="1">OFFSET(Sheet2!O$2,(ROW(N3))*3,0)</f>
        <v>Okay</v>
      </c>
      <c r="O2" t="str">
        <f ca="1">OFFSET(Sheet2!P$2,(ROW(O3))*3,0)</f>
        <v>Good</v>
      </c>
      <c r="P2" t="str">
        <f ca="1">OFFSET(Sheet2!Q$2,(ROW(P3))*3,0)</f>
        <v>Nut and washer showing wear</v>
      </c>
      <c r="Q2">
        <f ca="1">OFFSET(Sheet2!R$2,(ROW(Q3))*3,0)</f>
        <v>0</v>
      </c>
      <c r="R2">
        <f ca="1">OFFSET(Sheet2!S$2,(ROW(R3))*3,0)</f>
        <v>0</v>
      </c>
      <c r="S2">
        <f ca="1">OFFSET(Sheet2!T$2,(ROW(S3))*3,0)</f>
        <v>0</v>
      </c>
      <c r="T2">
        <f ca="1">OFFSET(Sheet2!U$2,(ROW(T3))*3,0)</f>
        <v>0</v>
      </c>
      <c r="U2">
        <f ca="1">OFFSET(Sheet2!V$2,(ROW(U3))*3,0)</f>
        <v>0</v>
      </c>
    </row>
    <row r="3" spans="1:21" x14ac:dyDescent="0.35">
      <c r="A3" s="11">
        <f ca="1">OFFSET(Sheet2!B$2,(ROW(A4))*3,0)</f>
        <v>43886</v>
      </c>
      <c r="B3" s="11">
        <f ca="1">OFFSET(Sheet2!A$2,(ROW(A4))*3,0)</f>
        <v>43886</v>
      </c>
      <c r="C3">
        <f ca="1">OFFSET(Sheet2!C$2,(ROW(C4))*3,0)</f>
        <v>1</v>
      </c>
      <c r="D3" t="str">
        <f ca="1">OFFSET(Sheet2!D$2,(ROW(D4))*3,0)</f>
        <v>North</v>
      </c>
      <c r="E3" t="str">
        <f ca="1">OFFSET(Sheet2!F$2,(ROW(E4))*3,0)</f>
        <v>Mwalye Eric Sam</v>
      </c>
      <c r="F3" t="str">
        <f ca="1">OFFSET(Sheet2!G$2,(ROW(F4))*3,0)</f>
        <v>H2Go</v>
      </c>
      <c r="G3">
        <f ca="1">OFFSET(Sheet2!H$2,(ROW(G4))*3,0)</f>
        <v>0</v>
      </c>
      <c r="H3" t="str">
        <f ca="1">OFFSET(Sheet2!I$2,(ROW(H4))*3,0)</f>
        <v>WEEKLY</v>
      </c>
      <c r="I3">
        <f ca="1">OFFSET(Sheet2!J$2,(ROW(I4))*3,0)</f>
        <v>243</v>
      </c>
      <c r="J3" t="str">
        <f ca="1">OFFSET(Sheet2!K$2,(ROW(J4))*3,0)</f>
        <v>Damage Observed</v>
      </c>
      <c r="K3" t="str">
        <f ca="1">OFFSET(Sheet2!L$2,(ROW(K4))*3,0)</f>
        <v>Okay</v>
      </c>
      <c r="L3" t="str">
        <f ca="1">OFFSET(Sheet2!M$2,(ROW(L4))*3,0)</f>
        <v>Clean</v>
      </c>
      <c r="M3" t="str">
        <f ca="1">OFFSET(Sheet2!N$2,(ROW(M4))*3,0)</f>
        <v>Tight</v>
      </c>
      <c r="N3" t="str">
        <f ca="1">OFFSET(Sheet2!O$2,(ROW(N4))*3,0)</f>
        <v>Clean</v>
      </c>
      <c r="O3" t="str">
        <f ca="1">OFFSET(Sheet2!P$2,(ROW(O4))*3,0)</f>
        <v>Good</v>
      </c>
      <c r="P3" t="str">
        <f ca="1">OFFSET(Sheet2!Q$2,(ROW(P4))*3,0)</f>
        <v>In good Condition</v>
      </c>
      <c r="Q3">
        <f ca="1">OFFSET(Sheet2!R$2,(ROW(Q4))*3,0)</f>
        <v>0</v>
      </c>
      <c r="R3">
        <f ca="1">OFFSET(Sheet2!S$2,(ROW(R4))*3,0)</f>
        <v>0</v>
      </c>
      <c r="S3">
        <f ca="1">OFFSET(Sheet2!T$2,(ROW(S4))*3,0)</f>
        <v>0</v>
      </c>
      <c r="T3">
        <f ca="1">OFFSET(Sheet2!U$2,(ROW(T4))*3,0)</f>
        <v>0</v>
      </c>
      <c r="U3">
        <f ca="1">OFFSET(Sheet2!V$2,(ROW(U4))*3,0)</f>
        <v>0</v>
      </c>
    </row>
    <row r="4" spans="1:21" x14ac:dyDescent="0.35">
      <c r="A4" s="11">
        <f ca="1">OFFSET(Sheet2!B$2,(ROW(A5))*3,0)</f>
        <v>43892</v>
      </c>
      <c r="B4" s="11">
        <f ca="1">OFFSET(Sheet2!A$2,(ROW(A5))*3,0)</f>
        <v>43892</v>
      </c>
      <c r="C4">
        <f ca="1">OFFSET(Sheet2!C$2,(ROW(C5))*3,0)</f>
        <v>1</v>
      </c>
      <c r="D4" t="str">
        <f ca="1">OFFSET(Sheet2!D$2,(ROW(D5))*3,0)</f>
        <v>North</v>
      </c>
      <c r="E4" t="str">
        <f ca="1">OFFSET(Sheet2!F$2,(ROW(E5))*3,0)</f>
        <v>Mwalye Eric Sam</v>
      </c>
      <c r="F4" t="str">
        <f ca="1">OFFSET(Sheet2!G$2,(ROW(F5))*3,0)</f>
        <v>H2Go</v>
      </c>
      <c r="G4">
        <f ca="1">OFFSET(Sheet2!H$2,(ROW(G5))*3,0)</f>
        <v>0</v>
      </c>
      <c r="H4" t="str">
        <f ca="1">OFFSET(Sheet2!I$2,(ROW(H5))*3,0)</f>
        <v>WEEKLY</v>
      </c>
      <c r="I4">
        <f ca="1">OFFSET(Sheet2!J$2,(ROW(I5))*3,0)</f>
        <v>257</v>
      </c>
      <c r="J4" t="str">
        <f ca="1">OFFSET(Sheet2!K$2,(ROW(J5))*3,0)</f>
        <v>Damage Observed</v>
      </c>
      <c r="K4" t="str">
        <f ca="1">OFFSET(Sheet2!L$2,(ROW(K5))*3,0)</f>
        <v>Okay</v>
      </c>
      <c r="L4" t="str">
        <f ca="1">OFFSET(Sheet2!M$2,(ROW(L5))*3,0)</f>
        <v>Dirty</v>
      </c>
      <c r="M4" t="str">
        <f ca="1">OFFSET(Sheet2!N$2,(ROW(M5))*3,0)</f>
        <v>Good</v>
      </c>
      <c r="N4" t="str">
        <f ca="1">OFFSET(Sheet2!O$2,(ROW(N5))*3,0)</f>
        <v>Dirty</v>
      </c>
      <c r="O4" t="str">
        <f ca="1">OFFSET(Sheet2!P$2,(ROW(O5))*3,0)</f>
        <v>Good</v>
      </c>
      <c r="P4" t="str">
        <f ca="1">OFFSET(Sheet2!Q$2,(ROW(P5))*3,0)</f>
        <v>In good Condition</v>
      </c>
      <c r="Q4">
        <f ca="1">OFFSET(Sheet2!R$2,(ROW(Q5))*3,0)</f>
        <v>0</v>
      </c>
      <c r="R4">
        <f ca="1">OFFSET(Sheet2!S$2,(ROW(R5))*3,0)</f>
        <v>0</v>
      </c>
      <c r="S4">
        <f ca="1">OFFSET(Sheet2!T$2,(ROW(S5))*3,0)</f>
        <v>0</v>
      </c>
      <c r="T4">
        <f ca="1">OFFSET(Sheet2!U$2,(ROW(T5))*3,0)</f>
        <v>0</v>
      </c>
      <c r="U4">
        <f ca="1">OFFSET(Sheet2!V$2,(ROW(U5))*3,0)</f>
        <v>0</v>
      </c>
    </row>
    <row r="5" spans="1:21" x14ac:dyDescent="0.35">
      <c r="A5" s="11">
        <f ca="1">OFFSET(Sheet2!B$2,(ROW(A6))*3,0)</f>
        <v>43900</v>
      </c>
      <c r="B5" s="11">
        <f ca="1">OFFSET(Sheet2!A$2,(ROW(A6))*3,0)</f>
        <v>43900</v>
      </c>
      <c r="C5">
        <f ca="1">OFFSET(Sheet2!C$2,(ROW(C6))*3,0)</f>
        <v>1</v>
      </c>
      <c r="D5" t="str">
        <f ca="1">OFFSET(Sheet2!D$2,(ROW(D6))*3,0)</f>
        <v>North</v>
      </c>
      <c r="E5" t="str">
        <f ca="1">OFFSET(Sheet2!F$2,(ROW(E6))*3,0)</f>
        <v>Mwalye Eric Sam</v>
      </c>
      <c r="F5" t="str">
        <f ca="1">OFFSET(Sheet2!G$2,(ROW(F6))*3,0)</f>
        <v>H2Go</v>
      </c>
      <c r="G5">
        <f ca="1">OFFSET(Sheet2!H$2,(ROW(G6))*3,0)</f>
        <v>0</v>
      </c>
      <c r="H5" t="str">
        <f ca="1">OFFSET(Sheet2!I$2,(ROW(H6))*3,0)</f>
        <v>WEEKLY</v>
      </c>
      <c r="I5">
        <f ca="1">OFFSET(Sheet2!J$2,(ROW(I6))*3,0)</f>
        <v>207</v>
      </c>
      <c r="J5" t="str">
        <f ca="1">OFFSET(Sheet2!K$2,(ROW(J6))*3,0)</f>
        <v>Damage Observed</v>
      </c>
      <c r="K5" t="str">
        <f ca="1">OFFSET(Sheet2!L$2,(ROW(K6))*3,0)</f>
        <v>Dirty</v>
      </c>
      <c r="L5" t="str">
        <f ca="1">OFFSET(Sheet2!M$2,(ROW(L6))*3,0)</f>
        <v>Clean</v>
      </c>
      <c r="M5" t="str">
        <f ca="1">OFFSET(Sheet2!N$2,(ROW(M6))*3,0)</f>
        <v>Good</v>
      </c>
      <c r="N5" t="str">
        <f ca="1">OFFSET(Sheet2!O$2,(ROW(N6))*3,0)</f>
        <v>Dirty</v>
      </c>
      <c r="O5" t="str">
        <f ca="1">OFFSET(Sheet2!P$2,(ROW(O6))*3,0)</f>
        <v>Needs to be Changed</v>
      </c>
      <c r="P5" t="str">
        <f ca="1">OFFSET(Sheet2!Q$2,(ROW(P6))*3,0)</f>
        <v>In good Condition</v>
      </c>
      <c r="Q5">
        <f ca="1">OFFSET(Sheet2!R$2,(ROW(Q6))*3,0)</f>
        <v>0</v>
      </c>
      <c r="R5">
        <f ca="1">OFFSET(Sheet2!S$2,(ROW(R6))*3,0)</f>
        <v>0</v>
      </c>
      <c r="S5">
        <f ca="1">OFFSET(Sheet2!T$2,(ROW(S6))*3,0)</f>
        <v>0</v>
      </c>
      <c r="T5">
        <f ca="1">OFFSET(Sheet2!U$2,(ROW(T6))*3,0)</f>
        <v>0</v>
      </c>
      <c r="U5">
        <f ca="1">OFFSET(Sheet2!V$2,(ROW(U6))*3,0)</f>
        <v>0</v>
      </c>
    </row>
    <row r="6" spans="1:21" x14ac:dyDescent="0.35">
      <c r="A6" s="11">
        <f ca="1">OFFSET(Sheet2!B$2,(ROW(A7))*3,0)</f>
        <v>43840</v>
      </c>
      <c r="B6" s="11">
        <f ca="1">OFFSET(Sheet2!A$2,(ROW(A7))*3,0)</f>
        <v>43840</v>
      </c>
      <c r="C6">
        <f ca="1">OFFSET(Sheet2!C$2,(ROW(C7))*3,0)</f>
        <v>2</v>
      </c>
      <c r="D6" t="str">
        <f ca="1">OFFSET(Sheet2!D$2,(ROW(D7))*3,0)</f>
        <v>North</v>
      </c>
      <c r="E6" t="str">
        <f ca="1">OFFSET(Sheet2!F$2,(ROW(E7))*3,0)</f>
        <v>Masaba leonard</v>
      </c>
      <c r="F6" t="str">
        <f ca="1">OFFSET(Sheet2!G$2,(ROW(F7))*3,0)</f>
        <v>H2Go</v>
      </c>
      <c r="G6">
        <f ca="1">OFFSET(Sheet2!H$2,(ROW(G7))*3,0)</f>
        <v>0</v>
      </c>
      <c r="H6" t="str">
        <f ca="1">OFFSET(Sheet2!I$2,(ROW(H7))*3,0)</f>
        <v>Comprehensive</v>
      </c>
      <c r="I6">
        <f ca="1">OFFSET(Sheet2!J$2,(ROW(I7))*3,0)</f>
        <v>30</v>
      </c>
      <c r="J6" t="str">
        <f ca="1">OFFSET(Sheet2!K$2,(ROW(J7))*3,0)</f>
        <v>Damage Observed</v>
      </c>
      <c r="K6" t="str">
        <f ca="1">OFFSET(Sheet2!L$2,(ROW(K7))*3,0)</f>
        <v>Dirty</v>
      </c>
      <c r="L6" t="str">
        <f ca="1">OFFSET(Sheet2!M$2,(ROW(L7))*3,0)</f>
        <v>Dirty</v>
      </c>
      <c r="M6" t="str">
        <f ca="1">OFFSET(Sheet2!N$2,(ROW(M7))*3,0)</f>
        <v>Misalignment</v>
      </c>
      <c r="N6" t="str">
        <f ca="1">OFFSET(Sheet2!O$2,(ROW(N7))*3,0)</f>
        <v>Very clean</v>
      </c>
      <c r="O6" t="str">
        <f ca="1">OFFSET(Sheet2!P$2,(ROW(O7))*3,0)</f>
        <v>Damaged plug due to oil leakage</v>
      </c>
      <c r="P6" t="str">
        <f ca="1">OFFSET(Sheet2!Q$2,(ROW(P7))*3,0)</f>
        <v>Still good</v>
      </c>
      <c r="Q6" t="str">
        <f ca="1">OFFSET(Sheet2!R$2,(ROW(Q7))*3,0)</f>
        <v>Has serious defect</v>
      </c>
      <c r="R6" t="str">
        <f ca="1">OFFSET(Sheet2!S$2,(ROW(R7))*3,0)</f>
        <v>Still in good conditions</v>
      </c>
      <c r="S6" t="str">
        <f ca="1">OFFSET(Sheet2!T$2,(ROW(S7))*3,0)</f>
        <v>No damage</v>
      </c>
      <c r="T6">
        <f ca="1">OFFSET(Sheet2!U$2,(ROW(T7))*3,0)</f>
        <v>0</v>
      </c>
      <c r="U6">
        <f ca="1">OFFSET(Sheet2!V$2,(ROW(U7))*3,0)</f>
        <v>0</v>
      </c>
    </row>
    <row r="7" spans="1:21" x14ac:dyDescent="0.35">
      <c r="A7" s="11" t="str">
        <f ca="1">OFFSET(Sheet2!B$2,(ROW(A8))*3,0)</f>
        <v>18/1/2020</v>
      </c>
      <c r="B7" s="11">
        <f ca="1">OFFSET(Sheet2!A$2,(ROW(A8))*3,0)</f>
        <v>43848</v>
      </c>
      <c r="C7">
        <f ca="1">OFFSET(Sheet2!C$2,(ROW(C8))*3,0)</f>
        <v>2</v>
      </c>
      <c r="D7" t="str">
        <f ca="1">OFFSET(Sheet2!D$2,(ROW(D8))*3,0)</f>
        <v>North</v>
      </c>
      <c r="E7" t="str">
        <f ca="1">OFFSET(Sheet2!F$2,(ROW(E8))*3,0)</f>
        <v>Masaba leonard</v>
      </c>
      <c r="F7" t="str">
        <f ca="1">OFFSET(Sheet2!G$2,(ROW(F8))*3,0)</f>
        <v>H2Go</v>
      </c>
      <c r="G7">
        <f ca="1">OFFSET(Sheet2!H$2,(ROW(G8))*3,0)</f>
        <v>0</v>
      </c>
      <c r="H7" t="str">
        <f ca="1">OFFSET(Sheet2!I$2,(ROW(H8))*3,0)</f>
        <v>weekly</v>
      </c>
      <c r="I7">
        <f ca="1">OFFSET(Sheet2!J$2,(ROW(I8))*3,0)</f>
        <v>49</v>
      </c>
      <c r="J7" t="str">
        <f ca="1">OFFSET(Sheet2!K$2,(ROW(J8))*3,0)</f>
        <v>Damage Observed</v>
      </c>
      <c r="K7" t="str">
        <f ca="1">OFFSET(Sheet2!L$2,(ROW(K8))*3,0)</f>
        <v>Okay</v>
      </c>
      <c r="L7" t="str">
        <f ca="1">OFFSET(Sheet2!M$2,(ROW(L8))*3,0)</f>
        <v>Durty</v>
      </c>
      <c r="M7" t="str">
        <f ca="1">OFFSET(Sheet2!N$2,(ROW(M8))*3,0)</f>
        <v>Loose</v>
      </c>
      <c r="N7" t="str">
        <f ca="1">OFFSET(Sheet2!O$2,(ROW(N8))*3,0)</f>
        <v>Dirty</v>
      </c>
      <c r="O7" t="str">
        <f ca="1">OFFSET(Sheet2!P$2,(ROW(O8))*3,0)</f>
        <v>Good</v>
      </c>
      <c r="P7" t="str">
        <f ca="1">OFFSET(Sheet2!Q$2,(ROW(P8))*3,0)</f>
        <v>In good conditions</v>
      </c>
      <c r="Q7">
        <f ca="1">OFFSET(Sheet2!R$2,(ROW(Q8))*3,0)</f>
        <v>0</v>
      </c>
      <c r="R7">
        <f ca="1">OFFSET(Sheet2!S$2,(ROW(R8))*3,0)</f>
        <v>0</v>
      </c>
      <c r="S7">
        <f ca="1">OFFSET(Sheet2!T$2,(ROW(S8))*3,0)</f>
        <v>0</v>
      </c>
      <c r="T7">
        <f ca="1">OFFSET(Sheet2!U$2,(ROW(T8))*3,0)</f>
        <v>0</v>
      </c>
      <c r="U7">
        <f ca="1">OFFSET(Sheet2!V$2,(ROW(U8))*3,0)</f>
        <v>0</v>
      </c>
    </row>
    <row r="8" spans="1:21" x14ac:dyDescent="0.35">
      <c r="A8" s="11" t="str">
        <f ca="1">OFFSET(Sheet2!B$2,(ROW(A9))*3,0)</f>
        <v>24/1/12020</v>
      </c>
      <c r="B8" s="11">
        <f ca="1">OFFSET(Sheet2!A$2,(ROW(A9))*3,0)</f>
        <v>43854</v>
      </c>
      <c r="C8">
        <f ca="1">OFFSET(Sheet2!C$2,(ROW(C9))*3,0)</f>
        <v>2</v>
      </c>
      <c r="D8" t="str">
        <f ca="1">OFFSET(Sheet2!D$2,(ROW(D9))*3,0)</f>
        <v>North</v>
      </c>
      <c r="E8" t="str">
        <f ca="1">OFFSET(Sheet2!F$2,(ROW(E9))*3,0)</f>
        <v>Masaba leonard</v>
      </c>
      <c r="F8" t="str">
        <f ca="1">OFFSET(Sheet2!G$2,(ROW(F9))*3,0)</f>
        <v>H2Go</v>
      </c>
      <c r="G8">
        <f ca="1">OFFSET(Sheet2!H$2,(ROW(G9))*3,0)</f>
        <v>0</v>
      </c>
      <c r="H8" t="str">
        <f ca="1">OFFSET(Sheet2!I$2,(ROW(H9))*3,0)</f>
        <v>Weekly</v>
      </c>
      <c r="I8">
        <f ca="1">OFFSET(Sheet2!J$2,(ROW(I9))*3,0)</f>
        <v>44</v>
      </c>
      <c r="J8" t="str">
        <f ca="1">OFFSET(Sheet2!K$2,(ROW(J9))*3,0)</f>
        <v>Damage Observed</v>
      </c>
      <c r="K8" t="str">
        <f ca="1">OFFSET(Sheet2!L$2,(ROW(K9))*3,0)</f>
        <v>Okay</v>
      </c>
      <c r="L8" t="str">
        <f ca="1">OFFSET(Sheet2!M$2,(ROW(L9))*3,0)</f>
        <v>Has dirty partices</v>
      </c>
      <c r="M8" t="str">
        <f ca="1">OFFSET(Sheet2!N$2,(ROW(M9))*3,0)</f>
        <v>Still okay</v>
      </c>
      <c r="N8" t="str">
        <f ca="1">OFFSET(Sheet2!O$2,(ROW(N9))*3,0)</f>
        <v>Clean</v>
      </c>
      <c r="O8" t="str">
        <f ca="1">OFFSET(Sheet2!P$2,(ROW(O9))*3,0)</f>
        <v>okay, normally functioning</v>
      </c>
      <c r="P8" t="str">
        <f ca="1">OFFSET(Sheet2!Q$2,(ROW(P9))*3,0)</f>
        <v>Still good</v>
      </c>
      <c r="Q8" t="str">
        <f ca="1">OFFSET(Sheet2!R$2,(ROW(Q9))*3,0)</f>
        <v>Warning</v>
      </c>
      <c r="R8" t="str">
        <f ca="1">OFFSET(Sheet2!S$2,(ROW(R9))*3,0)</f>
        <v>Has no problem</v>
      </c>
      <c r="S8" t="str">
        <f ca="1">OFFSET(Sheet2!T$2,(ROW(S9))*3,0)</f>
        <v>Still okay</v>
      </c>
      <c r="T8">
        <f ca="1">OFFSET(Sheet2!U$2,(ROW(T9))*3,0)</f>
        <v>0</v>
      </c>
      <c r="U8">
        <f ca="1">OFFSET(Sheet2!V$2,(ROW(U9))*3,0)</f>
        <v>0</v>
      </c>
    </row>
    <row r="9" spans="1:21" x14ac:dyDescent="0.35">
      <c r="A9" s="11" t="str">
        <f ca="1">OFFSET(Sheet2!B$2,(ROW(A10))*3,0)</f>
        <v>31/1/2020</v>
      </c>
      <c r="B9" s="11">
        <f ca="1">OFFSET(Sheet2!A$2,(ROW(A10))*3,0)</f>
        <v>43861</v>
      </c>
      <c r="C9">
        <f ca="1">OFFSET(Sheet2!C$2,(ROW(C10))*3,0)</f>
        <v>2</v>
      </c>
      <c r="D9" t="str">
        <f ca="1">OFFSET(Sheet2!D$2,(ROW(D10))*3,0)</f>
        <v>North</v>
      </c>
      <c r="E9" t="str">
        <f ca="1">OFFSET(Sheet2!F$2,(ROW(E10))*3,0)</f>
        <v>Masaba leonard</v>
      </c>
      <c r="F9" t="str">
        <f ca="1">OFFSET(Sheet2!G$2,(ROW(F10))*3,0)</f>
        <v>H2Go</v>
      </c>
      <c r="G9">
        <f ca="1">OFFSET(Sheet2!H$2,(ROW(G10))*3,0)</f>
        <v>0</v>
      </c>
      <c r="H9" t="str">
        <f ca="1">OFFSET(Sheet2!I$2,(ROW(H10))*3,0)</f>
        <v>weekly</v>
      </c>
      <c r="I9">
        <f ca="1">OFFSET(Sheet2!J$2,(ROW(I10))*3,0)</f>
        <v>267</v>
      </c>
      <c r="J9" t="str">
        <f ca="1">OFFSET(Sheet2!K$2,(ROW(J10))*3,0)</f>
        <v>Damage Observed</v>
      </c>
      <c r="K9" t="str">
        <f ca="1">OFFSET(Sheet2!L$2,(ROW(K10))*3,0)</f>
        <v>Very dirty</v>
      </c>
      <c r="L9" t="str">
        <f ca="1">OFFSET(Sheet2!M$2,(ROW(L10))*3,0)</f>
        <v>Dirty</v>
      </c>
      <c r="M9" t="str">
        <f ca="1">OFFSET(Sheet2!N$2,(ROW(M10))*3,0)</f>
        <v>Well aligned</v>
      </c>
      <c r="N9" t="str">
        <f ca="1">OFFSET(Sheet2!O$2,(ROW(N10))*3,0)</f>
        <v xml:space="preserve">Clear </v>
      </c>
      <c r="O9" t="str">
        <f ca="1">OFFSET(Sheet2!P$2,(ROW(O10))*3,0)</f>
        <v xml:space="preserve">normally functioning </v>
      </c>
      <c r="P9" t="str">
        <f ca="1">OFFSET(Sheet2!Q$2,(ROW(P10))*3,0)</f>
        <v>Functioning well</v>
      </c>
      <c r="Q9" t="str">
        <f ca="1">OFFSET(Sheet2!R$2,(ROW(Q10))*3,0)</f>
        <v>They are all damaged</v>
      </c>
      <c r="R9" t="str">
        <f ca="1">OFFSET(Sheet2!S$2,(ROW(R10))*3,0)</f>
        <v>Damaged</v>
      </c>
      <c r="S9" t="str">
        <f ca="1">OFFSET(Sheet2!T$2,(ROW(S10))*3,0)</f>
        <v>Dirty</v>
      </c>
      <c r="T9">
        <f ca="1">OFFSET(Sheet2!U$2,(ROW(T10))*3,0)</f>
        <v>0</v>
      </c>
      <c r="U9">
        <f ca="1">OFFSET(Sheet2!V$2,(ROW(U10))*3,0)</f>
        <v>0</v>
      </c>
    </row>
    <row r="10" spans="1:21" x14ac:dyDescent="0.35">
      <c r="A10" s="11">
        <f ca="1">OFFSET(Sheet2!B$2,(ROW(A11))*3,0)</f>
        <v>43868</v>
      </c>
      <c r="B10" s="11">
        <f ca="1">OFFSET(Sheet2!A$2,(ROW(A11))*3,0)</f>
        <v>43868</v>
      </c>
      <c r="C10">
        <f ca="1">OFFSET(Sheet2!C$2,(ROW(C11))*3,0)</f>
        <v>2</v>
      </c>
      <c r="D10" t="str">
        <f ca="1">OFFSET(Sheet2!D$2,(ROW(D11))*3,0)</f>
        <v>North</v>
      </c>
      <c r="E10" t="str">
        <f ca="1">OFFSET(Sheet2!F$2,(ROW(E11))*3,0)</f>
        <v>MASABA LENARD</v>
      </c>
      <c r="F10" t="str">
        <f ca="1">OFFSET(Sheet2!G$2,(ROW(F11))*3,0)</f>
        <v>H2Go</v>
      </c>
      <c r="G10">
        <f ca="1">OFFSET(Sheet2!H$2,(ROW(G11))*3,0)</f>
        <v>0</v>
      </c>
      <c r="H10" t="str">
        <f ca="1">OFFSET(Sheet2!I$2,(ROW(H11))*3,0)</f>
        <v>weekly</v>
      </c>
      <c r="I10">
        <f ca="1">OFFSET(Sheet2!J$2,(ROW(I11))*3,0)</f>
        <v>290</v>
      </c>
      <c r="J10" t="str">
        <f ca="1">OFFSET(Sheet2!K$2,(ROW(J11))*3,0)</f>
        <v>Damage Observed</v>
      </c>
      <c r="K10" t="str">
        <f ca="1">OFFSET(Sheet2!L$2,(ROW(K11))*3,0)</f>
        <v>Oil is dirty,nut is damaged</v>
      </c>
      <c r="L10" t="str">
        <f ca="1">OFFSET(Sheet2!M$2,(ROW(L11))*3,0)</f>
        <v>It is normal</v>
      </c>
      <c r="M10" t="str">
        <f ca="1">OFFSET(Sheet2!N$2,(ROW(M11))*3,0)</f>
        <v>Normal</v>
      </c>
      <c r="N10" t="str">
        <f ca="1">OFFSET(Sheet2!O$2,(ROW(N11))*3,0)</f>
        <v>It is dirty</v>
      </c>
      <c r="O10" t="str">
        <f ca="1">OFFSET(Sheet2!P$2,(ROW(O11))*3,0)</f>
        <v>It is not okay,has some rust</v>
      </c>
      <c r="P10" t="str">
        <f ca="1">OFFSET(Sheet2!Q$2,(ROW(P11))*3,0)</f>
        <v>They are okay</v>
      </c>
      <c r="Q10" t="str">
        <f ca="1">OFFSET(Sheet2!R$2,(ROW(Q11))*3,0)</f>
        <v>No damage</v>
      </c>
      <c r="R10" t="str">
        <f ca="1">OFFSET(Sheet2!S$2,(ROW(R11))*3,0)</f>
        <v>Functioning well</v>
      </c>
      <c r="S10" t="str">
        <f ca="1">OFFSET(Sheet2!T$2,(ROW(S11))*3,0)</f>
        <v>Normal state</v>
      </c>
      <c r="T10">
        <f ca="1">OFFSET(Sheet2!U$2,(ROW(T11))*3,0)</f>
        <v>0</v>
      </c>
      <c r="U10">
        <f ca="1">OFFSET(Sheet2!V$2,(ROW(U11))*3,0)</f>
        <v>0</v>
      </c>
    </row>
    <row r="11" spans="1:21" x14ac:dyDescent="0.35">
      <c r="A11" s="11">
        <f ca="1">OFFSET(Sheet2!B$2,(ROW(A12))*3,0)</f>
        <v>43875</v>
      </c>
      <c r="B11" s="11">
        <f ca="1">OFFSET(Sheet2!A$2,(ROW(A12))*3,0)</f>
        <v>43875</v>
      </c>
      <c r="C11">
        <f ca="1">OFFSET(Sheet2!C$2,(ROW(C12))*3,0)</f>
        <v>2</v>
      </c>
      <c r="D11" t="str">
        <f ca="1">OFFSET(Sheet2!D$2,(ROW(D12))*3,0)</f>
        <v>North</v>
      </c>
      <c r="E11" t="str">
        <f ca="1">OFFSET(Sheet2!F$2,(ROW(E12))*3,0)</f>
        <v>Masaba leonard</v>
      </c>
      <c r="F11" t="str">
        <f ca="1">OFFSET(Sheet2!G$2,(ROW(F12))*3,0)</f>
        <v>H2Go</v>
      </c>
      <c r="G11">
        <f ca="1">OFFSET(Sheet2!H$2,(ROW(G12))*3,0)</f>
        <v>0</v>
      </c>
      <c r="H11" t="str">
        <f ca="1">OFFSET(Sheet2!I$2,(ROW(H12))*3,0)</f>
        <v>WEEKLY</v>
      </c>
      <c r="I11">
        <f ca="1">OFFSET(Sheet2!J$2,(ROW(I12))*3,0)</f>
        <v>297</v>
      </c>
      <c r="J11" t="str">
        <f ca="1">OFFSET(Sheet2!K$2,(ROW(J12))*3,0)</f>
        <v>Damage Observed</v>
      </c>
      <c r="K11" t="str">
        <f ca="1">OFFSET(Sheet2!L$2,(ROW(K12))*3,0)</f>
        <v>Dirty</v>
      </c>
      <c r="L11" t="str">
        <f ca="1">OFFSET(Sheet2!M$2,(ROW(L12))*3,0)</f>
        <v>Very Dirty</v>
      </c>
      <c r="M11" t="str">
        <f ca="1">OFFSET(Sheet2!N$2,(ROW(M12))*3,0)</f>
        <v>Good</v>
      </c>
      <c r="N11" t="str">
        <f ca="1">OFFSET(Sheet2!O$2,(ROW(N12))*3,0)</f>
        <v>Okay</v>
      </c>
      <c r="O11" t="str">
        <f ca="1">OFFSET(Sheet2!P$2,(ROW(O12))*3,0)</f>
        <v>Good</v>
      </c>
      <c r="P11" t="str">
        <f ca="1">OFFSET(Sheet2!Q$2,(ROW(P12))*3,0)</f>
        <v>Nut and washer showing wear</v>
      </c>
      <c r="Q11">
        <f ca="1">OFFSET(Sheet2!R$2,(ROW(Q12))*3,0)</f>
        <v>0</v>
      </c>
      <c r="R11">
        <f ca="1">OFFSET(Sheet2!S$2,(ROW(R12))*3,0)</f>
        <v>0</v>
      </c>
      <c r="S11">
        <f ca="1">OFFSET(Sheet2!T$2,(ROW(S12))*3,0)</f>
        <v>0</v>
      </c>
      <c r="T11">
        <f ca="1">OFFSET(Sheet2!U$2,(ROW(T12))*3,0)</f>
        <v>0</v>
      </c>
      <c r="U11">
        <f ca="1">OFFSET(Sheet2!V$2,(ROW(U12))*3,0)</f>
        <v>0</v>
      </c>
    </row>
    <row r="12" spans="1:21" x14ac:dyDescent="0.35">
      <c r="A12" s="11">
        <f ca="1">OFFSET(Sheet2!B$2,(ROW(A13))*3,0)</f>
        <v>43877</v>
      </c>
      <c r="B12" s="11">
        <f ca="1">OFFSET(Sheet2!A$2,(ROW(A13))*3,0)</f>
        <v>43877</v>
      </c>
      <c r="C12">
        <f ca="1">OFFSET(Sheet2!C$2,(ROW(C13))*3,0)</f>
        <v>2</v>
      </c>
      <c r="D12" t="str">
        <f ca="1">OFFSET(Sheet2!D$2,(ROW(D13))*3,0)</f>
        <v>North</v>
      </c>
      <c r="E12" t="str">
        <f ca="1">OFFSET(Sheet2!F$2,(ROW(E13))*3,0)</f>
        <v>Masaba leonard</v>
      </c>
      <c r="F12" t="str">
        <f ca="1">OFFSET(Sheet2!G$2,(ROW(F13))*3,0)</f>
        <v>H2Go</v>
      </c>
      <c r="G12">
        <f ca="1">OFFSET(Sheet2!H$2,(ROW(G13))*3,0)</f>
        <v>0</v>
      </c>
      <c r="H12" t="str">
        <f ca="1">OFFSET(Sheet2!I$2,(ROW(H13))*3,0)</f>
        <v>WEEKLY</v>
      </c>
      <c r="I12">
        <f ca="1">OFFSET(Sheet2!J$2,(ROW(I13))*3,0)</f>
        <v>223</v>
      </c>
      <c r="J12" t="str">
        <f ca="1">OFFSET(Sheet2!K$2,(ROW(J13))*3,0)</f>
        <v>Damage Observed</v>
      </c>
      <c r="K12" t="str">
        <f ca="1">OFFSET(Sheet2!L$2,(ROW(K13))*3,0)</f>
        <v>Very Dirty</v>
      </c>
      <c r="L12" t="str">
        <f ca="1">OFFSET(Sheet2!M$2,(ROW(L13))*3,0)</f>
        <v>Okay</v>
      </c>
      <c r="M12" t="str">
        <f ca="1">OFFSET(Sheet2!N$2,(ROW(M13))*3,0)</f>
        <v>Good</v>
      </c>
      <c r="N12" t="str">
        <f ca="1">OFFSET(Sheet2!O$2,(ROW(N13))*3,0)</f>
        <v>Clean</v>
      </c>
      <c r="O12" t="str">
        <f ca="1">OFFSET(Sheet2!P$2,(ROW(O13))*3,0)</f>
        <v>Good</v>
      </c>
      <c r="P12" t="str">
        <f ca="1">OFFSET(Sheet2!Q$2,(ROW(P13))*3,0)</f>
        <v>In good Condition</v>
      </c>
      <c r="Q12">
        <f ca="1">OFFSET(Sheet2!R$2,(ROW(Q13))*3,0)</f>
        <v>0</v>
      </c>
      <c r="R12">
        <f ca="1">OFFSET(Sheet2!S$2,(ROW(R13))*3,0)</f>
        <v>0</v>
      </c>
      <c r="S12">
        <f ca="1">OFFSET(Sheet2!T$2,(ROW(S13))*3,0)</f>
        <v>0</v>
      </c>
      <c r="T12">
        <f ca="1">OFFSET(Sheet2!U$2,(ROW(T13))*3,0)</f>
        <v>0</v>
      </c>
      <c r="U12">
        <f ca="1">OFFSET(Sheet2!V$2,(ROW(U13))*3,0)</f>
        <v>0</v>
      </c>
    </row>
    <row r="13" spans="1:21" x14ac:dyDescent="0.35">
      <c r="A13" s="11">
        <f ca="1">OFFSET(Sheet2!B$2,(ROW(A14))*3,0)</f>
        <v>43884</v>
      </c>
      <c r="B13" s="11">
        <f ca="1">OFFSET(Sheet2!A$2,(ROW(A14))*3,0)</f>
        <v>43884</v>
      </c>
      <c r="C13">
        <f ca="1">OFFSET(Sheet2!C$2,(ROW(C14))*3,0)</f>
        <v>2</v>
      </c>
      <c r="D13" t="str">
        <f ca="1">OFFSET(Sheet2!D$2,(ROW(D14))*3,0)</f>
        <v>North</v>
      </c>
      <c r="E13" t="str">
        <f ca="1">OFFSET(Sheet2!F$2,(ROW(E14))*3,0)</f>
        <v>Masaba leonard</v>
      </c>
      <c r="F13" t="str">
        <f ca="1">OFFSET(Sheet2!G$2,(ROW(F14))*3,0)</f>
        <v>H2Go</v>
      </c>
      <c r="G13">
        <f ca="1">OFFSET(Sheet2!H$2,(ROW(G14))*3,0)</f>
        <v>0</v>
      </c>
      <c r="H13" t="str">
        <f ca="1">OFFSET(Sheet2!I$2,(ROW(H14))*3,0)</f>
        <v>WEEKLY</v>
      </c>
      <c r="I13">
        <f ca="1">OFFSET(Sheet2!J$2,(ROW(I14))*3,0)</f>
        <v>246</v>
      </c>
      <c r="J13" t="str">
        <f ca="1">OFFSET(Sheet2!K$2,(ROW(J14))*3,0)</f>
        <v>Damage Observed</v>
      </c>
      <c r="K13" t="str">
        <f ca="1">OFFSET(Sheet2!L$2,(ROW(K14))*3,0)</f>
        <v>Dirty</v>
      </c>
      <c r="L13" t="str">
        <f ca="1">OFFSET(Sheet2!M$2,(ROW(L14))*3,0)</f>
        <v>Okay</v>
      </c>
      <c r="M13" t="str">
        <f ca="1">OFFSET(Sheet2!N$2,(ROW(M14))*3,0)</f>
        <v>Good</v>
      </c>
      <c r="N13" t="str">
        <f ca="1">OFFSET(Sheet2!O$2,(ROW(N14))*3,0)</f>
        <v>Okay</v>
      </c>
      <c r="O13" t="str">
        <f ca="1">OFFSET(Sheet2!P$2,(ROW(O14))*3,0)</f>
        <v>Good</v>
      </c>
      <c r="P13" t="str">
        <f ca="1">OFFSET(Sheet2!Q$2,(ROW(P14))*3,0)</f>
        <v>In good Condition</v>
      </c>
      <c r="Q13">
        <f ca="1">OFFSET(Sheet2!R$2,(ROW(Q14))*3,0)</f>
        <v>0</v>
      </c>
      <c r="R13">
        <f ca="1">OFFSET(Sheet2!S$2,(ROW(R14))*3,0)</f>
        <v>0</v>
      </c>
      <c r="S13">
        <f ca="1">OFFSET(Sheet2!T$2,(ROW(S14))*3,0)</f>
        <v>0</v>
      </c>
      <c r="T13">
        <f ca="1">OFFSET(Sheet2!U$2,(ROW(T14))*3,0)</f>
        <v>0</v>
      </c>
      <c r="U13">
        <f ca="1">OFFSET(Sheet2!V$2,(ROW(U14))*3,0)</f>
        <v>0</v>
      </c>
    </row>
    <row r="14" spans="1:21" x14ac:dyDescent="0.35">
      <c r="A14" s="11">
        <f ca="1">OFFSET(Sheet2!B$2,(ROW(A15))*3,0)</f>
        <v>43894</v>
      </c>
      <c r="B14" s="11">
        <f ca="1">OFFSET(Sheet2!A$2,(ROW(A15))*3,0)</f>
        <v>43894</v>
      </c>
      <c r="C14">
        <f ca="1">OFFSET(Sheet2!C$2,(ROW(C15))*3,0)</f>
        <v>2</v>
      </c>
      <c r="D14" t="str">
        <f ca="1">OFFSET(Sheet2!D$2,(ROW(D15))*3,0)</f>
        <v>North</v>
      </c>
      <c r="E14" t="str">
        <f ca="1">OFFSET(Sheet2!F$2,(ROW(E15))*3,0)</f>
        <v>Masaba leonard</v>
      </c>
      <c r="F14" t="str">
        <f ca="1">OFFSET(Sheet2!G$2,(ROW(F15))*3,0)</f>
        <v>H2GO</v>
      </c>
      <c r="G14">
        <f ca="1">OFFSET(Sheet2!H$2,(ROW(G15))*3,0)</f>
        <v>0</v>
      </c>
      <c r="H14" t="str">
        <f ca="1">OFFSET(Sheet2!I$2,(ROW(H15))*3,0)</f>
        <v>WEEKLY</v>
      </c>
      <c r="I14">
        <f ca="1">OFFSET(Sheet2!J$2,(ROW(I15))*3,0)</f>
        <v>228</v>
      </c>
      <c r="J14" t="str">
        <f ca="1">OFFSET(Sheet2!K$2,(ROW(J15))*3,0)</f>
        <v>Damage Observed</v>
      </c>
      <c r="K14" t="str">
        <f ca="1">OFFSET(Sheet2!L$2,(ROW(K15))*3,0)</f>
        <v>Very Dirty</v>
      </c>
      <c r="L14" t="str">
        <f ca="1">OFFSET(Sheet2!M$2,(ROW(L15))*3,0)</f>
        <v>Very Dirty</v>
      </c>
      <c r="M14" t="str">
        <f ca="1">OFFSET(Sheet2!N$2,(ROW(M15))*3,0)</f>
        <v>Tight</v>
      </c>
      <c r="N14" t="str">
        <f ca="1">OFFSET(Sheet2!O$2,(ROW(N15))*3,0)</f>
        <v>Okay</v>
      </c>
      <c r="O14" t="str">
        <f ca="1">OFFSET(Sheet2!P$2,(ROW(O15))*3,0)</f>
        <v>Needs to be Changed</v>
      </c>
      <c r="P14" t="str">
        <f ca="1">OFFSET(Sheet2!Q$2,(ROW(P15))*3,0)</f>
        <v>Damaged</v>
      </c>
      <c r="Q14">
        <f ca="1">OFFSET(Sheet2!R$2,(ROW(Q15))*3,0)</f>
        <v>0</v>
      </c>
      <c r="R14">
        <f ca="1">OFFSET(Sheet2!S$2,(ROW(R15))*3,0)</f>
        <v>0</v>
      </c>
      <c r="S14">
        <f ca="1">OFFSET(Sheet2!T$2,(ROW(S15))*3,0)</f>
        <v>0</v>
      </c>
      <c r="T14">
        <f ca="1">OFFSET(Sheet2!U$2,(ROW(T15))*3,0)</f>
        <v>0</v>
      </c>
      <c r="U14">
        <f ca="1">OFFSET(Sheet2!V$2,(ROW(U15))*3,0)</f>
        <v>0</v>
      </c>
    </row>
    <row r="15" spans="1:21" x14ac:dyDescent="0.35">
      <c r="A15" s="11">
        <f ca="1">OFFSET(Sheet2!B$2,(ROW(A16))*3,0)</f>
        <v>43842</v>
      </c>
      <c r="B15" s="11">
        <f ca="1">OFFSET(Sheet2!A$2,(ROW(A16))*3,0)</f>
        <v>43842</v>
      </c>
      <c r="C15">
        <f ca="1">OFFSET(Sheet2!C$2,(ROW(C16))*3,0)</f>
        <v>3</v>
      </c>
      <c r="D15" t="str">
        <f ca="1">OFFSET(Sheet2!D$2,(ROW(D16))*3,0)</f>
        <v>North</v>
      </c>
      <c r="E15" t="str">
        <f ca="1">OFFSET(Sheet2!F$2,(ROW(E16))*3,0)</f>
        <v xml:space="preserve">Bwayo Rogers </v>
      </c>
      <c r="F15" t="str">
        <f ca="1">OFFSET(Sheet2!G$2,(ROW(F16))*3,0)</f>
        <v>H2Go</v>
      </c>
      <c r="G15">
        <f ca="1">OFFSET(Sheet2!H$2,(ROW(G16))*3,0)</f>
        <v>0</v>
      </c>
      <c r="H15" t="str">
        <f ca="1">OFFSET(Sheet2!I$2,(ROW(H16))*3,0)</f>
        <v>Comprehensive</v>
      </c>
      <c r="I15">
        <f ca="1">OFFSET(Sheet2!J$2,(ROW(I16))*3,0)</f>
        <v>28</v>
      </c>
      <c r="J15" t="str">
        <f ca="1">OFFSET(Sheet2!K$2,(ROW(J16))*3,0)</f>
        <v>Damage Observed</v>
      </c>
      <c r="K15" t="str">
        <f ca="1">OFFSET(Sheet2!L$2,(ROW(K16))*3,0)</f>
        <v>Dirty</v>
      </c>
      <c r="L15" t="str">
        <f ca="1">OFFSET(Sheet2!M$2,(ROW(L16))*3,0)</f>
        <v xml:space="preserve">Very dirty </v>
      </c>
      <c r="M15" t="str">
        <f ca="1">OFFSET(Sheet2!N$2,(ROW(M16))*3,0)</f>
        <v>Misalignment</v>
      </c>
      <c r="N15" t="str">
        <f ca="1">OFFSET(Sheet2!O$2,(ROW(N16))*3,0)</f>
        <v>Very dirty</v>
      </c>
      <c r="O15" t="str">
        <f ca="1">OFFSET(Sheet2!P$2,(ROW(O16))*3,0)</f>
        <v>Has damage</v>
      </c>
      <c r="P15" t="str">
        <f ca="1">OFFSET(Sheet2!Q$2,(ROW(P16))*3,0)</f>
        <v>In good conditions</v>
      </c>
      <c r="Q15" t="str">
        <f ca="1">OFFSET(Sheet2!R$2,(ROW(Q16))*3,0)</f>
        <v>It has damage</v>
      </c>
      <c r="R15" t="str">
        <f ca="1">OFFSET(Sheet2!S$2,(ROW(R16))*3,0)</f>
        <v>Not damaged</v>
      </c>
      <c r="S15" t="str">
        <f ca="1">OFFSET(Sheet2!T$2,(ROW(S16))*3,0)</f>
        <v>Very damaged</v>
      </c>
      <c r="T15">
        <f ca="1">OFFSET(Sheet2!U$2,(ROW(T16))*3,0)</f>
        <v>0</v>
      </c>
      <c r="U15">
        <f ca="1">OFFSET(Sheet2!V$2,(ROW(U16))*3,0)</f>
        <v>0</v>
      </c>
    </row>
    <row r="16" spans="1:21" x14ac:dyDescent="0.35">
      <c r="A16" s="11" t="str">
        <f ca="1">OFFSET(Sheet2!B$2,(ROW(A17))*3,0)</f>
        <v>19/1/2020</v>
      </c>
      <c r="B16" s="11">
        <f ca="1">OFFSET(Sheet2!A$2,(ROW(A17))*3,0)</f>
        <v>43849</v>
      </c>
      <c r="C16">
        <f ca="1">OFFSET(Sheet2!C$2,(ROW(C17))*3,0)</f>
        <v>3</v>
      </c>
      <c r="D16" t="str">
        <f ca="1">OFFSET(Sheet2!D$2,(ROW(D17))*3,0)</f>
        <v>North</v>
      </c>
      <c r="E16" t="str">
        <f ca="1">OFFSET(Sheet2!F$2,(ROW(E17))*3,0)</f>
        <v xml:space="preserve">Bwayo Rogers </v>
      </c>
      <c r="F16" t="str">
        <f ca="1">OFFSET(Sheet2!G$2,(ROW(F17))*3,0)</f>
        <v>H2Go</v>
      </c>
      <c r="G16">
        <f ca="1">OFFSET(Sheet2!H$2,(ROW(G17))*3,0)</f>
        <v>0</v>
      </c>
      <c r="H16" t="str">
        <f ca="1">OFFSET(Sheet2!I$2,(ROW(H17))*3,0)</f>
        <v>weekly</v>
      </c>
      <c r="I16">
        <f ca="1">OFFSET(Sheet2!J$2,(ROW(I17))*3,0)</f>
        <v>42</v>
      </c>
      <c r="J16" t="str">
        <f ca="1">OFFSET(Sheet2!K$2,(ROW(J17))*3,0)</f>
        <v>Damage Observed</v>
      </c>
      <c r="K16" t="str">
        <f ca="1">OFFSET(Sheet2!L$2,(ROW(K17))*3,0)</f>
        <v>Dirty</v>
      </c>
      <c r="L16" t="str">
        <f ca="1">OFFSET(Sheet2!M$2,(ROW(L17))*3,0)</f>
        <v xml:space="preserve">Good conditions </v>
      </c>
      <c r="M16" t="str">
        <f ca="1">OFFSET(Sheet2!N$2,(ROW(M17))*3,0)</f>
        <v>Well set no damage</v>
      </c>
      <c r="N16" t="str">
        <f ca="1">OFFSET(Sheet2!O$2,(ROW(N17))*3,0)</f>
        <v>Fairly clean</v>
      </c>
      <c r="O16" t="str">
        <f ca="1">OFFSET(Sheet2!P$2,(ROW(O17))*3,0)</f>
        <v>It has no problem</v>
      </c>
      <c r="P16" t="str">
        <f ca="1">OFFSET(Sheet2!Q$2,(ROW(P17))*3,0)</f>
        <v>Still good</v>
      </c>
      <c r="Q16">
        <f ca="1">OFFSET(Sheet2!R$2,(ROW(Q17))*3,0)</f>
        <v>0</v>
      </c>
      <c r="R16">
        <f ca="1">OFFSET(Sheet2!S$2,(ROW(R17))*3,0)</f>
        <v>0</v>
      </c>
      <c r="S16">
        <f ca="1">OFFSET(Sheet2!T$2,(ROW(S17))*3,0)</f>
        <v>0</v>
      </c>
      <c r="T16">
        <f ca="1">OFFSET(Sheet2!U$2,(ROW(T17))*3,0)</f>
        <v>0</v>
      </c>
      <c r="U16">
        <f ca="1">OFFSET(Sheet2!V$2,(ROW(U17))*3,0)</f>
        <v>0</v>
      </c>
    </row>
    <row r="17" spans="1:21" x14ac:dyDescent="0.35">
      <c r="A17" s="11" t="str">
        <f ca="1">OFFSET(Sheet2!B$2,(ROW(A18))*3,0)</f>
        <v>24/1/2020</v>
      </c>
      <c r="B17" s="11">
        <f ca="1">OFFSET(Sheet2!A$2,(ROW(A18))*3,0)</f>
        <v>43854</v>
      </c>
      <c r="C17">
        <f ca="1">OFFSET(Sheet2!C$2,(ROW(C18))*3,0)</f>
        <v>3</v>
      </c>
      <c r="D17" t="str">
        <f ca="1">OFFSET(Sheet2!D$2,(ROW(D18))*3,0)</f>
        <v>North</v>
      </c>
      <c r="E17" t="str">
        <f ca="1">OFFSET(Sheet2!F$2,(ROW(E18))*3,0)</f>
        <v xml:space="preserve">Bwayo Rogers </v>
      </c>
      <c r="F17" t="str">
        <f ca="1">OFFSET(Sheet2!G$2,(ROW(F18))*3,0)</f>
        <v>H2Go</v>
      </c>
      <c r="G17">
        <f ca="1">OFFSET(Sheet2!H$2,(ROW(G18))*3,0)</f>
        <v>0</v>
      </c>
      <c r="H17" t="str">
        <f ca="1">OFFSET(Sheet2!I$2,(ROW(H18))*3,0)</f>
        <v>weekly</v>
      </c>
      <c r="I17">
        <f ca="1">OFFSET(Sheet2!J$2,(ROW(I18))*3,0)</f>
        <v>11</v>
      </c>
      <c r="J17" t="str">
        <f ca="1">OFFSET(Sheet2!K$2,(ROW(J18))*3,0)</f>
        <v>Damage Observed</v>
      </c>
      <c r="K17" t="str">
        <f ca="1">OFFSET(Sheet2!L$2,(ROW(K18))*3,0)</f>
        <v>Dirty</v>
      </c>
      <c r="L17" t="str">
        <f ca="1">OFFSET(Sheet2!M$2,(ROW(L18))*3,0)</f>
        <v>Has no problem</v>
      </c>
      <c r="M17" t="str">
        <f ca="1">OFFSET(Sheet2!N$2,(ROW(M18))*3,0)</f>
        <v>Has no problem</v>
      </c>
      <c r="N17" t="str">
        <f ca="1">OFFSET(Sheet2!O$2,(ROW(N18))*3,0)</f>
        <v>Not damaged</v>
      </c>
      <c r="O17" t="str">
        <f ca="1">OFFSET(Sheet2!P$2,(ROW(O18))*3,0)</f>
        <v>Good conditions</v>
      </c>
      <c r="P17" t="str">
        <f ca="1">OFFSET(Sheet2!Q$2,(ROW(P18))*3,0)</f>
        <v>Damaged</v>
      </c>
      <c r="Q17">
        <f ca="1">OFFSET(Sheet2!R$2,(ROW(Q18))*3,0)</f>
        <v>0</v>
      </c>
      <c r="R17">
        <f ca="1">OFFSET(Sheet2!S$2,(ROW(R18))*3,0)</f>
        <v>0</v>
      </c>
      <c r="S17">
        <f ca="1">OFFSET(Sheet2!T$2,(ROW(S18))*3,0)</f>
        <v>0</v>
      </c>
      <c r="T17">
        <f ca="1">OFFSET(Sheet2!U$2,(ROW(T18))*3,0)</f>
        <v>0</v>
      </c>
      <c r="U17">
        <f ca="1">OFFSET(Sheet2!V$2,(ROW(U18))*3,0)</f>
        <v>0</v>
      </c>
    </row>
    <row r="18" spans="1:21" x14ac:dyDescent="0.35">
      <c r="A18" s="11" t="str">
        <f ca="1">OFFSET(Sheet2!B$2,(ROW(A19))*3,0)</f>
        <v>31/1/2020</v>
      </c>
      <c r="B18" s="11">
        <f ca="1">OFFSET(Sheet2!A$2,(ROW(A19))*3,0)</f>
        <v>43861</v>
      </c>
      <c r="C18">
        <f ca="1">OFFSET(Sheet2!C$2,(ROW(C19))*3,0)</f>
        <v>3</v>
      </c>
      <c r="D18" t="str">
        <f ca="1">OFFSET(Sheet2!D$2,(ROW(D19))*3,0)</f>
        <v>North</v>
      </c>
      <c r="E18" t="str">
        <f ca="1">OFFSET(Sheet2!F$2,(ROW(E19))*3,0)</f>
        <v xml:space="preserve">Bwayo Rogers </v>
      </c>
      <c r="F18" t="str">
        <f ca="1">OFFSET(Sheet2!G$2,(ROW(F19))*3,0)</f>
        <v>H2Go</v>
      </c>
      <c r="G18">
        <f ca="1">OFFSET(Sheet2!H$2,(ROW(G19))*3,0)</f>
        <v>0</v>
      </c>
      <c r="H18" t="str">
        <f ca="1">OFFSET(Sheet2!I$2,(ROW(H19))*3,0)</f>
        <v>weekly</v>
      </c>
      <c r="I18">
        <f ca="1">OFFSET(Sheet2!J$2,(ROW(I19))*3,0)</f>
        <v>54</v>
      </c>
      <c r="J18" t="str">
        <f ca="1">OFFSET(Sheet2!K$2,(ROW(J19))*3,0)</f>
        <v>Damage Observed</v>
      </c>
      <c r="K18" t="str">
        <f ca="1">OFFSET(Sheet2!L$2,(ROW(K19))*3,0)</f>
        <v>Very dirty</v>
      </c>
      <c r="L18" t="str">
        <f ca="1">OFFSET(Sheet2!M$2,(ROW(L19))*3,0)</f>
        <v>Has no problem</v>
      </c>
      <c r="M18" t="str">
        <f ca="1">OFFSET(Sheet2!N$2,(ROW(M19))*3,0)</f>
        <v>They are loose</v>
      </c>
      <c r="N18" t="str">
        <f ca="1">OFFSET(Sheet2!O$2,(ROW(N19))*3,0)</f>
        <v>Very dirty</v>
      </c>
      <c r="O18" t="str">
        <f ca="1">OFFSET(Sheet2!P$2,(ROW(O19))*3,0)</f>
        <v>Still in good conditions</v>
      </c>
      <c r="P18" t="str">
        <f ca="1">OFFSET(Sheet2!Q$2,(ROW(P19))*3,0)</f>
        <v>Nut is damaged</v>
      </c>
      <c r="Q18" t="str">
        <f ca="1">OFFSET(Sheet2!R$2,(ROW(Q19))*3,0)</f>
        <v>Normally functionig</v>
      </c>
      <c r="R18" t="str">
        <f ca="1">OFFSET(Sheet2!S$2,(ROW(R19))*3,0)</f>
        <v>Working well</v>
      </c>
      <c r="S18" t="str">
        <f ca="1">OFFSET(Sheet2!T$2,(ROW(S19))*3,0)</f>
        <v>Normal</v>
      </c>
      <c r="T18">
        <f ca="1">OFFSET(Sheet2!U$2,(ROW(T19))*3,0)</f>
        <v>0</v>
      </c>
      <c r="U18">
        <f ca="1">OFFSET(Sheet2!V$2,(ROW(U19))*3,0)</f>
        <v>0</v>
      </c>
    </row>
    <row r="19" spans="1:21" x14ac:dyDescent="0.35">
      <c r="A19" s="11">
        <f ca="1">OFFSET(Sheet2!B$2,(ROW(A20))*3,0)</f>
        <v>43868</v>
      </c>
      <c r="B19" s="11">
        <f ca="1">OFFSET(Sheet2!A$2,(ROW(A20))*3,0)</f>
        <v>43868</v>
      </c>
      <c r="C19">
        <f ca="1">OFFSET(Sheet2!C$2,(ROW(C20))*3,0)</f>
        <v>3</v>
      </c>
      <c r="D19" t="str">
        <f ca="1">OFFSET(Sheet2!D$2,(ROW(D20))*3,0)</f>
        <v>North</v>
      </c>
      <c r="E19" t="str">
        <f ca="1">OFFSET(Sheet2!F$2,(ROW(E20))*3,0)</f>
        <v>Bwayo Rogers</v>
      </c>
      <c r="F19" t="str">
        <f ca="1">OFFSET(Sheet2!G$2,(ROW(F20))*3,0)</f>
        <v>H2Go</v>
      </c>
      <c r="G19">
        <f ca="1">OFFSET(Sheet2!H$2,(ROW(G20))*3,0)</f>
        <v>0</v>
      </c>
      <c r="H19" t="str">
        <f ca="1">OFFSET(Sheet2!I$2,(ROW(H20))*3,0)</f>
        <v>WEEKLY</v>
      </c>
      <c r="I19">
        <f ca="1">OFFSET(Sheet2!J$2,(ROW(I20))*3,0)</f>
        <v>261</v>
      </c>
      <c r="J19" t="str">
        <f ca="1">OFFSET(Sheet2!K$2,(ROW(J20))*3,0)</f>
        <v>Damage Observed</v>
      </c>
      <c r="K19" t="str">
        <f ca="1">OFFSET(Sheet2!L$2,(ROW(K20))*3,0)</f>
        <v>Thick and dirty(dark)</v>
      </c>
      <c r="L19" t="str">
        <f ca="1">OFFSET(Sheet2!M$2,(ROW(L20))*3,0)</f>
        <v>No damage</v>
      </c>
      <c r="M19" t="str">
        <f ca="1">OFFSET(Sheet2!N$2,(ROW(M20))*3,0)</f>
        <v>No damage</v>
      </c>
      <c r="N19" t="str">
        <f ca="1">OFFSET(Sheet2!O$2,(ROW(N20))*3,0)</f>
        <v xml:space="preserve">Dusty </v>
      </c>
      <c r="O19" t="str">
        <f ca="1">OFFSET(Sheet2!P$2,(ROW(O20))*3,0)</f>
        <v>In good conditions</v>
      </c>
      <c r="P19" t="str">
        <f ca="1">OFFSET(Sheet2!Q$2,(ROW(P20))*3,0)</f>
        <v>In good conditions</v>
      </c>
      <c r="Q19" t="str">
        <f ca="1">OFFSET(Sheet2!R$2,(ROW(Q20))*3,0)</f>
        <v>In good condtions</v>
      </c>
      <c r="R19" t="str">
        <f ca="1">OFFSET(Sheet2!S$2,(ROW(R20))*3,0)</f>
        <v>Functioning well</v>
      </c>
      <c r="S19" t="str">
        <f ca="1">OFFSET(Sheet2!T$2,(ROW(S20))*3,0)</f>
        <v>In good state</v>
      </c>
      <c r="T19">
        <f ca="1">OFFSET(Sheet2!U$2,(ROW(T20))*3,0)</f>
        <v>0</v>
      </c>
      <c r="U19">
        <f ca="1">OFFSET(Sheet2!V$2,(ROW(U20))*3,0)</f>
        <v>0</v>
      </c>
    </row>
    <row r="20" spans="1:21" x14ac:dyDescent="0.35">
      <c r="A20" s="11">
        <f ca="1">OFFSET(Sheet2!B$2,(ROW(A21))*3,0)</f>
        <v>43880</v>
      </c>
      <c r="B20" s="11">
        <f ca="1">OFFSET(Sheet2!A$2,(ROW(A21))*3,0)</f>
        <v>43880</v>
      </c>
      <c r="C20">
        <f ca="1">OFFSET(Sheet2!C$2,(ROW(C21))*3,0)</f>
        <v>3</v>
      </c>
      <c r="D20" t="str">
        <f ca="1">OFFSET(Sheet2!D$2,(ROW(D21))*3,0)</f>
        <v>North</v>
      </c>
      <c r="E20" t="str">
        <f ca="1">OFFSET(Sheet2!F$2,(ROW(E21))*3,0)</f>
        <v xml:space="preserve">Bwayo Rogers </v>
      </c>
      <c r="F20" t="str">
        <f ca="1">OFFSET(Sheet2!G$2,(ROW(F21))*3,0)</f>
        <v>H2Go</v>
      </c>
      <c r="G20">
        <f ca="1">OFFSET(Sheet2!H$2,(ROW(G21))*3,0)</f>
        <v>0</v>
      </c>
      <c r="H20" t="str">
        <f ca="1">OFFSET(Sheet2!I$2,(ROW(H21))*3,0)</f>
        <v>WEEKLY</v>
      </c>
      <c r="I20">
        <f ca="1">OFFSET(Sheet2!J$2,(ROW(I21))*3,0)</f>
        <v>255</v>
      </c>
      <c r="J20" t="str">
        <f ca="1">OFFSET(Sheet2!K$2,(ROW(J21))*3,0)</f>
        <v>Damage Observed</v>
      </c>
      <c r="K20" t="str">
        <f ca="1">OFFSET(Sheet2!L$2,(ROW(K21))*3,0)</f>
        <v>Dirty</v>
      </c>
      <c r="L20" t="str">
        <f ca="1">OFFSET(Sheet2!M$2,(ROW(L21))*3,0)</f>
        <v>Okay</v>
      </c>
      <c r="M20" t="str">
        <f ca="1">OFFSET(Sheet2!N$2,(ROW(M21))*3,0)</f>
        <v>Good</v>
      </c>
      <c r="N20" t="str">
        <f ca="1">OFFSET(Sheet2!O$2,(ROW(N21))*3,0)</f>
        <v>Dirty</v>
      </c>
      <c r="O20" t="str">
        <f ca="1">OFFSET(Sheet2!P$2,(ROW(O21))*3,0)</f>
        <v>Good</v>
      </c>
      <c r="P20" t="str">
        <f ca="1">OFFSET(Sheet2!Q$2,(ROW(P21))*3,0)</f>
        <v>In good Condition</v>
      </c>
      <c r="Q20">
        <f ca="1">OFFSET(Sheet2!R$2,(ROW(Q21))*3,0)</f>
        <v>0</v>
      </c>
      <c r="R20">
        <f ca="1">OFFSET(Sheet2!S$2,(ROW(R21))*3,0)</f>
        <v>0</v>
      </c>
      <c r="S20">
        <f ca="1">OFFSET(Sheet2!T$2,(ROW(S21))*3,0)</f>
        <v>0</v>
      </c>
      <c r="T20">
        <f ca="1">OFFSET(Sheet2!U$2,(ROW(T21))*3,0)</f>
        <v>0</v>
      </c>
      <c r="U20">
        <f ca="1">OFFSET(Sheet2!V$2,(ROW(U21))*3,0)</f>
        <v>0</v>
      </c>
    </row>
    <row r="21" spans="1:21" x14ac:dyDescent="0.35">
      <c r="A21" s="11">
        <f ca="1">OFFSET(Sheet2!B$2,(ROW(A22))*3,0)</f>
        <v>43900</v>
      </c>
      <c r="B21" s="11">
        <f ca="1">OFFSET(Sheet2!A$2,(ROW(A22))*3,0)</f>
        <v>43900</v>
      </c>
      <c r="C21">
        <f ca="1">OFFSET(Sheet2!C$2,(ROW(C22))*3,0)</f>
        <v>3</v>
      </c>
      <c r="D21" t="str">
        <f ca="1">OFFSET(Sheet2!D$2,(ROW(D22))*3,0)</f>
        <v>North</v>
      </c>
      <c r="E21" t="str">
        <f ca="1">OFFSET(Sheet2!F$2,(ROW(E22))*3,0)</f>
        <v xml:space="preserve">Bwayo Rogers </v>
      </c>
      <c r="F21" t="str">
        <f ca="1">OFFSET(Sheet2!G$2,(ROW(F22))*3,0)</f>
        <v>H2Go</v>
      </c>
      <c r="G21">
        <f ca="1">OFFSET(Sheet2!H$2,(ROW(G22))*3,0)</f>
        <v>0</v>
      </c>
      <c r="H21" t="str">
        <f ca="1">OFFSET(Sheet2!I$2,(ROW(H22))*3,0)</f>
        <v>WEEKLY</v>
      </c>
      <c r="I21">
        <f ca="1">OFFSET(Sheet2!J$2,(ROW(I22))*3,0)</f>
        <v>201</v>
      </c>
      <c r="J21" t="str">
        <f ca="1">OFFSET(Sheet2!K$2,(ROW(J22))*3,0)</f>
        <v>Damage Observed</v>
      </c>
      <c r="K21" t="str">
        <f ca="1">OFFSET(Sheet2!L$2,(ROW(K22))*3,0)</f>
        <v>Dirty</v>
      </c>
      <c r="L21" t="str">
        <f ca="1">OFFSET(Sheet2!M$2,(ROW(L22))*3,0)</f>
        <v>Okay</v>
      </c>
      <c r="M21" t="str">
        <f ca="1">OFFSET(Sheet2!N$2,(ROW(M22))*3,0)</f>
        <v>Good</v>
      </c>
      <c r="N21" t="str">
        <f ca="1">OFFSET(Sheet2!O$2,(ROW(N22))*3,0)</f>
        <v>Clean</v>
      </c>
      <c r="O21" t="str">
        <f ca="1">OFFSET(Sheet2!P$2,(ROW(O22))*3,0)</f>
        <v>Good</v>
      </c>
      <c r="P21" t="str">
        <f ca="1">OFFSET(Sheet2!Q$2,(ROW(P22))*3,0)</f>
        <v>In good Condition</v>
      </c>
      <c r="Q21">
        <f ca="1">OFFSET(Sheet2!R$2,(ROW(Q22))*3,0)</f>
        <v>0</v>
      </c>
      <c r="R21">
        <f ca="1">OFFSET(Sheet2!S$2,(ROW(R22))*3,0)</f>
        <v>0</v>
      </c>
      <c r="S21">
        <f ca="1">OFFSET(Sheet2!T$2,(ROW(S22))*3,0)</f>
        <v>0</v>
      </c>
      <c r="T21">
        <f ca="1">OFFSET(Sheet2!U$2,(ROW(T22))*3,0)</f>
        <v>0</v>
      </c>
      <c r="U21">
        <f ca="1">OFFSET(Sheet2!V$2,(ROW(U22))*3,0)</f>
        <v>0</v>
      </c>
    </row>
    <row r="22" spans="1:21" x14ac:dyDescent="0.35">
      <c r="A22" s="11">
        <f ca="1">OFFSET(Sheet2!B$2,(ROW(A23))*3,0)</f>
        <v>43840</v>
      </c>
      <c r="B22" s="11">
        <f ca="1">OFFSET(Sheet2!A$2,(ROW(A23))*3,0)</f>
        <v>43840</v>
      </c>
      <c r="C22">
        <f ca="1">OFFSET(Sheet2!C$2,(ROW(C23))*3,0)</f>
        <v>4</v>
      </c>
      <c r="D22" t="str">
        <f ca="1">OFFSET(Sheet2!D$2,(ROW(D23))*3,0)</f>
        <v>North</v>
      </c>
      <c r="E22" t="str">
        <f ca="1">OFFSET(Sheet2!F$2,(ROW(E23))*3,0)</f>
        <v>Kissa Brahim</v>
      </c>
      <c r="F22" t="str">
        <f ca="1">OFFSET(Sheet2!G$2,(ROW(F23))*3,0)</f>
        <v>H2Go</v>
      </c>
      <c r="G22">
        <f ca="1">OFFSET(Sheet2!H$2,(ROW(G23))*3,0)</f>
        <v>0</v>
      </c>
      <c r="H22" t="str">
        <f ca="1">OFFSET(Sheet2!I$2,(ROW(H23))*3,0)</f>
        <v>Comprehensive</v>
      </c>
      <c r="I22">
        <f ca="1">OFFSET(Sheet2!J$2,(ROW(I23))*3,0)</f>
        <v>29</v>
      </c>
      <c r="J22" t="str">
        <f ca="1">OFFSET(Sheet2!K$2,(ROW(J23))*3,0)</f>
        <v>Damage Observed</v>
      </c>
      <c r="K22" t="str">
        <f ca="1">OFFSET(Sheet2!L$2,(ROW(K23))*3,0)</f>
        <v>Okay</v>
      </c>
      <c r="L22" t="str">
        <f ca="1">OFFSET(Sheet2!M$2,(ROW(L23))*3,0)</f>
        <v>Dirty, Has some water</v>
      </c>
      <c r="M22" t="str">
        <f ca="1">OFFSET(Sheet2!N$2,(ROW(M23))*3,0)</f>
        <v>Good</v>
      </c>
      <c r="N22" t="str">
        <f ca="1">OFFSET(Sheet2!O$2,(ROW(N23))*3,0)</f>
        <v>Very clean</v>
      </c>
      <c r="O22" t="str">
        <f ca="1">OFFSET(Sheet2!P$2,(ROW(O23))*3,0)</f>
        <v>Good</v>
      </c>
      <c r="P22" t="str">
        <f ca="1">OFFSET(Sheet2!Q$2,(ROW(P23))*3,0)</f>
        <v>Good</v>
      </c>
      <c r="Q22" t="str">
        <f ca="1">OFFSET(Sheet2!R$2,(ROW(Q23))*3,0)</f>
        <v>Still good</v>
      </c>
      <c r="R22" t="str">
        <f ca="1">OFFSET(Sheet2!S$2,(ROW(R23))*3,0)</f>
        <v>Still in good conditions</v>
      </c>
      <c r="S22" t="str">
        <f ca="1">OFFSET(Sheet2!T$2,(ROW(S23))*3,0)</f>
        <v>Clean</v>
      </c>
      <c r="T22">
        <f ca="1">OFFSET(Sheet2!U$2,(ROW(T23))*3,0)</f>
        <v>0</v>
      </c>
      <c r="U22">
        <f ca="1">OFFSET(Sheet2!V$2,(ROW(U23))*3,0)</f>
        <v>0</v>
      </c>
    </row>
    <row r="23" spans="1:21" x14ac:dyDescent="0.35">
      <c r="A23" s="11" t="str">
        <f ca="1">OFFSET(Sheet2!B$2,(ROW(A24))*3,0)</f>
        <v>19/1/2020</v>
      </c>
      <c r="B23" s="11">
        <f ca="1">OFFSET(Sheet2!A$2,(ROW(A24))*3,0)</f>
        <v>43849</v>
      </c>
      <c r="C23">
        <f ca="1">OFFSET(Sheet2!C$2,(ROW(C24))*3,0)</f>
        <v>4</v>
      </c>
      <c r="D23" t="str">
        <f ca="1">OFFSET(Sheet2!D$2,(ROW(D24))*3,0)</f>
        <v>North</v>
      </c>
      <c r="E23" t="str">
        <f ca="1">OFFSET(Sheet2!F$2,(ROW(E24))*3,0)</f>
        <v>Kissa Brahim</v>
      </c>
      <c r="F23" t="str">
        <f ca="1">OFFSET(Sheet2!G$2,(ROW(F24))*3,0)</f>
        <v>H2Go</v>
      </c>
      <c r="G23">
        <f ca="1">OFFSET(Sheet2!H$2,(ROW(G24))*3,0)</f>
        <v>0</v>
      </c>
      <c r="H23" t="str">
        <f ca="1">OFFSET(Sheet2!I$2,(ROW(H24))*3,0)</f>
        <v>weekly</v>
      </c>
      <c r="I23">
        <f ca="1">OFFSET(Sheet2!J$2,(ROW(I24))*3,0)</f>
        <v>12</v>
      </c>
      <c r="J23" t="str">
        <f ca="1">OFFSET(Sheet2!K$2,(ROW(J24))*3,0)</f>
        <v>Damage Observed</v>
      </c>
      <c r="K23" t="str">
        <f ca="1">OFFSET(Sheet2!L$2,(ROW(K24))*3,0)</f>
        <v>Okay</v>
      </c>
      <c r="L23" t="str">
        <f ca="1">OFFSET(Sheet2!M$2,(ROW(L24))*3,0)</f>
        <v>Clean</v>
      </c>
      <c r="M23" t="str">
        <f ca="1">OFFSET(Sheet2!N$2,(ROW(M24))*3,0)</f>
        <v>Mechanically sounding good</v>
      </c>
      <c r="N23" t="str">
        <f ca="1">OFFSET(Sheet2!O$2,(ROW(N24))*3,0)</f>
        <v>Still good</v>
      </c>
      <c r="O23" t="str">
        <f ca="1">OFFSET(Sheet2!P$2,(ROW(O24))*3,0)</f>
        <v xml:space="preserve">normally functioning </v>
      </c>
      <c r="P23" t="str">
        <f ca="1">OFFSET(Sheet2!Q$2,(ROW(P24))*3,0)</f>
        <v>Good and looking  nornal</v>
      </c>
      <c r="Q23">
        <f ca="1">OFFSET(Sheet2!R$2,(ROW(Q24))*3,0)</f>
        <v>0</v>
      </c>
      <c r="R23">
        <f ca="1">OFFSET(Sheet2!S$2,(ROW(R24))*3,0)</f>
        <v>0</v>
      </c>
      <c r="S23">
        <f ca="1">OFFSET(Sheet2!T$2,(ROW(S24))*3,0)</f>
        <v>0</v>
      </c>
      <c r="T23">
        <f ca="1">OFFSET(Sheet2!U$2,(ROW(T24))*3,0)</f>
        <v>0</v>
      </c>
      <c r="U23">
        <f ca="1">OFFSET(Sheet2!V$2,(ROW(U24))*3,0)</f>
        <v>0</v>
      </c>
    </row>
    <row r="24" spans="1:21" x14ac:dyDescent="0.35">
      <c r="A24" s="11" t="str">
        <f ca="1">OFFSET(Sheet2!B$2,(ROW(A25))*3,0)</f>
        <v>24/1/2020</v>
      </c>
      <c r="B24" s="11">
        <f ca="1">OFFSET(Sheet2!A$2,(ROW(A25))*3,0)</f>
        <v>43854</v>
      </c>
      <c r="C24">
        <f ca="1">OFFSET(Sheet2!C$2,(ROW(C25))*3,0)</f>
        <v>4</v>
      </c>
      <c r="D24" t="str">
        <f ca="1">OFFSET(Sheet2!D$2,(ROW(D25))*3,0)</f>
        <v>North</v>
      </c>
      <c r="E24" t="str">
        <f ca="1">OFFSET(Sheet2!F$2,(ROW(E25))*3,0)</f>
        <v>Kissa Brahim</v>
      </c>
      <c r="F24" t="str">
        <f ca="1">OFFSET(Sheet2!G$2,(ROW(F25))*3,0)</f>
        <v>H2Go</v>
      </c>
      <c r="G24">
        <f ca="1">OFFSET(Sheet2!H$2,(ROW(G25))*3,0)</f>
        <v>0</v>
      </c>
      <c r="H24" t="str">
        <f ca="1">OFFSET(Sheet2!I$2,(ROW(H25))*3,0)</f>
        <v>weekly</v>
      </c>
      <c r="I24">
        <f ca="1">OFFSET(Sheet2!J$2,(ROW(I25))*3,0)</f>
        <v>19</v>
      </c>
      <c r="J24" t="str">
        <f ca="1">OFFSET(Sheet2!K$2,(ROW(J25))*3,0)</f>
        <v>Damage Observed</v>
      </c>
      <c r="K24" t="str">
        <f ca="1">OFFSET(Sheet2!L$2,(ROW(K25))*3,0)</f>
        <v>Dirty</v>
      </c>
      <c r="L24" t="str">
        <f ca="1">OFFSET(Sheet2!M$2,(ROW(L25))*3,0)</f>
        <v>Well maintained</v>
      </c>
      <c r="M24" t="str">
        <f ca="1">OFFSET(Sheet2!N$2,(ROW(M25))*3,0)</f>
        <v>Clear</v>
      </c>
      <c r="N24" t="str">
        <f ca="1">OFFSET(Sheet2!O$2,(ROW(N25))*3,0)</f>
        <v>Clean</v>
      </c>
      <c r="O24" t="str">
        <f ca="1">OFFSET(Sheet2!P$2,(ROW(O25))*3,0)</f>
        <v>Good conditions</v>
      </c>
      <c r="P24" t="str">
        <f ca="1">OFFSET(Sheet2!Q$2,(ROW(P25))*3,0)</f>
        <v>Warn out</v>
      </c>
      <c r="Q24">
        <f ca="1">OFFSET(Sheet2!R$2,(ROW(Q25))*3,0)</f>
        <v>0</v>
      </c>
      <c r="R24">
        <f ca="1">OFFSET(Sheet2!S$2,(ROW(R25))*3,0)</f>
        <v>0</v>
      </c>
      <c r="S24">
        <f ca="1">OFFSET(Sheet2!T$2,(ROW(S25))*3,0)</f>
        <v>0</v>
      </c>
      <c r="T24">
        <f ca="1">OFFSET(Sheet2!U$2,(ROW(T25))*3,0)</f>
        <v>0</v>
      </c>
      <c r="U24">
        <f ca="1">OFFSET(Sheet2!V$2,(ROW(U25))*3,0)</f>
        <v>0</v>
      </c>
    </row>
    <row r="25" spans="1:21" x14ac:dyDescent="0.35">
      <c r="A25" s="11" t="str">
        <f ca="1">OFFSET(Sheet2!B$2,(ROW(A26))*3,0)</f>
        <v>31/1/2020</v>
      </c>
      <c r="B25" s="11">
        <f ca="1">OFFSET(Sheet2!A$2,(ROW(A26))*3,0)</f>
        <v>43861</v>
      </c>
      <c r="C25">
        <f ca="1">OFFSET(Sheet2!C$2,(ROW(C26))*3,0)</f>
        <v>4</v>
      </c>
      <c r="D25" t="str">
        <f ca="1">OFFSET(Sheet2!D$2,(ROW(D26))*3,0)</f>
        <v>North</v>
      </c>
      <c r="E25" t="str">
        <f ca="1">OFFSET(Sheet2!F$2,(ROW(E26))*3,0)</f>
        <v>Kissa Brahim</v>
      </c>
      <c r="F25" t="str">
        <f ca="1">OFFSET(Sheet2!G$2,(ROW(F26))*3,0)</f>
        <v>H2Go</v>
      </c>
      <c r="G25">
        <f ca="1">OFFSET(Sheet2!H$2,(ROW(G26))*3,0)</f>
        <v>0</v>
      </c>
      <c r="H25" t="str">
        <f ca="1">OFFSET(Sheet2!I$2,(ROW(H26))*3,0)</f>
        <v>weekly</v>
      </c>
      <c r="I25">
        <f ca="1">OFFSET(Sheet2!J$2,(ROW(I26))*3,0)</f>
        <v>262</v>
      </c>
      <c r="J25" t="str">
        <f ca="1">OFFSET(Sheet2!K$2,(ROW(J26))*3,0)</f>
        <v>Damage Observed</v>
      </c>
      <c r="K25" t="str">
        <f ca="1">OFFSET(Sheet2!L$2,(ROW(K26))*3,0)</f>
        <v>Very dirty</v>
      </c>
      <c r="L25" t="str">
        <f ca="1">OFFSET(Sheet2!M$2,(ROW(L26))*3,0)</f>
        <v>Clean and functioning well</v>
      </c>
      <c r="M25" t="str">
        <f ca="1">OFFSET(Sheet2!N$2,(ROW(M26))*3,0)</f>
        <v>Normally functioning</v>
      </c>
      <c r="N25" t="str">
        <f ca="1">OFFSET(Sheet2!O$2,(ROW(N26))*3,0)</f>
        <v xml:space="preserve">Dusty </v>
      </c>
      <c r="O25" t="str">
        <f ca="1">OFFSET(Sheet2!P$2,(ROW(O26))*3,0)</f>
        <v>Good</v>
      </c>
      <c r="P25" t="str">
        <f ca="1">OFFSET(Sheet2!Q$2,(ROW(P26))*3,0)</f>
        <v>Still good with out any wear</v>
      </c>
      <c r="Q25" t="str">
        <f ca="1">OFFSET(Sheet2!R$2,(ROW(Q26))*3,0)</f>
        <v>Normally functionig</v>
      </c>
      <c r="R25" t="str">
        <f ca="1">OFFSET(Sheet2!S$2,(ROW(R26))*3,0)</f>
        <v>Normal</v>
      </c>
      <c r="S25" t="str">
        <f ca="1">OFFSET(Sheet2!T$2,(ROW(S26))*3,0)</f>
        <v>Still okay</v>
      </c>
      <c r="T25">
        <f ca="1">OFFSET(Sheet2!U$2,(ROW(T26))*3,0)</f>
        <v>0</v>
      </c>
      <c r="U25">
        <f ca="1">OFFSET(Sheet2!V$2,(ROW(U26))*3,0)</f>
        <v>0</v>
      </c>
    </row>
    <row r="26" spans="1:21" x14ac:dyDescent="0.35">
      <c r="A26" s="11">
        <f ca="1">OFFSET(Sheet2!B$2,(ROW(A27))*3,0)</f>
        <v>43868</v>
      </c>
      <c r="B26" s="11">
        <f ca="1">OFFSET(Sheet2!A$2,(ROW(A27))*3,0)</f>
        <v>43868</v>
      </c>
      <c r="C26">
        <f ca="1">OFFSET(Sheet2!C$2,(ROW(C27))*3,0)</f>
        <v>4</v>
      </c>
      <c r="D26" t="str">
        <f ca="1">OFFSET(Sheet2!D$2,(ROW(D27))*3,0)</f>
        <v>North</v>
      </c>
      <c r="E26" t="str">
        <f ca="1">OFFSET(Sheet2!F$2,(ROW(E27))*3,0)</f>
        <v>KISSA BRAHIM</v>
      </c>
      <c r="F26" t="str">
        <f ca="1">OFFSET(Sheet2!G$2,(ROW(F27))*3,0)</f>
        <v>H2Go</v>
      </c>
      <c r="G26">
        <f ca="1">OFFSET(Sheet2!H$2,(ROW(G27))*3,0)</f>
        <v>0</v>
      </c>
      <c r="H26" t="str">
        <f ca="1">OFFSET(Sheet2!I$2,(ROW(H27))*3,0)</f>
        <v>WEEKLY</v>
      </c>
      <c r="I26">
        <f ca="1">OFFSET(Sheet2!J$2,(ROW(I27))*3,0)</f>
        <v>281</v>
      </c>
      <c r="J26" t="str">
        <f ca="1">OFFSET(Sheet2!K$2,(ROW(J27))*3,0)</f>
        <v>Damage Observed</v>
      </c>
      <c r="K26" t="str">
        <f ca="1">OFFSET(Sheet2!L$2,(ROW(K27))*3,0)</f>
        <v>Oil is dirty with some particles</v>
      </c>
      <c r="L26" t="str">
        <f ca="1">OFFSET(Sheet2!M$2,(ROW(L27))*3,0)</f>
        <v>Clean</v>
      </c>
      <c r="M26" t="str">
        <f ca="1">OFFSET(Sheet2!N$2,(ROW(M27))*3,0)</f>
        <v>No damage</v>
      </c>
      <c r="N26" t="str">
        <f ca="1">OFFSET(Sheet2!O$2,(ROW(N27))*3,0)</f>
        <v xml:space="preserve">Dusty </v>
      </c>
      <c r="O26" t="str">
        <f ca="1">OFFSET(Sheet2!P$2,(ROW(O27))*3,0)</f>
        <v>Functioning well</v>
      </c>
      <c r="P26" t="str">
        <f ca="1">OFFSET(Sheet2!Q$2,(ROW(P27))*3,0)</f>
        <v>No damage</v>
      </c>
      <c r="Q26" t="str">
        <f ca="1">OFFSET(Sheet2!R$2,(ROW(Q27))*3,0)</f>
        <v>No damage observed</v>
      </c>
      <c r="R26" t="str">
        <f ca="1">OFFSET(Sheet2!S$2,(ROW(R27))*3,0)</f>
        <v>In normal condition</v>
      </c>
      <c r="S26" t="str">
        <f ca="1">OFFSET(Sheet2!T$2,(ROW(S27))*3,0)</f>
        <v>Clean</v>
      </c>
      <c r="T26">
        <f ca="1">OFFSET(Sheet2!U$2,(ROW(T27))*3,0)</f>
        <v>0</v>
      </c>
      <c r="U26">
        <f ca="1">OFFSET(Sheet2!V$2,(ROW(U27))*3,0)</f>
        <v>0</v>
      </c>
    </row>
    <row r="27" spans="1:21" x14ac:dyDescent="0.35">
      <c r="A27" s="11">
        <f ca="1">OFFSET(Sheet2!B$2,(ROW(A28))*3,0)</f>
        <v>43877</v>
      </c>
      <c r="B27" s="11">
        <f ca="1">OFFSET(Sheet2!A$2,(ROW(A28))*3,0)</f>
        <v>43877</v>
      </c>
      <c r="C27">
        <f ca="1">OFFSET(Sheet2!C$2,(ROW(C28))*3,0)</f>
        <v>4</v>
      </c>
      <c r="D27" t="str">
        <f ca="1">OFFSET(Sheet2!D$2,(ROW(D28))*3,0)</f>
        <v>North</v>
      </c>
      <c r="E27" t="str">
        <f ca="1">OFFSET(Sheet2!F$2,(ROW(E28))*3,0)</f>
        <v>KISSA BRAHIM</v>
      </c>
      <c r="F27" t="str">
        <f ca="1">OFFSET(Sheet2!G$2,(ROW(F28))*3,0)</f>
        <v>H2Go</v>
      </c>
      <c r="G27">
        <f ca="1">OFFSET(Sheet2!H$2,(ROW(G28))*3,0)</f>
        <v>0</v>
      </c>
      <c r="H27" t="str">
        <f ca="1">OFFSET(Sheet2!I$2,(ROW(H28))*3,0)</f>
        <v>WEEKLY</v>
      </c>
      <c r="I27">
        <f ca="1">OFFSET(Sheet2!J$2,(ROW(I28))*3,0)</f>
        <v>222</v>
      </c>
      <c r="J27" t="str">
        <f ca="1">OFFSET(Sheet2!K$2,(ROW(J28))*3,0)</f>
        <v>Damage Observed</v>
      </c>
      <c r="K27" t="str">
        <f ca="1">OFFSET(Sheet2!L$2,(ROW(K28))*3,0)</f>
        <v>Okay</v>
      </c>
      <c r="L27" t="str">
        <f ca="1">OFFSET(Sheet2!M$2,(ROW(L28))*3,0)</f>
        <v>Dirty</v>
      </c>
      <c r="M27" t="str">
        <f ca="1">OFFSET(Sheet2!N$2,(ROW(M28))*3,0)</f>
        <v>Good</v>
      </c>
      <c r="N27" t="str">
        <f ca="1">OFFSET(Sheet2!O$2,(ROW(N28))*3,0)</f>
        <v>Clean</v>
      </c>
      <c r="O27" t="str">
        <f ca="1">OFFSET(Sheet2!P$2,(ROW(O28))*3,0)</f>
        <v>Needs to be Changed</v>
      </c>
      <c r="P27" t="str">
        <f ca="1">OFFSET(Sheet2!Q$2,(ROW(P28))*3,0)</f>
        <v>Nut and washer showing wear</v>
      </c>
      <c r="Q27">
        <f ca="1">OFFSET(Sheet2!R$2,(ROW(Q28))*3,0)</f>
        <v>0</v>
      </c>
      <c r="R27">
        <f ca="1">OFFSET(Sheet2!S$2,(ROW(R28))*3,0)</f>
        <v>0</v>
      </c>
      <c r="S27">
        <f ca="1">OFFSET(Sheet2!T$2,(ROW(S28))*3,0)</f>
        <v>0</v>
      </c>
      <c r="T27">
        <f ca="1">OFFSET(Sheet2!U$2,(ROW(T28))*3,0)</f>
        <v>0</v>
      </c>
      <c r="U27">
        <f ca="1">OFFSET(Sheet2!V$2,(ROW(U28))*3,0)</f>
        <v>0</v>
      </c>
    </row>
    <row r="28" spans="1:21" x14ac:dyDescent="0.35">
      <c r="A28" s="11">
        <f ca="1">OFFSET(Sheet2!B$2,(ROW(A29))*3,0)</f>
        <v>43884</v>
      </c>
      <c r="B28" s="11">
        <f ca="1">OFFSET(Sheet2!A$2,(ROW(A29))*3,0)</f>
        <v>43884</v>
      </c>
      <c r="C28">
        <f ca="1">OFFSET(Sheet2!C$2,(ROW(C29))*3,0)</f>
        <v>4</v>
      </c>
      <c r="D28" t="str">
        <f ca="1">OFFSET(Sheet2!D$2,(ROW(D29))*3,0)</f>
        <v>North</v>
      </c>
      <c r="E28" t="str">
        <f ca="1">OFFSET(Sheet2!F$2,(ROW(E29))*3,0)</f>
        <v>Kissa Brahim</v>
      </c>
      <c r="F28" t="str">
        <f ca="1">OFFSET(Sheet2!G$2,(ROW(F29))*3,0)</f>
        <v>H2Go</v>
      </c>
      <c r="G28">
        <f ca="1">OFFSET(Sheet2!H$2,(ROW(G29))*3,0)</f>
        <v>0</v>
      </c>
      <c r="H28" t="str">
        <f ca="1">OFFSET(Sheet2!I$2,(ROW(H29))*3,0)</f>
        <v>WEEKLY</v>
      </c>
      <c r="I28">
        <f ca="1">OFFSET(Sheet2!J$2,(ROW(I29))*3,0)</f>
        <v>244</v>
      </c>
      <c r="J28" t="str">
        <f ca="1">OFFSET(Sheet2!K$2,(ROW(J29))*3,0)</f>
        <v>Damage Observed</v>
      </c>
      <c r="K28" t="str">
        <f ca="1">OFFSET(Sheet2!L$2,(ROW(K29))*3,0)</f>
        <v>Dirty</v>
      </c>
      <c r="L28" t="str">
        <f ca="1">OFFSET(Sheet2!M$2,(ROW(L29))*3,0)</f>
        <v>Okay</v>
      </c>
      <c r="M28" t="str">
        <f ca="1">OFFSET(Sheet2!N$2,(ROW(M29))*3,0)</f>
        <v>Good</v>
      </c>
      <c r="N28" t="str">
        <f ca="1">OFFSET(Sheet2!O$2,(ROW(N29))*3,0)</f>
        <v>Okay</v>
      </c>
      <c r="O28" t="str">
        <f ca="1">OFFSET(Sheet2!P$2,(ROW(O29))*3,0)</f>
        <v>Good</v>
      </c>
      <c r="P28" t="str">
        <f ca="1">OFFSET(Sheet2!Q$2,(ROW(P29))*3,0)</f>
        <v>In good Condition</v>
      </c>
      <c r="Q28">
        <f ca="1">OFFSET(Sheet2!R$2,(ROW(Q29))*3,0)</f>
        <v>0</v>
      </c>
      <c r="R28">
        <f ca="1">OFFSET(Sheet2!S$2,(ROW(R29))*3,0)</f>
        <v>0</v>
      </c>
      <c r="S28">
        <f ca="1">OFFSET(Sheet2!T$2,(ROW(S29))*3,0)</f>
        <v>0</v>
      </c>
      <c r="T28">
        <f ca="1">OFFSET(Sheet2!U$2,(ROW(T29))*3,0)</f>
        <v>0</v>
      </c>
      <c r="U28">
        <f ca="1">OFFSET(Sheet2!V$2,(ROW(U29))*3,0)</f>
        <v>0</v>
      </c>
    </row>
    <row r="29" spans="1:21" x14ac:dyDescent="0.35">
      <c r="A29" s="11">
        <f ca="1">OFFSET(Sheet2!B$2,(ROW(A30))*3,0)</f>
        <v>43892</v>
      </c>
      <c r="B29" s="11">
        <f ca="1">OFFSET(Sheet2!A$2,(ROW(A30))*3,0)</f>
        <v>43892</v>
      </c>
      <c r="C29">
        <f ca="1">OFFSET(Sheet2!C$2,(ROW(C30))*3,0)</f>
        <v>4</v>
      </c>
      <c r="D29" t="str">
        <f ca="1">OFFSET(Sheet2!D$2,(ROW(D30))*3,0)</f>
        <v>North</v>
      </c>
      <c r="E29" t="str">
        <f ca="1">OFFSET(Sheet2!F$2,(ROW(E30))*3,0)</f>
        <v>Kissa Brahim</v>
      </c>
      <c r="F29" t="str">
        <f ca="1">OFFSET(Sheet2!G$2,(ROW(F30))*3,0)</f>
        <v>H2GO</v>
      </c>
      <c r="G29">
        <f ca="1">OFFSET(Sheet2!H$2,(ROW(G30))*3,0)</f>
        <v>0</v>
      </c>
      <c r="H29" t="str">
        <f ca="1">OFFSET(Sheet2!I$2,(ROW(H30))*3,0)</f>
        <v>WEEKLY</v>
      </c>
      <c r="I29">
        <f ca="1">OFFSET(Sheet2!J$2,(ROW(I30))*3,0)</f>
        <v>254</v>
      </c>
      <c r="J29" t="str">
        <f ca="1">OFFSET(Sheet2!K$2,(ROW(J30))*3,0)</f>
        <v>Damage Observed</v>
      </c>
      <c r="K29" t="str">
        <f ca="1">OFFSET(Sheet2!L$2,(ROW(K30))*3,0)</f>
        <v>Dirty</v>
      </c>
      <c r="L29" t="str">
        <f ca="1">OFFSET(Sheet2!M$2,(ROW(L30))*3,0)</f>
        <v>Dirty</v>
      </c>
      <c r="M29" t="str">
        <f ca="1">OFFSET(Sheet2!N$2,(ROW(M30))*3,0)</f>
        <v>Good</v>
      </c>
      <c r="N29" t="str">
        <f ca="1">OFFSET(Sheet2!O$2,(ROW(N30))*3,0)</f>
        <v>Okay</v>
      </c>
      <c r="O29" t="str">
        <f ca="1">OFFSET(Sheet2!P$2,(ROW(O30))*3,0)</f>
        <v>Good</v>
      </c>
      <c r="P29" t="str">
        <f ca="1">OFFSET(Sheet2!Q$2,(ROW(P30))*3,0)</f>
        <v>In good Condition</v>
      </c>
      <c r="Q29">
        <f ca="1">OFFSET(Sheet2!R$2,(ROW(Q30))*3,0)</f>
        <v>0</v>
      </c>
      <c r="R29">
        <f ca="1">OFFSET(Sheet2!S$2,(ROW(R30))*3,0)</f>
        <v>0</v>
      </c>
      <c r="S29">
        <f ca="1">OFFSET(Sheet2!T$2,(ROW(S30))*3,0)</f>
        <v>0</v>
      </c>
      <c r="T29">
        <f ca="1">OFFSET(Sheet2!U$2,(ROW(T30))*3,0)</f>
        <v>0</v>
      </c>
      <c r="U29">
        <f ca="1">OFFSET(Sheet2!V$2,(ROW(U30))*3,0)</f>
        <v>0</v>
      </c>
    </row>
    <row r="30" spans="1:21" x14ac:dyDescent="0.35">
      <c r="A30" s="11">
        <f ca="1">OFFSET(Sheet2!B$2,(ROW(A31))*3,0)</f>
        <v>43900</v>
      </c>
      <c r="B30" s="11">
        <f ca="1">OFFSET(Sheet2!A$2,(ROW(A31))*3,0)</f>
        <v>43900</v>
      </c>
      <c r="C30">
        <f ca="1">OFFSET(Sheet2!C$2,(ROW(C31))*3,0)</f>
        <v>4</v>
      </c>
      <c r="D30" t="str">
        <f ca="1">OFFSET(Sheet2!D$2,(ROW(D31))*3,0)</f>
        <v>North</v>
      </c>
      <c r="E30" t="str">
        <f ca="1">OFFSET(Sheet2!F$2,(ROW(E31))*3,0)</f>
        <v>Kissa Brahim</v>
      </c>
      <c r="F30" t="str">
        <f ca="1">OFFSET(Sheet2!G$2,(ROW(F31))*3,0)</f>
        <v>H2Go</v>
      </c>
      <c r="G30">
        <f ca="1">OFFSET(Sheet2!H$2,(ROW(G31))*3,0)</f>
        <v>0</v>
      </c>
      <c r="H30" t="str">
        <f ca="1">OFFSET(Sheet2!I$2,(ROW(H31))*3,0)</f>
        <v>WEEKLY</v>
      </c>
      <c r="I30">
        <f ca="1">OFFSET(Sheet2!J$2,(ROW(I31))*3,0)</f>
        <v>210</v>
      </c>
      <c r="J30" t="str">
        <f ca="1">OFFSET(Sheet2!K$2,(ROW(J31))*3,0)</f>
        <v>Damage Observed</v>
      </c>
      <c r="K30" t="str">
        <f ca="1">OFFSET(Sheet2!L$2,(ROW(K31))*3,0)</f>
        <v>Dirty</v>
      </c>
      <c r="L30" t="str">
        <f ca="1">OFFSET(Sheet2!M$2,(ROW(L31))*3,0)</f>
        <v>Okay</v>
      </c>
      <c r="M30" t="str">
        <f ca="1">OFFSET(Sheet2!N$2,(ROW(M31))*3,0)</f>
        <v>Good</v>
      </c>
      <c r="N30" t="str">
        <f ca="1">OFFSET(Sheet2!O$2,(ROW(N31))*3,0)</f>
        <v>Okay</v>
      </c>
      <c r="O30" t="str">
        <f ca="1">OFFSET(Sheet2!P$2,(ROW(O31))*3,0)</f>
        <v>Good</v>
      </c>
      <c r="P30" t="str">
        <f ca="1">OFFSET(Sheet2!Q$2,(ROW(P31))*3,0)</f>
        <v>In good Condition</v>
      </c>
      <c r="Q30">
        <f ca="1">OFFSET(Sheet2!R$2,(ROW(Q31))*3,0)</f>
        <v>0</v>
      </c>
      <c r="R30">
        <f ca="1">OFFSET(Sheet2!S$2,(ROW(R31))*3,0)</f>
        <v>0</v>
      </c>
      <c r="S30">
        <f ca="1">OFFSET(Sheet2!T$2,(ROW(S31))*3,0)</f>
        <v>0</v>
      </c>
      <c r="T30">
        <f ca="1">OFFSET(Sheet2!U$2,(ROW(T31))*3,0)</f>
        <v>0</v>
      </c>
      <c r="U30">
        <f ca="1">OFFSET(Sheet2!V$2,(ROW(U31))*3,0)</f>
        <v>0</v>
      </c>
    </row>
    <row r="31" spans="1:21" x14ac:dyDescent="0.35">
      <c r="A31" s="11">
        <f ca="1">OFFSET(Sheet2!B$2,(ROW(A32))*3,0)</f>
        <v>43838</v>
      </c>
      <c r="B31" s="11">
        <f ca="1">OFFSET(Sheet2!A$2,(ROW(A32))*3,0)</f>
        <v>43838</v>
      </c>
      <c r="C31">
        <f ca="1">OFFSET(Sheet2!C$2,(ROW(C32))*3,0)</f>
        <v>5</v>
      </c>
      <c r="D31" t="str">
        <f ca="1">OFFSET(Sheet2!D$2,(ROW(D32))*3,0)</f>
        <v>North</v>
      </c>
      <c r="E31" t="str">
        <f ca="1">OFFSET(Sheet2!F$2,(ROW(E32))*3,0)</f>
        <v>Gibisiwa Benson</v>
      </c>
      <c r="F31" t="str">
        <f ca="1">OFFSET(Sheet2!G$2,(ROW(F32))*3,0)</f>
        <v>H2Go</v>
      </c>
      <c r="G31">
        <f ca="1">OFFSET(Sheet2!H$2,(ROW(G32))*3,0)</f>
        <v>0</v>
      </c>
      <c r="H31" t="str">
        <f ca="1">OFFSET(Sheet2!I$2,(ROW(H32))*3,0)</f>
        <v>Comprehensive</v>
      </c>
      <c r="I31">
        <f ca="1">OFFSET(Sheet2!J$2,(ROW(I32))*3,0)</f>
        <v>6</v>
      </c>
      <c r="J31" t="str">
        <f ca="1">OFFSET(Sheet2!K$2,(ROW(J32))*3,0)</f>
        <v>Damage Observed</v>
      </c>
      <c r="K31" t="str">
        <f ca="1">OFFSET(Sheet2!L$2,(ROW(K32))*3,0)</f>
        <v>Dirty</v>
      </c>
      <c r="L31" t="str">
        <f ca="1">OFFSET(Sheet2!M$2,(ROW(L32))*3,0)</f>
        <v>Very dirty with water in it</v>
      </c>
      <c r="M31" t="str">
        <f ca="1">OFFSET(Sheet2!N$2,(ROW(M32))*3,0)</f>
        <v>Observed to be loose</v>
      </c>
      <c r="N31" t="str">
        <f ca="1">OFFSET(Sheet2!O$2,(ROW(N32))*3,0)</f>
        <v>Good working conditions</v>
      </c>
      <c r="O31" t="str">
        <f ca="1">OFFSET(Sheet2!P$2,(ROW(O32))*3,0)</f>
        <v>Good conditions</v>
      </c>
      <c r="P31" t="str">
        <f ca="1">OFFSET(Sheet2!Q$2,(ROW(P32))*3,0)</f>
        <v>Magneto still good, Crankshaft Nut worn out</v>
      </c>
      <c r="Q31" t="str">
        <f ca="1">OFFSET(Sheet2!R$2,(ROW(Q32))*3,0)</f>
        <v>Mechanically okay</v>
      </c>
      <c r="R31" t="str">
        <f ca="1">OFFSET(Sheet2!S$2,(ROW(R32))*3,0)</f>
        <v>Looked good</v>
      </c>
      <c r="S31" t="str">
        <f ca="1">OFFSET(Sheet2!T$2,(ROW(S32))*3,0)</f>
        <v>Dusty</v>
      </c>
      <c r="T31">
        <f ca="1">OFFSET(Sheet2!U$2,(ROW(T32))*3,0)</f>
        <v>0</v>
      </c>
      <c r="U31">
        <f ca="1">OFFSET(Sheet2!V$2,(ROW(U32))*3,0)</f>
        <v>0</v>
      </c>
    </row>
    <row r="32" spans="1:21" x14ac:dyDescent="0.35">
      <c r="A32" s="11">
        <f ca="1">OFFSET(Sheet2!B$2,(ROW(A33))*3,0)</f>
        <v>43869</v>
      </c>
      <c r="B32" s="11">
        <f ca="1">OFFSET(Sheet2!A$2,(ROW(A33))*3,0)</f>
        <v>43869</v>
      </c>
      <c r="C32">
        <f ca="1">OFFSET(Sheet2!C$2,(ROW(C33))*3,0)</f>
        <v>5</v>
      </c>
      <c r="D32" t="str">
        <f ca="1">OFFSET(Sheet2!D$2,(ROW(D33))*3,0)</f>
        <v>North</v>
      </c>
      <c r="E32" t="str">
        <f ca="1">OFFSET(Sheet2!F$2,(ROW(E33))*3,0)</f>
        <v>Gibisiwa Benson</v>
      </c>
      <c r="F32" t="str">
        <f ca="1">OFFSET(Sheet2!G$2,(ROW(F33))*3,0)</f>
        <v>H2Go</v>
      </c>
      <c r="G32">
        <f ca="1">OFFSET(Sheet2!H$2,(ROW(G33))*3,0)</f>
        <v>0</v>
      </c>
      <c r="H32" t="str">
        <f ca="1">OFFSET(Sheet2!I$2,(ROW(H33))*3,0)</f>
        <v>WEEKLY</v>
      </c>
      <c r="I32">
        <f ca="1">OFFSET(Sheet2!J$2,(ROW(I33))*3,0)</f>
        <v>292</v>
      </c>
      <c r="J32" t="str">
        <f ca="1">OFFSET(Sheet2!K$2,(ROW(J33))*3,0)</f>
        <v>Damage Observed</v>
      </c>
      <c r="K32" t="str">
        <f ca="1">OFFSET(Sheet2!L$2,(ROW(K33))*3,0)</f>
        <v>Dirty</v>
      </c>
      <c r="L32" t="str">
        <f ca="1">OFFSET(Sheet2!M$2,(ROW(L33))*3,0)</f>
        <v>Dirty</v>
      </c>
      <c r="M32" t="str">
        <f ca="1">OFFSET(Sheet2!N$2,(ROW(M33))*3,0)</f>
        <v>Good</v>
      </c>
      <c r="N32" t="str">
        <f ca="1">OFFSET(Sheet2!O$2,(ROW(N33))*3,0)</f>
        <v>Dirty</v>
      </c>
      <c r="O32" t="str">
        <f ca="1">OFFSET(Sheet2!P$2,(ROW(O33))*3,0)</f>
        <v>Needs to be Changed</v>
      </c>
      <c r="P32" t="str">
        <f ca="1">OFFSET(Sheet2!Q$2,(ROW(P33))*3,0)</f>
        <v>In good Condition</v>
      </c>
      <c r="Q32">
        <f ca="1">OFFSET(Sheet2!R$2,(ROW(Q33))*3,0)</f>
        <v>0</v>
      </c>
      <c r="R32">
        <f ca="1">OFFSET(Sheet2!S$2,(ROW(R33))*3,0)</f>
        <v>0</v>
      </c>
      <c r="S32">
        <f ca="1">OFFSET(Sheet2!T$2,(ROW(S33))*3,0)</f>
        <v>0</v>
      </c>
      <c r="T32">
        <f ca="1">OFFSET(Sheet2!U$2,(ROW(T33))*3,0)</f>
        <v>0</v>
      </c>
      <c r="U32">
        <f ca="1">OFFSET(Sheet2!V$2,(ROW(U33))*3,0)</f>
        <v>0</v>
      </c>
    </row>
    <row r="33" spans="1:21" x14ac:dyDescent="0.35">
      <c r="A33" s="11">
        <f ca="1">OFFSET(Sheet2!B$2,(ROW(A34))*3,0)</f>
        <v>43877</v>
      </c>
      <c r="B33" s="11">
        <f ca="1">OFFSET(Sheet2!A$2,(ROW(A34))*3,0)</f>
        <v>43877</v>
      </c>
      <c r="C33">
        <f ca="1">OFFSET(Sheet2!C$2,(ROW(C34))*3,0)</f>
        <v>5</v>
      </c>
      <c r="D33" t="str">
        <f ca="1">OFFSET(Sheet2!D$2,(ROW(D34))*3,0)</f>
        <v>North</v>
      </c>
      <c r="E33" t="str">
        <f ca="1">OFFSET(Sheet2!F$2,(ROW(E34))*3,0)</f>
        <v>Gibisiwa Benson</v>
      </c>
      <c r="F33" t="str">
        <f ca="1">OFFSET(Sheet2!G$2,(ROW(F34))*3,0)</f>
        <v>H2Go</v>
      </c>
      <c r="G33">
        <f ca="1">OFFSET(Sheet2!H$2,(ROW(G34))*3,0)</f>
        <v>0</v>
      </c>
      <c r="H33" t="str">
        <f ca="1">OFFSET(Sheet2!I$2,(ROW(H34))*3,0)</f>
        <v>WEEKLY</v>
      </c>
      <c r="I33">
        <f ca="1">OFFSET(Sheet2!J$2,(ROW(I34))*3,0)</f>
        <v>296</v>
      </c>
      <c r="J33" t="str">
        <f ca="1">OFFSET(Sheet2!K$2,(ROW(J34))*3,0)</f>
        <v>Damage Observed</v>
      </c>
      <c r="K33" t="str">
        <f ca="1">OFFSET(Sheet2!L$2,(ROW(K34))*3,0)</f>
        <v>Very Dirty</v>
      </c>
      <c r="L33" t="str">
        <f ca="1">OFFSET(Sheet2!M$2,(ROW(L34))*3,0)</f>
        <v>Dirty</v>
      </c>
      <c r="M33" t="str">
        <f ca="1">OFFSET(Sheet2!N$2,(ROW(M34))*3,0)</f>
        <v>Good</v>
      </c>
      <c r="N33" t="str">
        <f ca="1">OFFSET(Sheet2!O$2,(ROW(N34))*3,0)</f>
        <v>Dirty</v>
      </c>
      <c r="O33" t="str">
        <f ca="1">OFFSET(Sheet2!P$2,(ROW(O34))*3,0)</f>
        <v>Good</v>
      </c>
      <c r="P33" t="str">
        <f ca="1">OFFSET(Sheet2!Q$2,(ROW(P34))*3,0)</f>
        <v>In good Condition</v>
      </c>
      <c r="Q33">
        <f ca="1">OFFSET(Sheet2!R$2,(ROW(Q34))*3,0)</f>
        <v>0</v>
      </c>
      <c r="R33">
        <f ca="1">OFFSET(Sheet2!S$2,(ROW(R34))*3,0)</f>
        <v>0</v>
      </c>
      <c r="S33">
        <f ca="1">OFFSET(Sheet2!T$2,(ROW(S34))*3,0)</f>
        <v>0</v>
      </c>
      <c r="T33">
        <f ca="1">OFFSET(Sheet2!U$2,(ROW(T34))*3,0)</f>
        <v>0</v>
      </c>
      <c r="U33">
        <f ca="1">OFFSET(Sheet2!V$2,(ROW(U34))*3,0)</f>
        <v>0</v>
      </c>
    </row>
    <row r="34" spans="1:21" x14ac:dyDescent="0.35">
      <c r="A34" s="11">
        <f ca="1">OFFSET(Sheet2!B$2,(ROW(A35))*3,0)</f>
        <v>43884</v>
      </c>
      <c r="B34" s="11">
        <f ca="1">OFFSET(Sheet2!A$2,(ROW(A35))*3,0)</f>
        <v>43884</v>
      </c>
      <c r="C34">
        <f ca="1">OFFSET(Sheet2!C$2,(ROW(C35))*3,0)</f>
        <v>5</v>
      </c>
      <c r="D34" t="str">
        <f ca="1">OFFSET(Sheet2!D$2,(ROW(D35))*3,0)</f>
        <v>North</v>
      </c>
      <c r="E34" t="str">
        <f ca="1">OFFSET(Sheet2!F$2,(ROW(E35))*3,0)</f>
        <v>Gibisiwa Benson</v>
      </c>
      <c r="F34" t="str">
        <f ca="1">OFFSET(Sheet2!G$2,(ROW(F35))*3,0)</f>
        <v>H2Go</v>
      </c>
      <c r="G34">
        <f ca="1">OFFSET(Sheet2!H$2,(ROW(G35))*3,0)</f>
        <v>0</v>
      </c>
      <c r="H34" t="str">
        <f ca="1">OFFSET(Sheet2!I$2,(ROW(H35))*3,0)</f>
        <v>WEEKLY</v>
      </c>
      <c r="I34">
        <f ca="1">OFFSET(Sheet2!J$2,(ROW(I35))*3,0)</f>
        <v>230</v>
      </c>
      <c r="J34" t="str">
        <f ca="1">OFFSET(Sheet2!K$2,(ROW(J35))*3,0)</f>
        <v>Damage Observed</v>
      </c>
      <c r="K34" t="str">
        <f ca="1">OFFSET(Sheet2!L$2,(ROW(K35))*3,0)</f>
        <v>Very Dirty</v>
      </c>
      <c r="L34" t="str">
        <f ca="1">OFFSET(Sheet2!M$2,(ROW(L35))*3,0)</f>
        <v>Okay</v>
      </c>
      <c r="M34" t="str">
        <f ca="1">OFFSET(Sheet2!N$2,(ROW(M35))*3,0)</f>
        <v>Good</v>
      </c>
      <c r="N34" t="str">
        <f ca="1">OFFSET(Sheet2!O$2,(ROW(N35))*3,0)</f>
        <v>Dirty</v>
      </c>
      <c r="O34" t="str">
        <f ca="1">OFFSET(Sheet2!P$2,(ROW(O35))*3,0)</f>
        <v>Good</v>
      </c>
      <c r="P34" t="str">
        <f ca="1">OFFSET(Sheet2!Q$2,(ROW(P35))*3,0)</f>
        <v>In good Condition</v>
      </c>
      <c r="Q34">
        <f ca="1">OFFSET(Sheet2!R$2,(ROW(Q35))*3,0)</f>
        <v>0</v>
      </c>
      <c r="R34">
        <f ca="1">OFFSET(Sheet2!S$2,(ROW(R35))*3,0)</f>
        <v>0</v>
      </c>
      <c r="S34">
        <f ca="1">OFFSET(Sheet2!T$2,(ROW(S35))*3,0)</f>
        <v>0</v>
      </c>
      <c r="T34">
        <f ca="1">OFFSET(Sheet2!U$2,(ROW(T35))*3,0)</f>
        <v>0</v>
      </c>
      <c r="U34">
        <f ca="1">OFFSET(Sheet2!V$2,(ROW(U35))*3,0)</f>
        <v>0</v>
      </c>
    </row>
    <row r="35" spans="1:21" x14ac:dyDescent="0.35">
      <c r="A35" s="11">
        <f ca="1">OFFSET(Sheet2!B$2,(ROW(A36))*3,0)</f>
        <v>43894</v>
      </c>
      <c r="B35" s="11">
        <f ca="1">OFFSET(Sheet2!A$2,(ROW(A36))*3,0)</f>
        <v>43894</v>
      </c>
      <c r="C35">
        <f ca="1">OFFSET(Sheet2!C$2,(ROW(C36))*3,0)</f>
        <v>5</v>
      </c>
      <c r="D35" t="str">
        <f ca="1">OFFSET(Sheet2!D$2,(ROW(D36))*3,0)</f>
        <v>North</v>
      </c>
      <c r="E35" t="str">
        <f ca="1">OFFSET(Sheet2!F$2,(ROW(E36))*3,0)</f>
        <v>Gibisiwa Benson</v>
      </c>
      <c r="F35" t="str">
        <f ca="1">OFFSET(Sheet2!G$2,(ROW(F36))*3,0)</f>
        <v>H2GO</v>
      </c>
      <c r="G35">
        <f ca="1">OFFSET(Sheet2!H$2,(ROW(G36))*3,0)</f>
        <v>0</v>
      </c>
      <c r="H35" t="str">
        <f ca="1">OFFSET(Sheet2!I$2,(ROW(H36))*3,0)</f>
        <v>WEEKLY</v>
      </c>
      <c r="I35">
        <f ca="1">OFFSET(Sheet2!J$2,(ROW(I36))*3,0)</f>
        <v>250</v>
      </c>
      <c r="J35" t="str">
        <f ca="1">OFFSET(Sheet2!K$2,(ROW(J36))*3,0)</f>
        <v>Damage Observed</v>
      </c>
      <c r="K35" t="str">
        <f ca="1">OFFSET(Sheet2!L$2,(ROW(K36))*3,0)</f>
        <v>Very Dirty</v>
      </c>
      <c r="L35" t="str">
        <f ca="1">OFFSET(Sheet2!M$2,(ROW(L36))*3,0)</f>
        <v>Dirty</v>
      </c>
      <c r="M35" t="str">
        <f ca="1">OFFSET(Sheet2!N$2,(ROW(M36))*3,0)</f>
        <v>Good</v>
      </c>
      <c r="N35" t="str">
        <f ca="1">OFFSET(Sheet2!O$2,(ROW(N36))*3,0)</f>
        <v>Dirty</v>
      </c>
      <c r="O35" t="str">
        <f ca="1">OFFSET(Sheet2!P$2,(ROW(O36))*3,0)</f>
        <v>Good</v>
      </c>
      <c r="P35" t="str">
        <f ca="1">OFFSET(Sheet2!Q$2,(ROW(P36))*3,0)</f>
        <v>In good Condition</v>
      </c>
      <c r="Q35">
        <f ca="1">OFFSET(Sheet2!R$2,(ROW(Q36))*3,0)</f>
        <v>0</v>
      </c>
      <c r="R35">
        <f ca="1">OFFSET(Sheet2!S$2,(ROW(R36))*3,0)</f>
        <v>0</v>
      </c>
      <c r="S35">
        <f ca="1">OFFSET(Sheet2!T$2,(ROW(S36))*3,0)</f>
        <v>0</v>
      </c>
      <c r="T35">
        <f ca="1">OFFSET(Sheet2!U$2,(ROW(T36))*3,0)</f>
        <v>0</v>
      </c>
      <c r="U35">
        <f ca="1">OFFSET(Sheet2!V$2,(ROW(U36))*3,0)</f>
        <v>0</v>
      </c>
    </row>
    <row r="36" spans="1:21" x14ac:dyDescent="0.35">
      <c r="A36" s="11">
        <f ca="1">OFFSET(Sheet2!B$2,(ROW(A37))*3,0)</f>
        <v>43838</v>
      </c>
      <c r="B36" s="11">
        <f ca="1">OFFSET(Sheet2!A$2,(ROW(A37))*3,0)</f>
        <v>43838</v>
      </c>
      <c r="C36">
        <f ca="1">OFFSET(Sheet2!C$2,(ROW(C37))*3,0)</f>
        <v>6</v>
      </c>
      <c r="D36" t="str">
        <f ca="1">OFFSET(Sheet2!D$2,(ROW(D37))*3,0)</f>
        <v>North</v>
      </c>
      <c r="E36" t="str">
        <f ca="1">OFFSET(Sheet2!F$2,(ROW(E37))*3,0)</f>
        <v>Namasoko Joel</v>
      </c>
      <c r="F36" t="str">
        <f ca="1">OFFSET(Sheet2!G$2,(ROW(F37))*3,0)</f>
        <v>H2Go</v>
      </c>
      <c r="G36">
        <f ca="1">OFFSET(Sheet2!H$2,(ROW(G37))*3,0)</f>
        <v>0</v>
      </c>
      <c r="H36" t="str">
        <f ca="1">OFFSET(Sheet2!I$2,(ROW(H37))*3,0)</f>
        <v>Comprehensive</v>
      </c>
      <c r="I36">
        <f ca="1">OFFSET(Sheet2!J$2,(ROW(I37))*3,0)</f>
        <v>8</v>
      </c>
      <c r="J36" t="str">
        <f ca="1">OFFSET(Sheet2!K$2,(ROW(J37))*3,0)</f>
        <v>Damage Observed</v>
      </c>
      <c r="K36" t="str">
        <f ca="1">OFFSET(Sheet2!L$2,(ROW(K37))*3,0)</f>
        <v>Dirty</v>
      </c>
      <c r="L36" t="str">
        <f ca="1">OFFSET(Sheet2!M$2,(ROW(L37))*3,0)</f>
        <v>Dirty</v>
      </c>
      <c r="M36" t="str">
        <f ca="1">OFFSET(Sheet2!N$2,(ROW(M37))*3,0)</f>
        <v xml:space="preserve">Good </v>
      </c>
      <c r="N36" t="str">
        <f ca="1">OFFSET(Sheet2!O$2,(ROW(N37))*3,0)</f>
        <v xml:space="preserve">Good </v>
      </c>
      <c r="O36" t="str">
        <f ca="1">OFFSET(Sheet2!P$2,(ROW(O37))*3,0)</f>
        <v>Bad conditions</v>
      </c>
      <c r="P36" t="str">
        <f ca="1">OFFSET(Sheet2!Q$2,(ROW(P37))*3,0)</f>
        <v>Still good</v>
      </c>
      <c r="Q36" t="str">
        <f ca="1">OFFSET(Sheet2!R$2,(ROW(Q37))*3,0)</f>
        <v>Mechanically okay</v>
      </c>
      <c r="R36" t="str">
        <f ca="1">OFFSET(Sheet2!S$2,(ROW(R37))*3,0)</f>
        <v>Good conditions</v>
      </c>
      <c r="S36" t="str">
        <f ca="1">OFFSET(Sheet2!T$2,(ROW(S37))*3,0)</f>
        <v>Dusty</v>
      </c>
      <c r="T36">
        <f ca="1">OFFSET(Sheet2!U$2,(ROW(T37))*3,0)</f>
        <v>0</v>
      </c>
      <c r="U36">
        <f ca="1">OFFSET(Sheet2!V$2,(ROW(U37))*3,0)</f>
        <v>0</v>
      </c>
    </row>
    <row r="37" spans="1:21" x14ac:dyDescent="0.35">
      <c r="A37" s="11" t="str">
        <f ca="1">OFFSET(Sheet2!B$2,(ROW(A38))*3,0)</f>
        <v>24/1/2020</v>
      </c>
      <c r="B37" s="11">
        <f ca="1">OFFSET(Sheet2!A$2,(ROW(A38))*3,0)</f>
        <v>43854</v>
      </c>
      <c r="C37">
        <f ca="1">OFFSET(Sheet2!C$2,(ROW(C38))*3,0)</f>
        <v>6</v>
      </c>
      <c r="D37" t="str">
        <f ca="1">OFFSET(Sheet2!D$2,(ROW(D38))*3,0)</f>
        <v>North</v>
      </c>
      <c r="E37" t="str">
        <f ca="1">OFFSET(Sheet2!F$2,(ROW(E38))*3,0)</f>
        <v>Namasoko Joel</v>
      </c>
      <c r="F37" t="str">
        <f ca="1">OFFSET(Sheet2!G$2,(ROW(F38))*3,0)</f>
        <v>H2Go</v>
      </c>
      <c r="G37">
        <f ca="1">OFFSET(Sheet2!H$2,(ROW(G38))*3,0)</f>
        <v>0</v>
      </c>
      <c r="H37" t="str">
        <f ca="1">OFFSET(Sheet2!I$2,(ROW(H38))*3,0)</f>
        <v>weekly</v>
      </c>
      <c r="I37">
        <f ca="1">OFFSET(Sheet2!J$2,(ROW(I38))*3,0)</f>
        <v>53</v>
      </c>
      <c r="J37" t="str">
        <f ca="1">OFFSET(Sheet2!K$2,(ROW(J38))*3,0)</f>
        <v>Damage Observed</v>
      </c>
      <c r="K37" t="str">
        <f ca="1">OFFSET(Sheet2!L$2,(ROW(K38))*3,0)</f>
        <v>dirty</v>
      </c>
      <c r="L37" t="str">
        <f ca="1">OFFSET(Sheet2!M$2,(ROW(L38))*3,0)</f>
        <v xml:space="preserve">Good </v>
      </c>
      <c r="M37" t="str">
        <f ca="1">OFFSET(Sheet2!N$2,(ROW(M38))*3,0)</f>
        <v>Well set no damage</v>
      </c>
      <c r="N37" t="str">
        <f ca="1">OFFSET(Sheet2!O$2,(ROW(N38))*3,0)</f>
        <v>Good</v>
      </c>
      <c r="O37" t="str">
        <f ca="1">OFFSET(Sheet2!P$2,(ROW(O38))*3,0)</f>
        <v>Not  good ,it has some gas</v>
      </c>
      <c r="P37" t="str">
        <f ca="1">OFFSET(Sheet2!Q$2,(ROW(P38))*3,0)</f>
        <v>Good</v>
      </c>
      <c r="Q37">
        <f ca="1">OFFSET(Sheet2!R$2,(ROW(Q38))*3,0)</f>
        <v>0</v>
      </c>
      <c r="R37">
        <f ca="1">OFFSET(Sheet2!S$2,(ROW(R38))*3,0)</f>
        <v>0</v>
      </c>
      <c r="S37">
        <f ca="1">OFFSET(Sheet2!T$2,(ROW(S38))*3,0)</f>
        <v>0</v>
      </c>
      <c r="T37">
        <f ca="1">OFFSET(Sheet2!U$2,(ROW(T38))*3,0)</f>
        <v>0</v>
      </c>
      <c r="U37">
        <f ca="1">OFFSET(Sheet2!V$2,(ROW(U38))*3,0)</f>
        <v>0</v>
      </c>
    </row>
    <row r="38" spans="1:21" x14ac:dyDescent="0.35">
      <c r="A38" s="11">
        <f ca="1">OFFSET(Sheet2!B$2,(ROW(A39))*3,0)</f>
        <v>43868</v>
      </c>
      <c r="B38" s="11">
        <f ca="1">OFFSET(Sheet2!A$2,(ROW(A39))*3,0)</f>
        <v>43868</v>
      </c>
      <c r="C38">
        <f ca="1">OFFSET(Sheet2!C$2,(ROW(C39))*3,0)</f>
        <v>6</v>
      </c>
      <c r="D38" t="str">
        <f ca="1">OFFSET(Sheet2!D$2,(ROW(D39))*3,0)</f>
        <v>North</v>
      </c>
      <c r="E38" t="str">
        <f ca="1">OFFSET(Sheet2!F$2,(ROW(E39))*3,0)</f>
        <v>NAMASOKO JOEL</v>
      </c>
      <c r="F38" t="str">
        <f ca="1">OFFSET(Sheet2!G$2,(ROW(F39))*3,0)</f>
        <v>H2Go</v>
      </c>
      <c r="G38">
        <f ca="1">OFFSET(Sheet2!H$2,(ROW(G39))*3,0)</f>
        <v>0</v>
      </c>
      <c r="H38" t="str">
        <f ca="1">OFFSET(Sheet2!I$2,(ROW(H39))*3,0)</f>
        <v>WEEKLY</v>
      </c>
      <c r="I38">
        <f ca="1">OFFSET(Sheet2!J$2,(ROW(I39))*3,0)</f>
        <v>264</v>
      </c>
      <c r="J38" t="str">
        <f ca="1">OFFSET(Sheet2!K$2,(ROW(J39))*3,0)</f>
        <v>Damage Observed</v>
      </c>
      <c r="K38" t="str">
        <f ca="1">OFFSET(Sheet2!L$2,(ROW(K39))*3,0)</f>
        <v>Dirty(dark) wih some particles</v>
      </c>
      <c r="L38" t="str">
        <f ca="1">OFFSET(Sheet2!M$2,(ROW(L39))*3,0)</f>
        <v>Damage observation</v>
      </c>
      <c r="M38" t="str">
        <f ca="1">OFFSET(Sheet2!N$2,(ROW(M39))*3,0)</f>
        <v>In normal conditions</v>
      </c>
      <c r="N38" t="str">
        <f ca="1">OFFSET(Sheet2!O$2,(ROW(N39))*3,0)</f>
        <v>Dirty</v>
      </c>
      <c r="O38" t="str">
        <f ca="1">OFFSET(Sheet2!P$2,(ROW(O39))*3,0)</f>
        <v>Normal condition</v>
      </c>
      <c r="P38" t="str">
        <f ca="1">OFFSET(Sheet2!Q$2,(ROW(P39))*3,0)</f>
        <v>No wearing</v>
      </c>
      <c r="Q38" t="str">
        <f ca="1">OFFSET(Sheet2!R$2,(ROW(Q39))*3,0)</f>
        <v>It is good</v>
      </c>
      <c r="R38" t="str">
        <f ca="1">OFFSET(Sheet2!S$2,(ROW(R39))*3,0)</f>
        <v>It is okay</v>
      </c>
      <c r="S38" t="str">
        <f ca="1">OFFSET(Sheet2!T$2,(ROW(S39))*3,0)</f>
        <v>It is good</v>
      </c>
      <c r="T38">
        <f ca="1">OFFSET(Sheet2!U$2,(ROW(T39))*3,0)</f>
        <v>0</v>
      </c>
      <c r="U38">
        <f ca="1">OFFSET(Sheet2!V$2,(ROW(U39))*3,0)</f>
        <v>0</v>
      </c>
    </row>
    <row r="39" spans="1:21" x14ac:dyDescent="0.35">
      <c r="A39" s="11">
        <f ca="1">OFFSET(Sheet2!B$2,(ROW(A40))*3,0)</f>
        <v>43877</v>
      </c>
      <c r="B39" s="11">
        <f ca="1">OFFSET(Sheet2!A$2,(ROW(A40))*3,0)</f>
        <v>43877</v>
      </c>
      <c r="C39">
        <f ca="1">OFFSET(Sheet2!C$2,(ROW(C40))*3,0)</f>
        <v>6</v>
      </c>
      <c r="D39" t="str">
        <f ca="1">OFFSET(Sheet2!D$2,(ROW(D40))*3,0)</f>
        <v>North</v>
      </c>
      <c r="E39" t="str">
        <f ca="1">OFFSET(Sheet2!F$2,(ROW(E40))*3,0)</f>
        <v>NAMASOKO JOEL</v>
      </c>
      <c r="F39" t="str">
        <f ca="1">OFFSET(Sheet2!G$2,(ROW(F40))*3,0)</f>
        <v>H2Go</v>
      </c>
      <c r="G39">
        <f ca="1">OFFSET(Sheet2!H$2,(ROW(G40))*3,0)</f>
        <v>0</v>
      </c>
      <c r="H39" t="str">
        <f ca="1">OFFSET(Sheet2!I$2,(ROW(H40))*3,0)</f>
        <v>WEEKLY</v>
      </c>
      <c r="I39">
        <f ca="1">OFFSET(Sheet2!J$2,(ROW(I40))*3,0)</f>
        <v>300</v>
      </c>
      <c r="J39" t="str">
        <f ca="1">OFFSET(Sheet2!K$2,(ROW(J40))*3,0)</f>
        <v>Damage Observed</v>
      </c>
      <c r="K39" t="str">
        <f ca="1">OFFSET(Sheet2!L$2,(ROW(K40))*3,0)</f>
        <v>Okay</v>
      </c>
      <c r="L39" t="str">
        <f ca="1">OFFSET(Sheet2!M$2,(ROW(L40))*3,0)</f>
        <v>Okay</v>
      </c>
      <c r="M39" t="str">
        <f ca="1">OFFSET(Sheet2!N$2,(ROW(M40))*3,0)</f>
        <v>Good</v>
      </c>
      <c r="N39" t="str">
        <f ca="1">OFFSET(Sheet2!O$2,(ROW(N40))*3,0)</f>
        <v>Dirty</v>
      </c>
      <c r="O39" t="str">
        <f ca="1">OFFSET(Sheet2!P$2,(ROW(O40))*3,0)</f>
        <v>Good</v>
      </c>
      <c r="P39" t="str">
        <f ca="1">OFFSET(Sheet2!Q$2,(ROW(P40))*3,0)</f>
        <v>Nut and washer showing wear</v>
      </c>
      <c r="Q39">
        <f ca="1">OFFSET(Sheet2!R$2,(ROW(Q40))*3,0)</f>
        <v>0</v>
      </c>
      <c r="R39">
        <f ca="1">OFFSET(Sheet2!S$2,(ROW(R40))*3,0)</f>
        <v>0</v>
      </c>
      <c r="S39">
        <f ca="1">OFFSET(Sheet2!T$2,(ROW(S40))*3,0)</f>
        <v>0</v>
      </c>
      <c r="T39">
        <f ca="1">OFFSET(Sheet2!U$2,(ROW(T40))*3,0)</f>
        <v>0</v>
      </c>
      <c r="U39">
        <f ca="1">OFFSET(Sheet2!V$2,(ROW(U40))*3,0)</f>
        <v>0</v>
      </c>
    </row>
    <row r="40" spans="1:21" x14ac:dyDescent="0.35">
      <c r="A40" s="11">
        <f ca="1">OFFSET(Sheet2!B$2,(ROW(A41))*3,0)</f>
        <v>43884</v>
      </c>
      <c r="B40" s="11">
        <f ca="1">OFFSET(Sheet2!A$2,(ROW(A41))*3,0)</f>
        <v>43884</v>
      </c>
      <c r="C40">
        <f ca="1">OFFSET(Sheet2!C$2,(ROW(C41))*3,0)</f>
        <v>6</v>
      </c>
      <c r="D40" t="str">
        <f ca="1">OFFSET(Sheet2!D$2,(ROW(D41))*3,0)</f>
        <v>North</v>
      </c>
      <c r="E40" t="str">
        <f ca="1">OFFSET(Sheet2!F$2,(ROW(E41))*3,0)</f>
        <v>Namasoko Joel</v>
      </c>
      <c r="F40" t="str">
        <f ca="1">OFFSET(Sheet2!G$2,(ROW(F41))*3,0)</f>
        <v>H2Go</v>
      </c>
      <c r="G40">
        <f ca="1">OFFSET(Sheet2!H$2,(ROW(G41))*3,0)</f>
        <v>0</v>
      </c>
      <c r="H40" t="str">
        <f ca="1">OFFSET(Sheet2!I$2,(ROW(H41))*3,0)</f>
        <v>WEEKLY</v>
      </c>
      <c r="I40">
        <f ca="1">OFFSET(Sheet2!J$2,(ROW(I41))*3,0)</f>
        <v>241</v>
      </c>
      <c r="J40" t="str">
        <f ca="1">OFFSET(Sheet2!K$2,(ROW(J41))*3,0)</f>
        <v>Damage Observed</v>
      </c>
      <c r="K40" t="str">
        <f ca="1">OFFSET(Sheet2!L$2,(ROW(K41))*3,0)</f>
        <v>Dirty</v>
      </c>
      <c r="L40" t="str">
        <f ca="1">OFFSET(Sheet2!M$2,(ROW(L41))*3,0)</f>
        <v>Dirty</v>
      </c>
      <c r="M40" t="str">
        <f ca="1">OFFSET(Sheet2!N$2,(ROW(M41))*3,0)</f>
        <v>Good</v>
      </c>
      <c r="N40" t="str">
        <f ca="1">OFFSET(Sheet2!O$2,(ROW(N41))*3,0)</f>
        <v>Very Dirty</v>
      </c>
      <c r="O40" t="str">
        <f ca="1">OFFSET(Sheet2!P$2,(ROW(O41))*3,0)</f>
        <v>Good</v>
      </c>
      <c r="P40" t="str">
        <f ca="1">OFFSET(Sheet2!Q$2,(ROW(P41))*3,0)</f>
        <v>In good Condition</v>
      </c>
      <c r="Q40">
        <f ca="1">OFFSET(Sheet2!R$2,(ROW(Q41))*3,0)</f>
        <v>0</v>
      </c>
      <c r="R40">
        <f ca="1">OFFSET(Sheet2!S$2,(ROW(R41))*3,0)</f>
        <v>0</v>
      </c>
      <c r="S40">
        <f ca="1">OFFSET(Sheet2!T$2,(ROW(S41))*3,0)</f>
        <v>0</v>
      </c>
      <c r="T40">
        <f ca="1">OFFSET(Sheet2!U$2,(ROW(T41))*3,0)</f>
        <v>0</v>
      </c>
      <c r="U40">
        <f ca="1">OFFSET(Sheet2!V$2,(ROW(U41))*3,0)</f>
        <v>0</v>
      </c>
    </row>
    <row r="41" spans="1:21" x14ac:dyDescent="0.35">
      <c r="A41" s="11">
        <f ca="1">OFFSET(Sheet2!B$2,(ROW(A42))*3,0)</f>
        <v>43894</v>
      </c>
      <c r="B41" s="11">
        <f ca="1">OFFSET(Sheet2!A$2,(ROW(A42))*3,0)</f>
        <v>43894</v>
      </c>
      <c r="C41">
        <f ca="1">OFFSET(Sheet2!C$2,(ROW(C42))*3,0)</f>
        <v>6</v>
      </c>
      <c r="D41" t="str">
        <f ca="1">OFFSET(Sheet2!D$2,(ROW(D42))*3,0)</f>
        <v>North</v>
      </c>
      <c r="E41" t="str">
        <f ca="1">OFFSET(Sheet2!F$2,(ROW(E42))*3,0)</f>
        <v>Namasoko Joel</v>
      </c>
      <c r="F41" t="str">
        <f ca="1">OFFSET(Sheet2!G$2,(ROW(F42))*3,0)</f>
        <v>H2GO</v>
      </c>
      <c r="G41">
        <f ca="1">OFFSET(Sheet2!H$2,(ROW(G42))*3,0)</f>
        <v>0</v>
      </c>
      <c r="H41" t="str">
        <f ca="1">OFFSET(Sheet2!I$2,(ROW(H42))*3,0)</f>
        <v>WEEKLY</v>
      </c>
      <c r="I41">
        <f ca="1">OFFSET(Sheet2!J$2,(ROW(I42))*3,0)</f>
        <v>247</v>
      </c>
      <c r="J41" t="str">
        <f ca="1">OFFSET(Sheet2!K$2,(ROW(J42))*3,0)</f>
        <v>Damage Observed</v>
      </c>
      <c r="K41" t="str">
        <f ca="1">OFFSET(Sheet2!L$2,(ROW(K42))*3,0)</f>
        <v>Very Dirty</v>
      </c>
      <c r="L41" t="str">
        <f ca="1">OFFSET(Sheet2!M$2,(ROW(L42))*3,0)</f>
        <v>Okay</v>
      </c>
      <c r="M41" t="str">
        <f ca="1">OFFSET(Sheet2!N$2,(ROW(M42))*3,0)</f>
        <v>Good</v>
      </c>
      <c r="N41" t="str">
        <f ca="1">OFFSET(Sheet2!O$2,(ROW(N42))*3,0)</f>
        <v>Dirty</v>
      </c>
      <c r="O41" t="str">
        <f ca="1">OFFSET(Sheet2!P$2,(ROW(O42))*3,0)</f>
        <v>Good</v>
      </c>
      <c r="P41" t="str">
        <f ca="1">OFFSET(Sheet2!Q$2,(ROW(P42))*3,0)</f>
        <v>In good Condition</v>
      </c>
      <c r="Q41">
        <f ca="1">OFFSET(Sheet2!R$2,(ROW(Q42))*3,0)</f>
        <v>0</v>
      </c>
      <c r="R41">
        <f ca="1">OFFSET(Sheet2!S$2,(ROW(R42))*3,0)</f>
        <v>0</v>
      </c>
      <c r="S41">
        <f ca="1">OFFSET(Sheet2!T$2,(ROW(S42))*3,0)</f>
        <v>0</v>
      </c>
      <c r="T41">
        <f ca="1">OFFSET(Sheet2!U$2,(ROW(T42))*3,0)</f>
        <v>0</v>
      </c>
      <c r="U41">
        <f ca="1">OFFSET(Sheet2!V$2,(ROW(U42))*3,0)</f>
        <v>0</v>
      </c>
    </row>
    <row r="42" spans="1:21" x14ac:dyDescent="0.35">
      <c r="A42" s="11">
        <f ca="1">OFFSET(Sheet2!B$2,(ROW(A43))*3,0)</f>
        <v>43899</v>
      </c>
      <c r="B42" s="11">
        <f ca="1">OFFSET(Sheet2!A$2,(ROW(A43))*3,0)</f>
        <v>43899</v>
      </c>
      <c r="C42">
        <f ca="1">OFFSET(Sheet2!C$2,(ROW(C43))*3,0)</f>
        <v>6</v>
      </c>
      <c r="D42" t="str">
        <f ca="1">OFFSET(Sheet2!D$2,(ROW(D43))*3,0)</f>
        <v>North</v>
      </c>
      <c r="E42" t="str">
        <f ca="1">OFFSET(Sheet2!F$2,(ROW(E43))*3,0)</f>
        <v>Namasoko Joel</v>
      </c>
      <c r="F42" t="str">
        <f ca="1">OFFSET(Sheet2!G$2,(ROW(F43))*3,0)</f>
        <v>H2Go</v>
      </c>
      <c r="G42">
        <f ca="1">OFFSET(Sheet2!H$2,(ROW(G43))*3,0)</f>
        <v>0</v>
      </c>
      <c r="H42" t="str">
        <f ca="1">OFFSET(Sheet2!I$2,(ROW(H43))*3,0)</f>
        <v>WEEKLY</v>
      </c>
      <c r="I42">
        <f ca="1">OFFSET(Sheet2!J$2,(ROW(I43))*3,0)</f>
        <v>206</v>
      </c>
      <c r="J42" t="str">
        <f ca="1">OFFSET(Sheet2!K$2,(ROW(J43))*3,0)</f>
        <v>Damage Observed</v>
      </c>
      <c r="K42" t="str">
        <f ca="1">OFFSET(Sheet2!L$2,(ROW(K43))*3,0)</f>
        <v>Dirty</v>
      </c>
      <c r="L42" t="str">
        <f ca="1">OFFSET(Sheet2!M$2,(ROW(L43))*3,0)</f>
        <v>Okay</v>
      </c>
      <c r="M42" t="str">
        <f ca="1">OFFSET(Sheet2!N$2,(ROW(M43))*3,0)</f>
        <v>Good</v>
      </c>
      <c r="N42" t="str">
        <f ca="1">OFFSET(Sheet2!O$2,(ROW(N43))*3,0)</f>
        <v>Clean</v>
      </c>
      <c r="O42" t="str">
        <f ca="1">OFFSET(Sheet2!P$2,(ROW(O43))*3,0)</f>
        <v>Good</v>
      </c>
      <c r="P42" t="str">
        <f ca="1">OFFSET(Sheet2!Q$2,(ROW(P43))*3,0)</f>
        <v>In good Condition</v>
      </c>
      <c r="Q42">
        <f ca="1">OFFSET(Sheet2!R$2,(ROW(Q43))*3,0)</f>
        <v>0</v>
      </c>
      <c r="R42">
        <f ca="1">OFFSET(Sheet2!S$2,(ROW(R43))*3,0)</f>
        <v>0</v>
      </c>
      <c r="S42">
        <f ca="1">OFFSET(Sheet2!T$2,(ROW(S43))*3,0)</f>
        <v>0</v>
      </c>
      <c r="T42">
        <f ca="1">OFFSET(Sheet2!U$2,(ROW(T43))*3,0)</f>
        <v>0</v>
      </c>
      <c r="U42">
        <f ca="1">OFFSET(Sheet2!V$2,(ROW(U43))*3,0)</f>
        <v>0</v>
      </c>
    </row>
    <row r="43" spans="1:21" x14ac:dyDescent="0.35">
      <c r="A43" s="11">
        <f ca="1">OFFSET(Sheet2!B$2,(ROW(A44))*3,0)</f>
        <v>43838</v>
      </c>
      <c r="B43" s="11">
        <f ca="1">OFFSET(Sheet2!A$2,(ROW(A44))*3,0)</f>
        <v>43838</v>
      </c>
      <c r="C43">
        <f ca="1">OFFSET(Sheet2!C$2,(ROW(C44))*3,0)</f>
        <v>7</v>
      </c>
      <c r="D43" t="str">
        <f ca="1">OFFSET(Sheet2!D$2,(ROW(D44))*3,0)</f>
        <v>North</v>
      </c>
      <c r="E43" t="str">
        <f ca="1">OFFSET(Sheet2!F$2,(ROW(E44))*3,0)</f>
        <v>Semei Mark</v>
      </c>
      <c r="F43" t="str">
        <f ca="1">OFFSET(Sheet2!G$2,(ROW(F44))*3,0)</f>
        <v>H2Go</v>
      </c>
      <c r="G43">
        <f ca="1">OFFSET(Sheet2!H$2,(ROW(G44))*3,0)</f>
        <v>0</v>
      </c>
      <c r="H43" t="str">
        <f ca="1">OFFSET(Sheet2!I$2,(ROW(H44))*3,0)</f>
        <v>Comprehensive</v>
      </c>
      <c r="I43">
        <f ca="1">OFFSET(Sheet2!J$2,(ROW(I44))*3,0)</f>
        <v>3</v>
      </c>
      <c r="J43" t="str">
        <f ca="1">OFFSET(Sheet2!K$2,(ROW(J44))*3,0)</f>
        <v>Damage Observed</v>
      </c>
      <c r="K43" t="str">
        <f ca="1">OFFSET(Sheet2!L$2,(ROW(K44))*3,0)</f>
        <v>Very dirty</v>
      </c>
      <c r="L43" t="str">
        <f ca="1">OFFSET(Sheet2!M$2,(ROW(L44))*3,0)</f>
        <v>Very dirty</v>
      </c>
      <c r="M43" t="str">
        <f ca="1">OFFSET(Sheet2!N$2,(ROW(M44))*3,0)</f>
        <v>They are fine</v>
      </c>
      <c r="N43" t="str">
        <f ca="1">OFFSET(Sheet2!O$2,(ROW(N44))*3,0)</f>
        <v>It’s okay</v>
      </c>
      <c r="O43" t="str">
        <f ca="1">OFFSET(Sheet2!P$2,(ROW(O44))*3,0)</f>
        <v>Its spoilt</v>
      </c>
      <c r="P43" t="str">
        <f ca="1">OFFSET(Sheet2!Q$2,(ROW(P44))*3,0)</f>
        <v>Very dry and old</v>
      </c>
      <c r="Q43" t="str">
        <f ca="1">OFFSET(Sheet2!R$2,(ROW(Q44))*3,0)</f>
        <v>Damaged</v>
      </c>
      <c r="R43" t="str">
        <f ca="1">OFFSET(Sheet2!S$2,(ROW(R44))*3,0)</f>
        <v xml:space="preserve">Does not receive oil </v>
      </c>
      <c r="S43" t="str">
        <f ca="1">OFFSET(Sheet2!T$2,(ROW(S44))*3,0)</f>
        <v>Damaged</v>
      </c>
      <c r="T43">
        <f ca="1">OFFSET(Sheet2!U$2,(ROW(T44))*3,0)</f>
        <v>0</v>
      </c>
      <c r="U43">
        <f ca="1">OFFSET(Sheet2!V$2,(ROW(U44))*3,0)</f>
        <v>0</v>
      </c>
    </row>
    <row r="44" spans="1:21" x14ac:dyDescent="0.35">
      <c r="A44" s="11">
        <f ca="1">OFFSET(Sheet2!B$2,(ROW(A45))*3,0)</f>
        <v>43840</v>
      </c>
      <c r="B44" s="11">
        <f ca="1">OFFSET(Sheet2!A$2,(ROW(A45))*3,0)</f>
        <v>43840</v>
      </c>
      <c r="C44">
        <f ca="1">OFFSET(Sheet2!C$2,(ROW(C45))*3,0)</f>
        <v>8</v>
      </c>
      <c r="D44" t="str">
        <f ca="1">OFFSET(Sheet2!D$2,(ROW(D45))*3,0)</f>
        <v>North</v>
      </c>
      <c r="E44" t="str">
        <f ca="1">OFFSET(Sheet2!F$2,(ROW(E45))*3,0)</f>
        <v>Mugoya William</v>
      </c>
      <c r="F44" t="str">
        <f ca="1">OFFSET(Sheet2!G$2,(ROW(F45))*3,0)</f>
        <v>H2Go</v>
      </c>
      <c r="G44">
        <f ca="1">OFFSET(Sheet2!H$2,(ROW(G45))*3,0)</f>
        <v>0</v>
      </c>
      <c r="H44" t="str">
        <f ca="1">OFFSET(Sheet2!I$2,(ROW(H45))*3,0)</f>
        <v>Comprehensive</v>
      </c>
      <c r="I44">
        <f ca="1">OFFSET(Sheet2!J$2,(ROW(I45))*3,0)</f>
        <v>21</v>
      </c>
      <c r="J44" t="str">
        <f ca="1">OFFSET(Sheet2!K$2,(ROW(J45))*3,0)</f>
        <v>Damage Observed</v>
      </c>
      <c r="K44" t="str">
        <f ca="1">OFFSET(Sheet2!L$2,(ROW(K45))*3,0)</f>
        <v>Dirty</v>
      </c>
      <c r="L44" t="str">
        <f ca="1">OFFSET(Sheet2!M$2,(ROW(L45))*3,0)</f>
        <v>Very dirty</v>
      </c>
      <c r="M44" t="str">
        <f ca="1">OFFSET(Sheet2!N$2,(ROW(M45))*3,0)</f>
        <v>misalignment</v>
      </c>
      <c r="N44" t="str">
        <f ca="1">OFFSET(Sheet2!O$2,(ROW(N45))*3,0)</f>
        <v>Very dirty</v>
      </c>
      <c r="O44" t="str">
        <f ca="1">OFFSET(Sheet2!P$2,(ROW(O45))*3,0)</f>
        <v>Its old</v>
      </c>
      <c r="P44" t="str">
        <f ca="1">OFFSET(Sheet2!Q$2,(ROW(P45))*3,0)</f>
        <v>Damaged</v>
      </c>
      <c r="Q44" t="str">
        <f ca="1">OFFSET(Sheet2!R$2,(ROW(Q45))*3,0)</f>
        <v>Has defect</v>
      </c>
      <c r="R44" t="str">
        <f ca="1">OFFSET(Sheet2!S$2,(ROW(R45))*3,0)</f>
        <v>No damage  observed</v>
      </c>
      <c r="S44" t="str">
        <f ca="1">OFFSET(Sheet2!T$2,(ROW(S45))*3,0)</f>
        <v>Very dirty</v>
      </c>
      <c r="T44">
        <f ca="1">OFFSET(Sheet2!U$2,(ROW(T45))*3,0)</f>
        <v>0</v>
      </c>
      <c r="U44">
        <f ca="1">OFFSET(Sheet2!V$2,(ROW(U45))*3,0)</f>
        <v>0</v>
      </c>
    </row>
    <row r="45" spans="1:21" x14ac:dyDescent="0.35">
      <c r="A45" s="11" t="str">
        <f ca="1">OFFSET(Sheet2!B$2,(ROW(A46))*3,0)</f>
        <v>23/1/2020</v>
      </c>
      <c r="B45" s="11">
        <f ca="1">OFFSET(Sheet2!A$2,(ROW(A46))*3,0)</f>
        <v>43853</v>
      </c>
      <c r="C45">
        <f ca="1">OFFSET(Sheet2!C$2,(ROW(C46))*3,0)</f>
        <v>10</v>
      </c>
      <c r="D45" t="str">
        <f ca="1">OFFSET(Sheet2!D$2,(ROW(D46))*3,0)</f>
        <v>North</v>
      </c>
      <c r="E45" t="str">
        <f ca="1">OFFSET(Sheet2!F$2,(ROW(E46))*3,0)</f>
        <v>Mugoya Ivan</v>
      </c>
      <c r="F45" t="str">
        <f ca="1">OFFSET(Sheet2!G$2,(ROW(F46))*3,0)</f>
        <v>H2Go</v>
      </c>
      <c r="G45">
        <f ca="1">OFFSET(Sheet2!H$2,(ROW(G46))*3,0)</f>
        <v>0</v>
      </c>
      <c r="H45" t="str">
        <f ca="1">OFFSET(Sheet2!I$2,(ROW(H46))*3,0)</f>
        <v>Comprehensive</v>
      </c>
      <c r="I45">
        <f ca="1">OFFSET(Sheet2!J$2,(ROW(I46))*3,0)</f>
        <v>14</v>
      </c>
      <c r="J45" t="str">
        <f ca="1">OFFSET(Sheet2!K$2,(ROW(J46))*3,0)</f>
        <v>Damage Observed</v>
      </c>
      <c r="K45" t="str">
        <f ca="1">OFFSET(Sheet2!L$2,(ROW(K46))*3,0)</f>
        <v>Very dirty</v>
      </c>
      <c r="L45" t="str">
        <f ca="1">OFFSET(Sheet2!M$2,(ROW(L46))*3,0)</f>
        <v>Had some over flow</v>
      </c>
      <c r="M45" t="str">
        <f ca="1">OFFSET(Sheet2!N$2,(ROW(M46))*3,0)</f>
        <v>In good conditions</v>
      </c>
      <c r="N45" t="str">
        <f ca="1">OFFSET(Sheet2!O$2,(ROW(N46))*3,0)</f>
        <v>Good but with some dust</v>
      </c>
      <c r="O45" t="str">
        <f ca="1">OFFSET(Sheet2!P$2,(ROW(O46))*3,0)</f>
        <v>Still functioning well</v>
      </c>
      <c r="P45" t="str">
        <f ca="1">OFFSET(Sheet2!Q$2,(ROW(P46))*3,0)</f>
        <v>Still okay but the nut needs replacement very soon</v>
      </c>
      <c r="Q45" t="str">
        <f ca="1">OFFSET(Sheet2!R$2,(ROW(Q46))*3,0)</f>
        <v>Piston rings are warning</v>
      </c>
      <c r="R45" t="str">
        <f ca="1">OFFSET(Sheet2!S$2,(ROW(R46))*3,0)</f>
        <v>Good looking</v>
      </c>
      <c r="S45" t="str">
        <f ca="1">OFFSET(Sheet2!T$2,(ROW(S46))*3,0)</f>
        <v>Still functioning well and good looking</v>
      </c>
      <c r="T45">
        <f ca="1">OFFSET(Sheet2!U$2,(ROW(T46))*3,0)</f>
        <v>0</v>
      </c>
      <c r="U45">
        <f ca="1">OFFSET(Sheet2!V$2,(ROW(U46))*3,0)</f>
        <v>0</v>
      </c>
    </row>
    <row r="46" spans="1:21" x14ac:dyDescent="0.35">
      <c r="A46" s="11">
        <f ca="1">OFFSET(Sheet2!B$2,(ROW(A47))*3,0)</f>
        <v>43868</v>
      </c>
      <c r="B46" s="11">
        <f ca="1">OFFSET(Sheet2!A$2,(ROW(A47))*3,0)</f>
        <v>43868</v>
      </c>
      <c r="C46">
        <f ca="1">OFFSET(Sheet2!C$2,(ROW(C47))*3,0)</f>
        <v>10</v>
      </c>
      <c r="D46" t="str">
        <f ca="1">OFFSET(Sheet2!D$2,(ROW(D47))*3,0)</f>
        <v>North</v>
      </c>
      <c r="E46" t="str">
        <f ca="1">OFFSET(Sheet2!F$2,(ROW(E47))*3,0)</f>
        <v>Mugoya Ivan</v>
      </c>
      <c r="F46" t="str">
        <f ca="1">OFFSET(Sheet2!G$2,(ROW(F47))*3,0)</f>
        <v>H2Go</v>
      </c>
      <c r="G46">
        <f ca="1">OFFSET(Sheet2!H$2,(ROW(G47))*3,0)</f>
        <v>0</v>
      </c>
      <c r="H46" t="str">
        <f ca="1">OFFSET(Sheet2!I$2,(ROW(H47))*3,0)</f>
        <v>WEEKLY</v>
      </c>
      <c r="I46">
        <f ca="1">OFFSET(Sheet2!J$2,(ROW(I47))*3,0)</f>
        <v>284</v>
      </c>
      <c r="J46" t="str">
        <f ca="1">OFFSET(Sheet2!K$2,(ROW(J47))*3,0)</f>
        <v>Damage Observed</v>
      </c>
      <c r="K46" t="str">
        <f ca="1">OFFSET(Sheet2!L$2,(ROW(K47))*3,0)</f>
        <v>Dirty with some particles</v>
      </c>
      <c r="L46" t="str">
        <f ca="1">OFFSET(Sheet2!M$2,(ROW(L47))*3,0)</f>
        <v>No damage observed</v>
      </c>
      <c r="M46" t="str">
        <f ca="1">OFFSET(Sheet2!N$2,(ROW(M47))*3,0)</f>
        <v>Functioning well</v>
      </c>
      <c r="N46" t="str">
        <f ca="1">OFFSET(Sheet2!O$2,(ROW(N47))*3,0)</f>
        <v>In good status</v>
      </c>
      <c r="O46" t="str">
        <f ca="1">OFFSET(Sheet2!P$2,(ROW(O47))*3,0)</f>
        <v>Working well</v>
      </c>
      <c r="P46" t="str">
        <f ca="1">OFFSET(Sheet2!Q$2,(ROW(P47))*3,0)</f>
        <v>No wear observed</v>
      </c>
      <c r="Q46" t="str">
        <f ca="1">OFFSET(Sheet2!R$2,(ROW(Q47))*3,0)</f>
        <v>Damaged</v>
      </c>
      <c r="R46" t="str">
        <f ca="1">OFFSET(Sheet2!S$2,(ROW(R47))*3,0)</f>
        <v>It is okay</v>
      </c>
      <c r="S46" t="str">
        <f ca="1">OFFSET(Sheet2!T$2,(ROW(S47))*3,0)</f>
        <v>It is okay</v>
      </c>
      <c r="T46">
        <f ca="1">OFFSET(Sheet2!U$2,(ROW(T47))*3,0)</f>
        <v>0</v>
      </c>
      <c r="U46">
        <f ca="1">OFFSET(Sheet2!V$2,(ROW(U47))*3,0)</f>
        <v>0</v>
      </c>
    </row>
    <row r="47" spans="1:21" x14ac:dyDescent="0.35">
      <c r="A47" s="11">
        <f ca="1">OFFSET(Sheet2!B$2,(ROW(A48))*3,0)</f>
        <v>43877</v>
      </c>
      <c r="B47" s="11">
        <f ca="1">OFFSET(Sheet2!A$2,(ROW(A48))*3,0)</f>
        <v>43877</v>
      </c>
      <c r="C47">
        <f ca="1">OFFSET(Sheet2!C$2,(ROW(C48))*3,0)</f>
        <v>10</v>
      </c>
      <c r="D47" t="str">
        <f ca="1">OFFSET(Sheet2!D$2,(ROW(D48))*3,0)</f>
        <v>North</v>
      </c>
      <c r="E47" t="str">
        <f ca="1">OFFSET(Sheet2!F$2,(ROW(E48))*3,0)</f>
        <v>Mugoya Ivan</v>
      </c>
      <c r="F47" t="str">
        <f ca="1">OFFSET(Sheet2!G$2,(ROW(F48))*3,0)</f>
        <v>H2Go</v>
      </c>
      <c r="G47">
        <f ca="1">OFFSET(Sheet2!H$2,(ROW(G48))*3,0)</f>
        <v>0</v>
      </c>
      <c r="H47" t="str">
        <f ca="1">OFFSET(Sheet2!I$2,(ROW(H48))*3,0)</f>
        <v>WEEKLY</v>
      </c>
      <c r="I47">
        <f ca="1">OFFSET(Sheet2!J$2,(ROW(I48))*3,0)</f>
        <v>298</v>
      </c>
      <c r="J47" t="str">
        <f ca="1">OFFSET(Sheet2!K$2,(ROW(J48))*3,0)</f>
        <v>Damage Observed</v>
      </c>
      <c r="K47" t="str">
        <f ca="1">OFFSET(Sheet2!L$2,(ROW(K48))*3,0)</f>
        <v>Very Dirty</v>
      </c>
      <c r="L47" t="str">
        <f ca="1">OFFSET(Sheet2!M$2,(ROW(L48))*3,0)</f>
        <v>Dirty</v>
      </c>
      <c r="M47" t="str">
        <f ca="1">OFFSET(Sheet2!N$2,(ROW(M48))*3,0)</f>
        <v>Good</v>
      </c>
      <c r="N47" t="str">
        <f ca="1">OFFSET(Sheet2!O$2,(ROW(N48))*3,0)</f>
        <v>Dirty</v>
      </c>
      <c r="O47" t="str">
        <f ca="1">OFFSET(Sheet2!P$2,(ROW(O48))*3,0)</f>
        <v>Good</v>
      </c>
      <c r="P47" t="str">
        <f ca="1">OFFSET(Sheet2!Q$2,(ROW(P48))*3,0)</f>
        <v>Nut and washer showing wear</v>
      </c>
      <c r="Q47">
        <f ca="1">OFFSET(Sheet2!R$2,(ROW(Q48))*3,0)</f>
        <v>0</v>
      </c>
      <c r="R47">
        <f ca="1">OFFSET(Sheet2!S$2,(ROW(R48))*3,0)</f>
        <v>0</v>
      </c>
      <c r="S47">
        <f ca="1">OFFSET(Sheet2!T$2,(ROW(S48))*3,0)</f>
        <v>0</v>
      </c>
      <c r="T47">
        <f ca="1">OFFSET(Sheet2!U$2,(ROW(T48))*3,0)</f>
        <v>0</v>
      </c>
      <c r="U47">
        <f ca="1">OFFSET(Sheet2!V$2,(ROW(U48))*3,0)</f>
        <v>0</v>
      </c>
    </row>
    <row r="48" spans="1:21" x14ac:dyDescent="0.35">
      <c r="A48" s="11">
        <f ca="1">OFFSET(Sheet2!B$2,(ROW(A49))*3,0)</f>
        <v>43884</v>
      </c>
      <c r="B48" s="11">
        <f ca="1">OFFSET(Sheet2!A$2,(ROW(A49))*3,0)</f>
        <v>43884</v>
      </c>
      <c r="C48">
        <f ca="1">OFFSET(Sheet2!C$2,(ROW(C49))*3,0)</f>
        <v>10</v>
      </c>
      <c r="D48" t="str">
        <f ca="1">OFFSET(Sheet2!D$2,(ROW(D49))*3,0)</f>
        <v>North</v>
      </c>
      <c r="E48" t="str">
        <f ca="1">OFFSET(Sheet2!F$2,(ROW(E49))*3,0)</f>
        <v>Mugoya Ivan</v>
      </c>
      <c r="F48" t="str">
        <f ca="1">OFFSET(Sheet2!G$2,(ROW(F49))*3,0)</f>
        <v>H2Go</v>
      </c>
      <c r="G48">
        <f ca="1">OFFSET(Sheet2!H$2,(ROW(G49))*3,0)</f>
        <v>0</v>
      </c>
      <c r="H48" t="str">
        <f ca="1">OFFSET(Sheet2!I$2,(ROW(H49))*3,0)</f>
        <v>WEEKLY</v>
      </c>
      <c r="I48">
        <f ca="1">OFFSET(Sheet2!J$2,(ROW(I49))*3,0)</f>
        <v>226</v>
      </c>
      <c r="J48" t="str">
        <f ca="1">OFFSET(Sheet2!K$2,(ROW(J49))*3,0)</f>
        <v>Damage Observed</v>
      </c>
      <c r="K48" t="str">
        <f ca="1">OFFSET(Sheet2!L$2,(ROW(K49))*3,0)</f>
        <v>Dirty</v>
      </c>
      <c r="L48" t="str">
        <f ca="1">OFFSET(Sheet2!M$2,(ROW(L49))*3,0)</f>
        <v>Dirty</v>
      </c>
      <c r="M48" t="str">
        <f ca="1">OFFSET(Sheet2!N$2,(ROW(M49))*3,0)</f>
        <v>Good</v>
      </c>
      <c r="N48" t="str">
        <f ca="1">OFFSET(Sheet2!O$2,(ROW(N49))*3,0)</f>
        <v>Dirty</v>
      </c>
      <c r="O48" t="str">
        <f ca="1">OFFSET(Sheet2!P$2,(ROW(O49))*3,0)</f>
        <v>Good</v>
      </c>
      <c r="P48" t="str">
        <f ca="1">OFFSET(Sheet2!Q$2,(ROW(P49))*3,0)</f>
        <v>In good Condition</v>
      </c>
      <c r="Q48">
        <f ca="1">OFFSET(Sheet2!R$2,(ROW(Q49))*3,0)</f>
        <v>0</v>
      </c>
      <c r="R48">
        <f ca="1">OFFSET(Sheet2!S$2,(ROW(R49))*3,0)</f>
        <v>0</v>
      </c>
      <c r="S48">
        <f ca="1">OFFSET(Sheet2!T$2,(ROW(S49))*3,0)</f>
        <v>0</v>
      </c>
      <c r="T48">
        <f ca="1">OFFSET(Sheet2!U$2,(ROW(T49))*3,0)</f>
        <v>0</v>
      </c>
      <c r="U48">
        <f ca="1">OFFSET(Sheet2!V$2,(ROW(U49))*3,0)</f>
        <v>0</v>
      </c>
    </row>
    <row r="49" spans="1:21" x14ac:dyDescent="0.35">
      <c r="A49" s="11">
        <f ca="1">OFFSET(Sheet2!B$2,(ROW(A50))*3,0)</f>
        <v>43892</v>
      </c>
      <c r="B49" s="11">
        <f ca="1">OFFSET(Sheet2!A$2,(ROW(A50))*3,0)</f>
        <v>43892</v>
      </c>
      <c r="C49">
        <f ca="1">OFFSET(Sheet2!C$2,(ROW(C50))*3,0)</f>
        <v>10</v>
      </c>
      <c r="D49" t="str">
        <f ca="1">OFFSET(Sheet2!D$2,(ROW(D50))*3,0)</f>
        <v>North</v>
      </c>
      <c r="E49" t="str">
        <f ca="1">OFFSET(Sheet2!F$2,(ROW(E50))*3,0)</f>
        <v>Mugoya Ivan</v>
      </c>
      <c r="F49" t="str">
        <f ca="1">OFFSET(Sheet2!G$2,(ROW(F50))*3,0)</f>
        <v>H2Go</v>
      </c>
      <c r="G49">
        <f ca="1">OFFSET(Sheet2!H$2,(ROW(G50))*3,0)</f>
        <v>0</v>
      </c>
      <c r="H49" t="str">
        <f ca="1">OFFSET(Sheet2!I$2,(ROW(H50))*3,0)</f>
        <v>WEEKLY</v>
      </c>
      <c r="I49">
        <f ca="1">OFFSET(Sheet2!J$2,(ROW(I50))*3,0)</f>
        <v>258</v>
      </c>
      <c r="J49" t="str">
        <f ca="1">OFFSET(Sheet2!K$2,(ROW(J50))*3,0)</f>
        <v>Damage Observed</v>
      </c>
      <c r="K49" t="str">
        <f ca="1">OFFSET(Sheet2!L$2,(ROW(K50))*3,0)</f>
        <v>Dirty</v>
      </c>
      <c r="L49" t="str">
        <f ca="1">OFFSET(Sheet2!M$2,(ROW(L50))*3,0)</f>
        <v>Dirty</v>
      </c>
      <c r="M49" t="str">
        <f ca="1">OFFSET(Sheet2!N$2,(ROW(M50))*3,0)</f>
        <v>Good</v>
      </c>
      <c r="N49" t="str">
        <f ca="1">OFFSET(Sheet2!O$2,(ROW(N50))*3,0)</f>
        <v>Dirty</v>
      </c>
      <c r="O49" t="str">
        <f ca="1">OFFSET(Sheet2!P$2,(ROW(O50))*3,0)</f>
        <v>Good</v>
      </c>
      <c r="P49" t="str">
        <f ca="1">OFFSET(Sheet2!Q$2,(ROW(P50))*3,0)</f>
        <v>In good Condition</v>
      </c>
      <c r="Q49">
        <f ca="1">OFFSET(Sheet2!R$2,(ROW(Q50))*3,0)</f>
        <v>0</v>
      </c>
      <c r="R49">
        <f ca="1">OFFSET(Sheet2!S$2,(ROW(R50))*3,0)</f>
        <v>0</v>
      </c>
      <c r="S49">
        <f ca="1">OFFSET(Sheet2!T$2,(ROW(S50))*3,0)</f>
        <v>0</v>
      </c>
      <c r="T49">
        <f ca="1">OFFSET(Sheet2!U$2,(ROW(T50))*3,0)</f>
        <v>0</v>
      </c>
      <c r="U49">
        <f ca="1">OFFSET(Sheet2!V$2,(ROW(U50))*3,0)</f>
        <v>0</v>
      </c>
    </row>
    <row r="50" spans="1:21" x14ac:dyDescent="0.35">
      <c r="A50" s="11">
        <f ca="1">OFFSET(Sheet2!B$2,(ROW(A51))*3,0)</f>
        <v>43900</v>
      </c>
      <c r="B50" s="11">
        <f ca="1">OFFSET(Sheet2!A$2,(ROW(A51))*3,0)</f>
        <v>43900</v>
      </c>
      <c r="C50">
        <f ca="1">OFFSET(Sheet2!C$2,(ROW(C51))*3,0)</f>
        <v>10</v>
      </c>
      <c r="D50" t="str">
        <f ca="1">OFFSET(Sheet2!D$2,(ROW(D51))*3,0)</f>
        <v>North</v>
      </c>
      <c r="E50" t="str">
        <f ca="1">OFFSET(Sheet2!F$2,(ROW(E51))*3,0)</f>
        <v>Mugoya Ivan</v>
      </c>
      <c r="F50" t="str">
        <f ca="1">OFFSET(Sheet2!G$2,(ROW(F51))*3,0)</f>
        <v>H2Go</v>
      </c>
      <c r="G50">
        <f ca="1">OFFSET(Sheet2!H$2,(ROW(G51))*3,0)</f>
        <v>0</v>
      </c>
      <c r="H50" t="str">
        <f ca="1">OFFSET(Sheet2!I$2,(ROW(H51))*3,0)</f>
        <v>WEEKLY</v>
      </c>
      <c r="I50">
        <f ca="1">OFFSET(Sheet2!J$2,(ROW(I51))*3,0)</f>
        <v>208</v>
      </c>
      <c r="J50" t="str">
        <f ca="1">OFFSET(Sheet2!K$2,(ROW(J51))*3,0)</f>
        <v>Damage Observed</v>
      </c>
      <c r="K50" t="str">
        <f ca="1">OFFSET(Sheet2!L$2,(ROW(K51))*3,0)</f>
        <v>Very Dirty</v>
      </c>
      <c r="L50" t="str">
        <f ca="1">OFFSET(Sheet2!M$2,(ROW(L51))*3,0)</f>
        <v>Clean</v>
      </c>
      <c r="M50" t="str">
        <f ca="1">OFFSET(Sheet2!N$2,(ROW(M51))*3,0)</f>
        <v>Good</v>
      </c>
      <c r="N50" t="str">
        <f ca="1">OFFSET(Sheet2!O$2,(ROW(N51))*3,0)</f>
        <v>Dirty</v>
      </c>
      <c r="O50" t="str">
        <f ca="1">OFFSET(Sheet2!P$2,(ROW(O51))*3,0)</f>
        <v>Good</v>
      </c>
      <c r="P50" t="str">
        <f ca="1">OFFSET(Sheet2!Q$2,(ROW(P51))*3,0)</f>
        <v>In good Condition</v>
      </c>
      <c r="Q50">
        <f ca="1">OFFSET(Sheet2!R$2,(ROW(Q51))*3,0)</f>
        <v>0</v>
      </c>
      <c r="R50">
        <f ca="1">OFFSET(Sheet2!S$2,(ROW(R51))*3,0)</f>
        <v>0</v>
      </c>
      <c r="S50">
        <f ca="1">OFFSET(Sheet2!T$2,(ROW(S51))*3,0)</f>
        <v>0</v>
      </c>
      <c r="T50">
        <f ca="1">OFFSET(Sheet2!U$2,(ROW(T51))*3,0)</f>
        <v>0</v>
      </c>
      <c r="U50">
        <f ca="1">OFFSET(Sheet2!V$2,(ROW(U51))*3,0)</f>
        <v>0</v>
      </c>
    </row>
    <row r="51" spans="1:21" x14ac:dyDescent="0.35">
      <c r="A51" s="11">
        <f ca="1">OFFSET(Sheet2!B$2,(ROW(A52))*3,0)</f>
        <v>43841</v>
      </c>
      <c r="B51" s="11">
        <f ca="1">OFFSET(Sheet2!A$2,(ROW(A52))*3,0)</f>
        <v>43841</v>
      </c>
      <c r="C51">
        <f ca="1">OFFSET(Sheet2!C$2,(ROW(C52))*3,0)</f>
        <v>11</v>
      </c>
      <c r="D51" t="str">
        <f ca="1">OFFSET(Sheet2!D$2,(ROW(D52))*3,0)</f>
        <v>North</v>
      </c>
      <c r="E51" t="str">
        <f ca="1">OFFSET(Sheet2!F$2,(ROW(E52))*3,0)</f>
        <v>Nashimolo Sam Festo</v>
      </c>
      <c r="F51" t="str">
        <f ca="1">OFFSET(Sheet2!G$2,(ROW(F52))*3,0)</f>
        <v>Control</v>
      </c>
      <c r="G51">
        <f ca="1">OFFSET(Sheet2!H$2,(ROW(G52))*3,0)</f>
        <v>0</v>
      </c>
      <c r="H51" t="str">
        <f ca="1">OFFSET(Sheet2!I$2,(ROW(H52))*3,0)</f>
        <v>Comprehensive</v>
      </c>
      <c r="I51">
        <f ca="1">OFFSET(Sheet2!J$2,(ROW(I52))*3,0)</f>
        <v>23</v>
      </c>
      <c r="J51" t="str">
        <f ca="1">OFFSET(Sheet2!K$2,(ROW(J52))*3,0)</f>
        <v>Damage Observed</v>
      </c>
      <c r="K51" t="str">
        <f ca="1">OFFSET(Sheet2!L$2,(ROW(K52))*3,0)</f>
        <v>Okay</v>
      </c>
      <c r="L51" t="str">
        <f ca="1">OFFSET(Sheet2!M$2,(ROW(L52))*3,0)</f>
        <v>No damage observed</v>
      </c>
      <c r="M51" t="str">
        <f ca="1">OFFSET(Sheet2!N$2,(ROW(M52))*3,0)</f>
        <v>Loose</v>
      </c>
      <c r="N51" t="str">
        <f ca="1">OFFSET(Sheet2!O$2,(ROW(N52))*3,0)</f>
        <v>Dirty</v>
      </c>
      <c r="O51" t="str">
        <f ca="1">OFFSET(Sheet2!P$2,(ROW(O52))*3,0)</f>
        <v>In good conditions</v>
      </c>
      <c r="P51" t="str">
        <f ca="1">OFFSET(Sheet2!Q$2,(ROW(P52))*3,0)</f>
        <v>Very okay and well maintained</v>
      </c>
      <c r="Q51" t="str">
        <f ca="1">OFFSET(Sheet2!R$2,(ROW(Q52))*3,0)</f>
        <v xml:space="preserve"> Has no defect observed</v>
      </c>
      <c r="R51" t="str">
        <f ca="1">OFFSET(Sheet2!S$2,(ROW(R52))*3,0)</f>
        <v>In good conditions</v>
      </c>
      <c r="S51" t="str">
        <f ca="1">OFFSET(Sheet2!T$2,(ROW(S52))*3,0)</f>
        <v>Not bad</v>
      </c>
      <c r="T51">
        <f ca="1">OFFSET(Sheet2!U$2,(ROW(T52))*3,0)</f>
        <v>0</v>
      </c>
      <c r="U51">
        <f ca="1">OFFSET(Sheet2!V$2,(ROW(U52))*3,0)</f>
        <v>0</v>
      </c>
    </row>
    <row r="52" spans="1:21" x14ac:dyDescent="0.35">
      <c r="A52" s="11" t="str">
        <f ca="1">OFFSET(Sheet2!B$2,(ROW(A53))*3,0)</f>
        <v>18/1/2020</v>
      </c>
      <c r="B52" s="11">
        <f ca="1">OFFSET(Sheet2!A$2,(ROW(A53))*3,0)</f>
        <v>43848</v>
      </c>
      <c r="C52">
        <f ca="1">OFFSET(Sheet2!C$2,(ROW(C53))*3,0)</f>
        <v>11</v>
      </c>
      <c r="D52" t="str">
        <f ca="1">OFFSET(Sheet2!D$2,(ROW(D53))*3,0)</f>
        <v>North</v>
      </c>
      <c r="E52" t="str">
        <f ca="1">OFFSET(Sheet2!F$2,(ROW(E53))*3,0)</f>
        <v>Nashimolo Sam Festo</v>
      </c>
      <c r="F52" t="str">
        <f ca="1">OFFSET(Sheet2!G$2,(ROW(F53))*3,0)</f>
        <v>Control</v>
      </c>
      <c r="G52">
        <f ca="1">OFFSET(Sheet2!H$2,(ROW(G53))*3,0)</f>
        <v>0</v>
      </c>
      <c r="H52" t="str">
        <f ca="1">OFFSET(Sheet2!I$2,(ROW(H53))*3,0)</f>
        <v>weekly</v>
      </c>
      <c r="I52">
        <f ca="1">OFFSET(Sheet2!J$2,(ROW(I53))*3,0)</f>
        <v>48</v>
      </c>
      <c r="J52" t="str">
        <f ca="1">OFFSET(Sheet2!K$2,(ROW(J53))*3,0)</f>
        <v>Damage Observed</v>
      </c>
      <c r="K52" t="str">
        <f ca="1">OFFSET(Sheet2!L$2,(ROW(K53))*3,0)</f>
        <v>Okay</v>
      </c>
      <c r="L52" t="str">
        <f ca="1">OFFSET(Sheet2!M$2,(ROW(L53))*3,0)</f>
        <v xml:space="preserve">Good </v>
      </c>
      <c r="M52" t="str">
        <f ca="1">OFFSET(Sheet2!N$2,(ROW(M53))*3,0)</f>
        <v>Clear</v>
      </c>
      <c r="N52" t="str">
        <f ca="1">OFFSET(Sheet2!O$2,(ROW(N53))*3,0)</f>
        <v>Clean</v>
      </c>
      <c r="O52" t="str">
        <f ca="1">OFFSET(Sheet2!P$2,(ROW(O53))*3,0)</f>
        <v>Good</v>
      </c>
      <c r="P52" t="str">
        <f ca="1">OFFSET(Sheet2!Q$2,(ROW(P53))*3,0)</f>
        <v xml:space="preserve">Good </v>
      </c>
      <c r="Q52">
        <f ca="1">OFFSET(Sheet2!R$2,(ROW(Q53))*3,0)</f>
        <v>0</v>
      </c>
      <c r="R52">
        <f ca="1">OFFSET(Sheet2!S$2,(ROW(R53))*3,0)</f>
        <v>0</v>
      </c>
      <c r="S52">
        <f ca="1">OFFSET(Sheet2!T$2,(ROW(S53))*3,0)</f>
        <v>0</v>
      </c>
      <c r="T52">
        <f ca="1">OFFSET(Sheet2!U$2,(ROW(T53))*3,0)</f>
        <v>0</v>
      </c>
      <c r="U52">
        <f ca="1">OFFSET(Sheet2!V$2,(ROW(U53))*3,0)</f>
        <v>0</v>
      </c>
    </row>
    <row r="53" spans="1:21" x14ac:dyDescent="0.35">
      <c r="A53" s="11" t="str">
        <f ca="1">OFFSET(Sheet2!B$2,(ROW(A54))*3,0)</f>
        <v>24/1/12020</v>
      </c>
      <c r="B53" s="11">
        <f ca="1">OFFSET(Sheet2!A$2,(ROW(A54))*3,0)</f>
        <v>43854</v>
      </c>
      <c r="C53">
        <f ca="1">OFFSET(Sheet2!C$2,(ROW(C54))*3,0)</f>
        <v>11</v>
      </c>
      <c r="D53" t="str">
        <f ca="1">OFFSET(Sheet2!D$2,(ROW(D54))*3,0)</f>
        <v>North</v>
      </c>
      <c r="E53" t="str">
        <f ca="1">OFFSET(Sheet2!F$2,(ROW(E54))*3,0)</f>
        <v>Nashimolo Sam Festo</v>
      </c>
      <c r="F53" t="str">
        <f ca="1">OFFSET(Sheet2!G$2,(ROW(F54))*3,0)</f>
        <v>Control</v>
      </c>
      <c r="G53">
        <f ca="1">OFFSET(Sheet2!H$2,(ROW(G54))*3,0)</f>
        <v>0</v>
      </c>
      <c r="H53" t="str">
        <f ca="1">OFFSET(Sheet2!I$2,(ROW(H54))*3,0)</f>
        <v>weekly</v>
      </c>
      <c r="I53">
        <f ca="1">OFFSET(Sheet2!J$2,(ROW(I54))*3,0)</f>
        <v>41</v>
      </c>
      <c r="J53" t="str">
        <f ca="1">OFFSET(Sheet2!K$2,(ROW(J54))*3,0)</f>
        <v>Damage Observed</v>
      </c>
      <c r="K53" t="str">
        <f ca="1">OFFSET(Sheet2!L$2,(ROW(K54))*3,0)</f>
        <v>Okay</v>
      </c>
      <c r="L53" t="str">
        <f ca="1">OFFSET(Sheet2!M$2,(ROW(L54))*3,0)</f>
        <v>Still good</v>
      </c>
      <c r="M53" t="str">
        <f ca="1">OFFSET(Sheet2!N$2,(ROW(M54))*3,0)</f>
        <v>Good conditions</v>
      </c>
      <c r="N53" t="str">
        <f ca="1">OFFSET(Sheet2!O$2,(ROW(N54))*3,0)</f>
        <v>Good but with some dust</v>
      </c>
      <c r="O53" t="str">
        <f ca="1">OFFSET(Sheet2!P$2,(ROW(O54))*3,0)</f>
        <v>In good conditions</v>
      </c>
      <c r="P53" t="str">
        <f ca="1">OFFSET(Sheet2!Q$2,(ROW(P54))*3,0)</f>
        <v>Good functioning</v>
      </c>
      <c r="Q53">
        <f ca="1">OFFSET(Sheet2!R$2,(ROW(Q54))*3,0)</f>
        <v>0</v>
      </c>
      <c r="R53">
        <f ca="1">OFFSET(Sheet2!S$2,(ROW(R54))*3,0)</f>
        <v>0</v>
      </c>
      <c r="S53">
        <f ca="1">OFFSET(Sheet2!T$2,(ROW(S54))*3,0)</f>
        <v>0</v>
      </c>
      <c r="T53">
        <f ca="1">OFFSET(Sheet2!U$2,(ROW(T54))*3,0)</f>
        <v>0</v>
      </c>
      <c r="U53">
        <f ca="1">OFFSET(Sheet2!V$2,(ROW(U54))*3,0)</f>
        <v>0</v>
      </c>
    </row>
    <row r="54" spans="1:21" x14ac:dyDescent="0.35">
      <c r="A54" s="11" t="str">
        <f ca="1">OFFSET(Sheet2!B$2,(ROW(A55))*3,0)</f>
        <v>31/1/2020</v>
      </c>
      <c r="B54" s="11">
        <f ca="1">OFFSET(Sheet2!A$2,(ROW(A55))*3,0)</f>
        <v>43861</v>
      </c>
      <c r="C54">
        <f ca="1">OFFSET(Sheet2!C$2,(ROW(C55))*3,0)</f>
        <v>11</v>
      </c>
      <c r="D54" t="str">
        <f ca="1">OFFSET(Sheet2!D$2,(ROW(D55))*3,0)</f>
        <v>North</v>
      </c>
      <c r="E54" t="str">
        <f ca="1">OFFSET(Sheet2!F$2,(ROW(E55))*3,0)</f>
        <v>Nashimolo Sam Festo</v>
      </c>
      <c r="F54" t="str">
        <f ca="1">OFFSET(Sheet2!G$2,(ROW(F55))*3,0)</f>
        <v>Control</v>
      </c>
      <c r="G54">
        <f ca="1">OFFSET(Sheet2!H$2,(ROW(G55))*3,0)</f>
        <v>0</v>
      </c>
      <c r="H54" t="str">
        <f ca="1">OFFSET(Sheet2!I$2,(ROW(H55))*3,0)</f>
        <v>weekly</v>
      </c>
      <c r="I54">
        <f ca="1">OFFSET(Sheet2!J$2,(ROW(I55))*3,0)</f>
        <v>59</v>
      </c>
      <c r="J54" t="str">
        <f ca="1">OFFSET(Sheet2!K$2,(ROW(J55))*3,0)</f>
        <v>Damage Observed</v>
      </c>
      <c r="K54" t="str">
        <f ca="1">OFFSET(Sheet2!L$2,(ROW(K55))*3,0)</f>
        <v>Dirty</v>
      </c>
      <c r="L54" t="str">
        <f ca="1">OFFSET(Sheet2!M$2,(ROW(L55))*3,0)</f>
        <v>Good</v>
      </c>
      <c r="M54" t="str">
        <f ca="1">OFFSET(Sheet2!N$2,(ROW(M55))*3,0)</f>
        <v>Well set</v>
      </c>
      <c r="N54" t="str">
        <f ca="1">OFFSET(Sheet2!O$2,(ROW(N55))*3,0)</f>
        <v>Well cleaned</v>
      </c>
      <c r="O54" t="str">
        <f ca="1">OFFSET(Sheet2!P$2,(ROW(O55))*3,0)</f>
        <v>Still good maintain the care</v>
      </c>
      <c r="P54" t="str">
        <f ca="1">OFFSET(Sheet2!Q$2,(ROW(P55))*3,0)</f>
        <v>Clear</v>
      </c>
      <c r="Q54" t="str">
        <f ca="1">OFFSET(Sheet2!R$2,(ROW(Q55))*3,0)</f>
        <v>Normally functionig</v>
      </c>
      <c r="R54" t="str">
        <f ca="1">OFFSET(Sheet2!S$2,(ROW(R55))*3,0)</f>
        <v xml:space="preserve">Good </v>
      </c>
      <c r="S54" t="str">
        <f ca="1">OFFSET(Sheet2!T$2,(ROW(S55))*3,0)</f>
        <v>Clear</v>
      </c>
      <c r="T54">
        <f ca="1">OFFSET(Sheet2!U$2,(ROW(T55))*3,0)</f>
        <v>0</v>
      </c>
      <c r="U54">
        <f ca="1">OFFSET(Sheet2!V$2,(ROW(U55))*3,0)</f>
        <v>0</v>
      </c>
    </row>
    <row r="55" spans="1:21" x14ac:dyDescent="0.35">
      <c r="A55" s="11">
        <f ca="1">OFFSET(Sheet2!B$2,(ROW(A56))*3,0)</f>
        <v>43868</v>
      </c>
      <c r="B55" s="11">
        <f ca="1">OFFSET(Sheet2!A$2,(ROW(A56))*3,0)</f>
        <v>43868</v>
      </c>
      <c r="C55">
        <f ca="1">OFFSET(Sheet2!C$2,(ROW(C56))*3,0)</f>
        <v>11</v>
      </c>
      <c r="D55" t="str">
        <f ca="1">OFFSET(Sheet2!D$2,(ROW(D56))*3,0)</f>
        <v>North</v>
      </c>
      <c r="E55" t="str">
        <f ca="1">OFFSET(Sheet2!F$2,(ROW(E56))*3,0)</f>
        <v>Nashimolo sam festo</v>
      </c>
      <c r="F55" t="str">
        <f ca="1">OFFSET(Sheet2!G$2,(ROW(F56))*3,0)</f>
        <v>Control</v>
      </c>
      <c r="G55">
        <f ca="1">OFFSET(Sheet2!H$2,(ROW(G56))*3,0)</f>
        <v>0</v>
      </c>
      <c r="H55" t="str">
        <f ca="1">OFFSET(Sheet2!I$2,(ROW(H56))*3,0)</f>
        <v>WEEKLY</v>
      </c>
      <c r="I55">
        <f ca="1">OFFSET(Sheet2!J$2,(ROW(I56))*3,0)</f>
        <v>286</v>
      </c>
      <c r="J55" t="str">
        <f ca="1">OFFSET(Sheet2!K$2,(ROW(J56))*3,0)</f>
        <v>Damage Observed</v>
      </c>
      <c r="K55" t="str">
        <f ca="1">OFFSET(Sheet2!L$2,(ROW(K56))*3,0)</f>
        <v>The oil is still okay</v>
      </c>
      <c r="L55" t="str">
        <f ca="1">OFFSET(Sheet2!M$2,(ROW(L56))*3,0)</f>
        <v>It is clean</v>
      </c>
      <c r="M55" t="str">
        <f ca="1">OFFSET(Sheet2!N$2,(ROW(M56))*3,0)</f>
        <v>They are clean</v>
      </c>
      <c r="N55" t="str">
        <f ca="1">OFFSET(Sheet2!O$2,(ROW(N56))*3,0)</f>
        <v>It is clean</v>
      </c>
      <c r="O55" t="str">
        <f ca="1">OFFSET(Sheet2!P$2,(ROW(O56))*3,0)</f>
        <v>It is okay</v>
      </c>
      <c r="P55" t="str">
        <f ca="1">OFFSET(Sheet2!Q$2,(ROW(P56))*3,0)</f>
        <v>It is okay</v>
      </c>
      <c r="Q55" t="str">
        <f ca="1">OFFSET(Sheet2!R$2,(ROW(Q56))*3,0)</f>
        <v>It is okay</v>
      </c>
      <c r="R55" t="str">
        <f ca="1">OFFSET(Sheet2!S$2,(ROW(R56))*3,0)</f>
        <v>Normal</v>
      </c>
      <c r="S55" t="str">
        <f ca="1">OFFSET(Sheet2!T$2,(ROW(S56))*3,0)</f>
        <v>Gaood conditions</v>
      </c>
      <c r="T55">
        <f ca="1">OFFSET(Sheet2!U$2,(ROW(T56))*3,0)</f>
        <v>0</v>
      </c>
      <c r="U55">
        <f ca="1">OFFSET(Sheet2!V$2,(ROW(U56))*3,0)</f>
        <v>0</v>
      </c>
    </row>
    <row r="56" spans="1:21" x14ac:dyDescent="0.35">
      <c r="A56" s="11">
        <f ca="1">OFFSET(Sheet2!B$2,(ROW(A57))*3,0)</f>
        <v>43841</v>
      </c>
      <c r="B56" s="11">
        <f ca="1">OFFSET(Sheet2!A$2,(ROW(A57))*3,0)</f>
        <v>43841</v>
      </c>
      <c r="C56">
        <f ca="1">OFFSET(Sheet2!C$2,(ROW(C57))*3,0)</f>
        <v>12</v>
      </c>
      <c r="D56" t="str">
        <f ca="1">OFFSET(Sheet2!D$2,(ROW(D57))*3,0)</f>
        <v>North</v>
      </c>
      <c r="E56" t="str">
        <f ca="1">OFFSET(Sheet2!F$2,(ROW(E57))*3,0)</f>
        <v>Masaba Paul</v>
      </c>
      <c r="F56" t="str">
        <f ca="1">OFFSET(Sheet2!G$2,(ROW(F57))*3,0)</f>
        <v>Control</v>
      </c>
      <c r="G56">
        <f ca="1">OFFSET(Sheet2!H$2,(ROW(G57))*3,0)</f>
        <v>0</v>
      </c>
      <c r="H56" t="str">
        <f ca="1">OFFSET(Sheet2!I$2,(ROW(H57))*3,0)</f>
        <v>Comprehensive</v>
      </c>
      <c r="I56">
        <f ca="1">OFFSET(Sheet2!J$2,(ROW(I57))*3,0)</f>
        <v>4</v>
      </c>
      <c r="J56" t="str">
        <f ca="1">OFFSET(Sheet2!K$2,(ROW(J57))*3,0)</f>
        <v>Damage Observed</v>
      </c>
      <c r="K56" t="str">
        <f ca="1">OFFSET(Sheet2!L$2,(ROW(K57))*3,0)</f>
        <v>Clean</v>
      </c>
      <c r="L56" t="str">
        <f ca="1">OFFSET(Sheet2!M$2,(ROW(L57))*3,0)</f>
        <v>Still good</v>
      </c>
      <c r="M56" t="str">
        <f ca="1">OFFSET(Sheet2!N$2,(ROW(M57))*3,0)</f>
        <v xml:space="preserve">Good </v>
      </c>
      <c r="N56" t="str">
        <f ca="1">OFFSET(Sheet2!O$2,(ROW(N57))*3,0)</f>
        <v xml:space="preserve">Well maintained </v>
      </c>
      <c r="O56" t="str">
        <f ca="1">OFFSET(Sheet2!P$2,(ROW(O57))*3,0)</f>
        <v>Well maintained</v>
      </c>
      <c r="P56" t="str">
        <f ca="1">OFFSET(Sheet2!Q$2,(ROW(P57))*3,0)</f>
        <v>Has no damage</v>
      </c>
      <c r="Q56" t="str">
        <f ca="1">OFFSET(Sheet2!R$2,(ROW(Q57))*3,0)</f>
        <v>Functioning properly</v>
      </c>
      <c r="R56" t="str">
        <f ca="1">OFFSET(Sheet2!S$2,(ROW(R57))*3,0)</f>
        <v>Has no defect</v>
      </c>
      <c r="S56" t="str">
        <f ca="1">OFFSET(Sheet2!T$2,(ROW(S57))*3,0)</f>
        <v>Clean</v>
      </c>
      <c r="T56">
        <f ca="1">OFFSET(Sheet2!U$2,(ROW(T57))*3,0)</f>
        <v>0</v>
      </c>
      <c r="U56">
        <f ca="1">OFFSET(Sheet2!V$2,(ROW(U57))*3,0)</f>
        <v>0</v>
      </c>
    </row>
    <row r="57" spans="1:21" x14ac:dyDescent="0.35">
      <c r="A57" s="11" t="str">
        <f ca="1">OFFSET(Sheet2!B$2,(ROW(A58))*3,0)</f>
        <v>24/1/2020</v>
      </c>
      <c r="B57" s="11">
        <f ca="1">OFFSET(Sheet2!A$2,(ROW(A58))*3,0)</f>
        <v>43854</v>
      </c>
      <c r="C57">
        <f ca="1">OFFSET(Sheet2!C$2,(ROW(C58))*3,0)</f>
        <v>12</v>
      </c>
      <c r="D57" t="str">
        <f ca="1">OFFSET(Sheet2!D$2,(ROW(D58))*3,0)</f>
        <v>North</v>
      </c>
      <c r="E57" t="str">
        <f ca="1">OFFSET(Sheet2!F$2,(ROW(E58))*3,0)</f>
        <v>Masaba Paul</v>
      </c>
      <c r="F57" t="str">
        <f ca="1">OFFSET(Sheet2!G$2,(ROW(F58))*3,0)</f>
        <v>Control</v>
      </c>
      <c r="G57">
        <f ca="1">OFFSET(Sheet2!H$2,(ROW(G58))*3,0)</f>
        <v>0</v>
      </c>
      <c r="H57" t="str">
        <f ca="1">OFFSET(Sheet2!I$2,(ROW(H58))*3,0)</f>
        <v>weekly</v>
      </c>
      <c r="I57">
        <f ca="1">OFFSET(Sheet2!J$2,(ROW(I58))*3,0)</f>
        <v>15</v>
      </c>
      <c r="J57" t="str">
        <f ca="1">OFFSET(Sheet2!K$2,(ROW(J58))*3,0)</f>
        <v>Damage Observed</v>
      </c>
      <c r="K57" t="str">
        <f ca="1">OFFSET(Sheet2!L$2,(ROW(K58))*3,0)</f>
        <v>Dirty</v>
      </c>
      <c r="L57" t="str">
        <f ca="1">OFFSET(Sheet2!M$2,(ROW(L58))*3,0)</f>
        <v>Clean</v>
      </c>
      <c r="M57" t="str">
        <f ca="1">OFFSET(Sheet2!N$2,(ROW(M58))*3,0)</f>
        <v>Well set</v>
      </c>
      <c r="N57" t="str">
        <f ca="1">OFFSET(Sheet2!O$2,(ROW(N58))*3,0)</f>
        <v>Clean</v>
      </c>
      <c r="O57" t="str">
        <f ca="1">OFFSET(Sheet2!P$2,(ROW(O58))*3,0)</f>
        <v>Good conditions</v>
      </c>
      <c r="P57" t="str">
        <f ca="1">OFFSET(Sheet2!Q$2,(ROW(P58))*3,0)</f>
        <v>Clear</v>
      </c>
      <c r="Q57">
        <f ca="1">OFFSET(Sheet2!R$2,(ROW(Q58))*3,0)</f>
        <v>0</v>
      </c>
      <c r="R57">
        <f ca="1">OFFSET(Sheet2!S$2,(ROW(R58))*3,0)</f>
        <v>0</v>
      </c>
      <c r="S57">
        <f ca="1">OFFSET(Sheet2!T$2,(ROW(S58))*3,0)</f>
        <v>0</v>
      </c>
      <c r="T57">
        <f ca="1">OFFSET(Sheet2!U$2,(ROW(T58))*3,0)</f>
        <v>0</v>
      </c>
      <c r="U57">
        <f ca="1">OFFSET(Sheet2!V$2,(ROW(U58))*3,0)</f>
        <v>0</v>
      </c>
    </row>
    <row r="58" spans="1:21" x14ac:dyDescent="0.35">
      <c r="A58" s="11" t="str">
        <f ca="1">OFFSET(Sheet2!B$2,(ROW(A59))*3,0)</f>
        <v>31/1/2020</v>
      </c>
      <c r="B58" s="11">
        <f ca="1">OFFSET(Sheet2!A$2,(ROW(A59))*3,0)</f>
        <v>43861</v>
      </c>
      <c r="C58">
        <f ca="1">OFFSET(Sheet2!C$2,(ROW(C59))*3,0)</f>
        <v>12</v>
      </c>
      <c r="D58" t="str">
        <f ca="1">OFFSET(Sheet2!D$2,(ROW(D59))*3,0)</f>
        <v>North</v>
      </c>
      <c r="E58" t="str">
        <f ca="1">OFFSET(Sheet2!F$2,(ROW(E59))*3,0)</f>
        <v>Masaba Paul</v>
      </c>
      <c r="F58" t="str">
        <f ca="1">OFFSET(Sheet2!G$2,(ROW(F59))*3,0)</f>
        <v>Control</v>
      </c>
      <c r="G58">
        <f ca="1">OFFSET(Sheet2!H$2,(ROW(G59))*3,0)</f>
        <v>0</v>
      </c>
      <c r="H58" t="str">
        <f ca="1">OFFSET(Sheet2!I$2,(ROW(H59))*3,0)</f>
        <v>weekly</v>
      </c>
      <c r="I58">
        <f ca="1">OFFSET(Sheet2!J$2,(ROW(I59))*3,0)</f>
        <v>57</v>
      </c>
      <c r="J58" t="str">
        <f ca="1">OFFSET(Sheet2!K$2,(ROW(J59))*3,0)</f>
        <v>Damage Observed</v>
      </c>
      <c r="K58" t="str">
        <f ca="1">OFFSET(Sheet2!L$2,(ROW(K59))*3,0)</f>
        <v>Okay</v>
      </c>
      <c r="L58" t="str">
        <f ca="1">OFFSET(Sheet2!M$2,(ROW(L59))*3,0)</f>
        <v>Still in good working conditions</v>
      </c>
      <c r="M58" t="str">
        <f ca="1">OFFSET(Sheet2!N$2,(ROW(M59))*3,0)</f>
        <v>Still functioning well</v>
      </c>
      <c r="N58" t="str">
        <f ca="1">OFFSET(Sheet2!O$2,(ROW(N59))*3,0)</f>
        <v>It is good</v>
      </c>
      <c r="O58" t="str">
        <f ca="1">OFFSET(Sheet2!P$2,(ROW(O59))*3,0)</f>
        <v>Good conditions</v>
      </c>
      <c r="P58" t="str">
        <f ca="1">OFFSET(Sheet2!Q$2,(ROW(P59))*3,0)</f>
        <v>Still opperating well</v>
      </c>
      <c r="Q58" t="str">
        <f ca="1">OFFSET(Sheet2!R$2,(ROW(Q59))*3,0)</f>
        <v>Still in good conditions</v>
      </c>
      <c r="R58" t="str">
        <f ca="1">OFFSET(Sheet2!S$2,(ROW(R59))*3,0)</f>
        <v>Good conditions</v>
      </c>
      <c r="S58" t="str">
        <f ca="1">OFFSET(Sheet2!T$2,(ROW(S59))*3,0)</f>
        <v>Good conditions</v>
      </c>
      <c r="T58">
        <f ca="1">OFFSET(Sheet2!U$2,(ROW(T59))*3,0)</f>
        <v>0</v>
      </c>
      <c r="U58">
        <f ca="1">OFFSET(Sheet2!V$2,(ROW(U59))*3,0)</f>
        <v>0</v>
      </c>
    </row>
    <row r="59" spans="1:21" x14ac:dyDescent="0.35">
      <c r="A59" s="11">
        <f ca="1">OFFSET(Sheet2!B$2,(ROW(A60))*3,0)</f>
        <v>43868</v>
      </c>
      <c r="B59" s="11">
        <f ca="1">OFFSET(Sheet2!A$2,(ROW(A60))*3,0)</f>
        <v>43868</v>
      </c>
      <c r="C59">
        <f ca="1">OFFSET(Sheet2!C$2,(ROW(C60))*3,0)</f>
        <v>12</v>
      </c>
      <c r="D59" t="str">
        <f ca="1">OFFSET(Sheet2!D$2,(ROW(D60))*3,0)</f>
        <v>North</v>
      </c>
      <c r="E59" t="str">
        <f ca="1">OFFSET(Sheet2!F$2,(ROW(E60))*3,0)</f>
        <v>masaba paul</v>
      </c>
      <c r="F59" t="str">
        <f ca="1">OFFSET(Sheet2!G$2,(ROW(F60))*3,0)</f>
        <v>H2GO</v>
      </c>
      <c r="G59">
        <f ca="1">OFFSET(Sheet2!H$2,(ROW(G60))*3,0)</f>
        <v>0</v>
      </c>
      <c r="H59" t="str">
        <f ca="1">OFFSET(Sheet2!I$2,(ROW(H60))*3,0)</f>
        <v>WEEKLY</v>
      </c>
      <c r="I59">
        <f ca="1">OFFSET(Sheet2!J$2,(ROW(I60))*3,0)</f>
        <v>270</v>
      </c>
      <c r="J59" t="str">
        <f ca="1">OFFSET(Sheet2!K$2,(ROW(J60))*3,0)</f>
        <v>Damage Observed</v>
      </c>
      <c r="K59" t="str">
        <f ca="1">OFFSET(Sheet2!L$2,(ROW(K60))*3,0)</f>
        <v>Engine oil is okay, reduced</v>
      </c>
      <c r="L59" t="str">
        <f ca="1">OFFSET(Sheet2!M$2,(ROW(L60))*3,0)</f>
        <v>It is okay</v>
      </c>
      <c r="M59" t="str">
        <f ca="1">OFFSET(Sheet2!N$2,(ROW(M60))*3,0)</f>
        <v>It is clean, normally functioning</v>
      </c>
      <c r="N59" t="str">
        <f ca="1">OFFSET(Sheet2!O$2,(ROW(N60))*3,0)</f>
        <v>It is okay</v>
      </c>
      <c r="O59" t="str">
        <f ca="1">OFFSET(Sheet2!P$2,(ROW(O60))*3,0)</f>
        <v>It is normal</v>
      </c>
      <c r="P59" t="str">
        <f ca="1">OFFSET(Sheet2!Q$2,(ROW(P60))*3,0)</f>
        <v>It is okay</v>
      </c>
      <c r="Q59" t="str">
        <f ca="1">OFFSET(Sheet2!R$2,(ROW(Q60))*3,0)</f>
        <v>Theyy are normal</v>
      </c>
      <c r="R59" t="str">
        <f ca="1">OFFSET(Sheet2!S$2,(ROW(R60))*3,0)</f>
        <v>It is okay</v>
      </c>
      <c r="S59" t="str">
        <f ca="1">OFFSET(Sheet2!T$2,(ROW(S60))*3,0)</f>
        <v>It is okay</v>
      </c>
      <c r="T59">
        <f ca="1">OFFSET(Sheet2!U$2,(ROW(T60))*3,0)</f>
        <v>0</v>
      </c>
      <c r="U59">
        <f ca="1">OFFSET(Sheet2!V$2,(ROW(U60))*3,0)</f>
        <v>0</v>
      </c>
    </row>
    <row r="60" spans="1:21" x14ac:dyDescent="0.35">
      <c r="A60" s="11">
        <f ca="1">OFFSET(Sheet2!B$2,(ROW(A61))*3,0)</f>
        <v>43841</v>
      </c>
      <c r="B60" s="11">
        <f ca="1">OFFSET(Sheet2!A$2,(ROW(A61))*3,0)</f>
        <v>43841</v>
      </c>
      <c r="C60">
        <f ca="1">OFFSET(Sheet2!C$2,(ROW(C61))*3,0)</f>
        <v>13</v>
      </c>
      <c r="D60" t="str">
        <f ca="1">OFFSET(Sheet2!D$2,(ROW(D61))*3,0)</f>
        <v>North</v>
      </c>
      <c r="E60" t="str">
        <f ca="1">OFFSET(Sheet2!F$2,(ROW(E61))*3,0)</f>
        <v>Mutenyo Alex</v>
      </c>
      <c r="F60" t="str">
        <f ca="1">OFFSET(Sheet2!G$2,(ROW(F61))*3,0)</f>
        <v>Control</v>
      </c>
      <c r="G60">
        <f ca="1">OFFSET(Sheet2!H$2,(ROW(G61))*3,0)</f>
        <v>0</v>
      </c>
      <c r="H60" t="str">
        <f ca="1">OFFSET(Sheet2!I$2,(ROW(H61))*3,0)</f>
        <v>Comprehensive</v>
      </c>
      <c r="I60">
        <f ca="1">OFFSET(Sheet2!J$2,(ROW(I61))*3,0)</f>
        <v>5</v>
      </c>
      <c r="J60" t="str">
        <f ca="1">OFFSET(Sheet2!K$2,(ROW(J61))*3,0)</f>
        <v>Damage Observed</v>
      </c>
      <c r="K60" t="str">
        <f ca="1">OFFSET(Sheet2!L$2,(ROW(K61))*3,0)</f>
        <v>Dirty</v>
      </c>
      <c r="L60" t="str">
        <f ca="1">OFFSET(Sheet2!M$2,(ROW(L61))*3,0)</f>
        <v>Very dirty, Has some particles, Some water</v>
      </c>
      <c r="M60" t="str">
        <f ca="1">OFFSET(Sheet2!N$2,(ROW(M61))*3,0)</f>
        <v>Well aligned</v>
      </c>
      <c r="N60" t="str">
        <f ca="1">OFFSET(Sheet2!O$2,(ROW(N61))*3,0)</f>
        <v xml:space="preserve">Dusty </v>
      </c>
      <c r="O60" t="str">
        <f ca="1">OFFSET(Sheet2!P$2,(ROW(O61))*3,0)</f>
        <v>Still good</v>
      </c>
      <c r="P60" t="str">
        <f ca="1">OFFSET(Sheet2!Q$2,(ROW(P61))*3,0)</f>
        <v>Good mechanical condition</v>
      </c>
      <c r="Q60" t="str">
        <f ca="1">OFFSET(Sheet2!R$2,(ROW(Q61))*3,0)</f>
        <v>Functioning well</v>
      </c>
      <c r="R60" t="str">
        <f ca="1">OFFSET(Sheet2!S$2,(ROW(R61))*3,0)</f>
        <v>Good</v>
      </c>
      <c r="S60" t="str">
        <f ca="1">OFFSET(Sheet2!T$2,(ROW(S61))*3,0)</f>
        <v>Clean and good</v>
      </c>
      <c r="T60">
        <f ca="1">OFFSET(Sheet2!U$2,(ROW(T61))*3,0)</f>
        <v>0</v>
      </c>
      <c r="U60">
        <f ca="1">OFFSET(Sheet2!V$2,(ROW(U61))*3,0)</f>
        <v>0</v>
      </c>
    </row>
    <row r="61" spans="1:21" x14ac:dyDescent="0.35">
      <c r="A61" s="11" t="str">
        <f ca="1">OFFSET(Sheet2!B$2,(ROW(A62))*3,0)</f>
        <v>18/1/2020</v>
      </c>
      <c r="B61" s="11">
        <f ca="1">OFFSET(Sheet2!A$2,(ROW(A62))*3,0)</f>
        <v>43848</v>
      </c>
      <c r="C61">
        <f ca="1">OFFSET(Sheet2!C$2,(ROW(C62))*3,0)</f>
        <v>13</v>
      </c>
      <c r="D61" t="str">
        <f ca="1">OFFSET(Sheet2!D$2,(ROW(D62))*3,0)</f>
        <v>North</v>
      </c>
      <c r="E61" t="str">
        <f ca="1">OFFSET(Sheet2!F$2,(ROW(E62))*3,0)</f>
        <v>Mutenyo Alex</v>
      </c>
      <c r="F61" t="str">
        <f ca="1">OFFSET(Sheet2!G$2,(ROW(F62))*3,0)</f>
        <v>Control</v>
      </c>
      <c r="G61">
        <f ca="1">OFFSET(Sheet2!H$2,(ROW(G62))*3,0)</f>
        <v>0</v>
      </c>
      <c r="H61" t="str">
        <f ca="1">OFFSET(Sheet2!I$2,(ROW(H62))*3,0)</f>
        <v>weekly</v>
      </c>
      <c r="I61">
        <f ca="1">OFFSET(Sheet2!J$2,(ROW(I62))*3,0)</f>
        <v>50</v>
      </c>
      <c r="J61" t="str">
        <f ca="1">OFFSET(Sheet2!K$2,(ROW(J62))*3,0)</f>
        <v>Damage Observed</v>
      </c>
      <c r="K61" t="str">
        <f ca="1">OFFSET(Sheet2!L$2,(ROW(K62))*3,0)</f>
        <v>Okay</v>
      </c>
      <c r="L61" t="str">
        <f ca="1">OFFSET(Sheet2!M$2,(ROW(L62))*3,0)</f>
        <v xml:space="preserve">Good </v>
      </c>
      <c r="M61" t="str">
        <f ca="1">OFFSET(Sheet2!N$2,(ROW(M62))*3,0)</f>
        <v>Clear</v>
      </c>
      <c r="N61" t="str">
        <f ca="1">OFFSET(Sheet2!O$2,(ROW(N62))*3,0)</f>
        <v>Clean</v>
      </c>
      <c r="O61" t="str">
        <f ca="1">OFFSET(Sheet2!P$2,(ROW(O62))*3,0)</f>
        <v>Good</v>
      </c>
      <c r="P61" t="str">
        <f ca="1">OFFSET(Sheet2!Q$2,(ROW(P62))*3,0)</f>
        <v>Good</v>
      </c>
      <c r="Q61">
        <f ca="1">OFFSET(Sheet2!R$2,(ROW(Q62))*3,0)</f>
        <v>0</v>
      </c>
      <c r="R61">
        <f ca="1">OFFSET(Sheet2!S$2,(ROW(R62))*3,0)</f>
        <v>0</v>
      </c>
      <c r="S61">
        <f ca="1">OFFSET(Sheet2!T$2,(ROW(S62))*3,0)</f>
        <v>0</v>
      </c>
      <c r="T61">
        <f ca="1">OFFSET(Sheet2!U$2,(ROW(T62))*3,0)</f>
        <v>0</v>
      </c>
      <c r="U61">
        <f ca="1">OFFSET(Sheet2!V$2,(ROW(U62))*3,0)</f>
        <v>0</v>
      </c>
    </row>
    <row r="62" spans="1:21" x14ac:dyDescent="0.35">
      <c r="A62" s="11" t="str">
        <f ca="1">OFFSET(Sheet2!B$2,(ROW(A63))*3,0)</f>
        <v>24/1/2020</v>
      </c>
      <c r="B62" s="11">
        <f ca="1">OFFSET(Sheet2!A$2,(ROW(A63))*3,0)</f>
        <v>43854</v>
      </c>
      <c r="C62">
        <f ca="1">OFFSET(Sheet2!C$2,(ROW(C63))*3,0)</f>
        <v>13</v>
      </c>
      <c r="D62" t="str">
        <f ca="1">OFFSET(Sheet2!D$2,(ROW(D63))*3,0)</f>
        <v>North</v>
      </c>
      <c r="E62" t="str">
        <f ca="1">OFFSET(Sheet2!F$2,(ROW(E63))*3,0)</f>
        <v>Mutenyo Alex</v>
      </c>
      <c r="F62" t="str">
        <f ca="1">OFFSET(Sheet2!G$2,(ROW(F63))*3,0)</f>
        <v>Control</v>
      </c>
      <c r="G62">
        <f ca="1">OFFSET(Sheet2!H$2,(ROW(G63))*3,0)</f>
        <v>0</v>
      </c>
      <c r="H62" t="str">
        <f ca="1">OFFSET(Sheet2!I$2,(ROW(H63))*3,0)</f>
        <v>weekly</v>
      </c>
      <c r="I62">
        <f ca="1">OFFSET(Sheet2!J$2,(ROW(I63))*3,0)</f>
        <v>17</v>
      </c>
      <c r="J62" t="str">
        <f ca="1">OFFSET(Sheet2!K$2,(ROW(J63))*3,0)</f>
        <v>Damage Observed</v>
      </c>
      <c r="K62" t="str">
        <f ca="1">OFFSET(Sheet2!L$2,(ROW(K63))*3,0)</f>
        <v>Very dirty</v>
      </c>
      <c r="L62" t="str">
        <f ca="1">OFFSET(Sheet2!M$2,(ROW(L63))*3,0)</f>
        <v>In good conditins</v>
      </c>
      <c r="M62" t="str">
        <f ca="1">OFFSET(Sheet2!N$2,(ROW(M63))*3,0)</f>
        <v>Still okay</v>
      </c>
      <c r="N62" t="str">
        <f ca="1">OFFSET(Sheet2!O$2,(ROW(N63))*3,0)</f>
        <v>Clean</v>
      </c>
      <c r="O62" t="str">
        <f ca="1">OFFSET(Sheet2!P$2,(ROW(O63))*3,0)</f>
        <v>In good conditions</v>
      </c>
      <c r="P62" t="str">
        <f ca="1">OFFSET(Sheet2!Q$2,(ROW(P63))*3,0)</f>
        <v>Still okay</v>
      </c>
      <c r="Q62">
        <f ca="1">OFFSET(Sheet2!R$2,(ROW(Q63))*3,0)</f>
        <v>0</v>
      </c>
      <c r="R62">
        <f ca="1">OFFSET(Sheet2!S$2,(ROW(R63))*3,0)</f>
        <v>0</v>
      </c>
      <c r="S62">
        <f ca="1">OFFSET(Sheet2!T$2,(ROW(S63))*3,0)</f>
        <v>0</v>
      </c>
      <c r="T62">
        <f ca="1">OFFSET(Sheet2!U$2,(ROW(T63))*3,0)</f>
        <v>0</v>
      </c>
      <c r="U62">
        <f ca="1">OFFSET(Sheet2!V$2,(ROW(U63))*3,0)</f>
        <v>0</v>
      </c>
    </row>
    <row r="63" spans="1:21" x14ac:dyDescent="0.35">
      <c r="A63" s="11" t="str">
        <f ca="1">OFFSET(Sheet2!B$2,(ROW(A64))*3,0)</f>
        <v>31/1/2020</v>
      </c>
      <c r="B63" s="11">
        <f ca="1">OFFSET(Sheet2!A$2,(ROW(A64))*3,0)</f>
        <v>43861</v>
      </c>
      <c r="C63">
        <f ca="1">OFFSET(Sheet2!C$2,(ROW(C64))*3,0)</f>
        <v>13</v>
      </c>
      <c r="D63" t="str">
        <f ca="1">OFFSET(Sheet2!D$2,(ROW(D64))*3,0)</f>
        <v>North</v>
      </c>
      <c r="E63" t="str">
        <f ca="1">OFFSET(Sheet2!F$2,(ROW(E64))*3,0)</f>
        <v>Mutenyo Alex</v>
      </c>
      <c r="F63" t="str">
        <f ca="1">OFFSET(Sheet2!G$2,(ROW(F64))*3,0)</f>
        <v>Control</v>
      </c>
      <c r="G63">
        <f ca="1">OFFSET(Sheet2!H$2,(ROW(G64))*3,0)</f>
        <v>0</v>
      </c>
      <c r="H63" t="str">
        <f ca="1">OFFSET(Sheet2!I$2,(ROW(H64))*3,0)</f>
        <v>weekly</v>
      </c>
      <c r="I63">
        <f ca="1">OFFSET(Sheet2!J$2,(ROW(I64))*3,0)</f>
        <v>263</v>
      </c>
      <c r="J63" t="str">
        <f ca="1">OFFSET(Sheet2!K$2,(ROW(J64))*3,0)</f>
        <v>Damage Observed</v>
      </c>
      <c r="K63" t="str">
        <f ca="1">OFFSET(Sheet2!L$2,(ROW(K64))*3,0)</f>
        <v>Okay</v>
      </c>
      <c r="L63" t="str">
        <f ca="1">OFFSET(Sheet2!M$2,(ROW(L64))*3,0)</f>
        <v>It is good maintain the care</v>
      </c>
      <c r="M63" t="str">
        <f ca="1">OFFSET(Sheet2!N$2,(ROW(M64))*3,0)</f>
        <v>It is good</v>
      </c>
      <c r="N63" t="str">
        <f ca="1">OFFSET(Sheet2!O$2,(ROW(N64))*3,0)</f>
        <v>It is good</v>
      </c>
      <c r="O63" t="str">
        <f ca="1">OFFSET(Sheet2!P$2,(ROW(O64))*3,0)</f>
        <v>It is okay</v>
      </c>
      <c r="P63" t="str">
        <f ca="1">OFFSET(Sheet2!Q$2,(ROW(P64))*3,0)</f>
        <v>No wear observed</v>
      </c>
      <c r="Q63" t="str">
        <f ca="1">OFFSET(Sheet2!R$2,(ROW(Q64))*3,0)</f>
        <v>It is still working</v>
      </c>
      <c r="R63" t="str">
        <f ca="1">OFFSET(Sheet2!S$2,(ROW(R64))*3,0)</f>
        <v>It is still okay</v>
      </c>
      <c r="S63" t="str">
        <f ca="1">OFFSET(Sheet2!T$2,(ROW(S64))*3,0)</f>
        <v>functioning well</v>
      </c>
      <c r="T63">
        <f ca="1">OFFSET(Sheet2!U$2,(ROW(T64))*3,0)</f>
        <v>0</v>
      </c>
      <c r="U63">
        <f ca="1">OFFSET(Sheet2!V$2,(ROW(U64))*3,0)</f>
        <v>0</v>
      </c>
    </row>
    <row r="64" spans="1:21" x14ac:dyDescent="0.35">
      <c r="A64" s="11">
        <f ca="1">OFFSET(Sheet2!B$2,(ROW(A65))*3,0)</f>
        <v>43877</v>
      </c>
      <c r="B64" s="11">
        <f ca="1">OFFSET(Sheet2!A$2,(ROW(A65))*3,0)</f>
        <v>43877</v>
      </c>
      <c r="C64">
        <f ca="1">OFFSET(Sheet2!C$2,(ROW(C65))*3,0)</f>
        <v>13</v>
      </c>
      <c r="D64" t="str">
        <f ca="1">OFFSET(Sheet2!D$2,(ROW(D65))*3,0)</f>
        <v>North</v>
      </c>
      <c r="E64" t="str">
        <f ca="1">OFFSET(Sheet2!F$2,(ROW(E65))*3,0)</f>
        <v>MUTENYO ALEX</v>
      </c>
      <c r="F64" t="str">
        <f ca="1">OFFSET(Sheet2!G$2,(ROW(F65))*3,0)</f>
        <v>Control</v>
      </c>
      <c r="G64">
        <f ca="1">OFFSET(Sheet2!H$2,(ROW(G65))*3,0)</f>
        <v>0</v>
      </c>
      <c r="H64" t="str">
        <f ca="1">OFFSET(Sheet2!I$2,(ROW(H65))*3,0)</f>
        <v>WEEKLY</v>
      </c>
      <c r="I64">
        <f ca="1">OFFSET(Sheet2!J$2,(ROW(I65))*3,0)</f>
        <v>291</v>
      </c>
      <c r="J64" t="str">
        <f ca="1">OFFSET(Sheet2!K$2,(ROW(J65))*3,0)</f>
        <v>Damage Observed</v>
      </c>
      <c r="K64" t="str">
        <f ca="1">OFFSET(Sheet2!L$2,(ROW(K65))*3,0)</f>
        <v>Okay</v>
      </c>
      <c r="L64" t="str">
        <f ca="1">OFFSET(Sheet2!M$2,(ROW(L65))*3,0)</f>
        <v>Clean</v>
      </c>
      <c r="M64" t="str">
        <f ca="1">OFFSET(Sheet2!N$2,(ROW(M65))*3,0)</f>
        <v>Good</v>
      </c>
      <c r="N64" t="str">
        <f ca="1">OFFSET(Sheet2!O$2,(ROW(N65))*3,0)</f>
        <v>Clean</v>
      </c>
      <c r="O64" t="str">
        <f ca="1">OFFSET(Sheet2!P$2,(ROW(O65))*3,0)</f>
        <v>Good</v>
      </c>
      <c r="P64" t="str">
        <f ca="1">OFFSET(Sheet2!Q$2,(ROW(P65))*3,0)</f>
        <v>In good Condition</v>
      </c>
      <c r="Q64">
        <f ca="1">OFFSET(Sheet2!R$2,(ROW(Q65))*3,0)</f>
        <v>0</v>
      </c>
      <c r="R64">
        <f ca="1">OFFSET(Sheet2!S$2,(ROW(R65))*3,0)</f>
        <v>0</v>
      </c>
      <c r="S64">
        <f ca="1">OFFSET(Sheet2!T$2,(ROW(S65))*3,0)</f>
        <v>0</v>
      </c>
      <c r="T64">
        <f ca="1">OFFSET(Sheet2!U$2,(ROW(T65))*3,0)</f>
        <v>0</v>
      </c>
      <c r="U64">
        <f ca="1">OFFSET(Sheet2!V$2,(ROW(U65))*3,0)</f>
        <v>0</v>
      </c>
    </row>
    <row r="65" spans="1:21" x14ac:dyDescent="0.35">
      <c r="A65" s="11">
        <f ca="1">OFFSET(Sheet2!B$2,(ROW(A66))*3,0)</f>
        <v>43884</v>
      </c>
      <c r="B65" s="11">
        <f ca="1">OFFSET(Sheet2!A$2,(ROW(A66))*3,0)</f>
        <v>43884</v>
      </c>
      <c r="C65">
        <f ca="1">OFFSET(Sheet2!C$2,(ROW(C66))*3,0)</f>
        <v>13</v>
      </c>
      <c r="D65" t="str">
        <f ca="1">OFFSET(Sheet2!D$2,(ROW(D66))*3,0)</f>
        <v>North</v>
      </c>
      <c r="E65" t="str">
        <f ca="1">OFFSET(Sheet2!F$2,(ROW(E66))*3,0)</f>
        <v>Mutenyo Alex</v>
      </c>
      <c r="F65" t="str">
        <f ca="1">OFFSET(Sheet2!G$2,(ROW(F66))*3,0)</f>
        <v>Control</v>
      </c>
      <c r="G65">
        <f ca="1">OFFSET(Sheet2!H$2,(ROW(G66))*3,0)</f>
        <v>0</v>
      </c>
      <c r="H65" t="str">
        <f ca="1">OFFSET(Sheet2!I$2,(ROW(H66))*3,0)</f>
        <v>WEEKLY</v>
      </c>
      <c r="I65">
        <f ca="1">OFFSET(Sheet2!J$2,(ROW(I66))*3,0)</f>
        <v>245</v>
      </c>
      <c r="J65" t="str">
        <f ca="1">OFFSET(Sheet2!K$2,(ROW(J66))*3,0)</f>
        <v>Damage Observed</v>
      </c>
      <c r="K65" t="str">
        <f ca="1">OFFSET(Sheet2!L$2,(ROW(K66))*3,0)</f>
        <v>Very Dirty</v>
      </c>
      <c r="L65" t="str">
        <f ca="1">OFFSET(Sheet2!M$2,(ROW(L66))*3,0)</f>
        <v>Okay</v>
      </c>
      <c r="M65" t="str">
        <f ca="1">OFFSET(Sheet2!N$2,(ROW(M66))*3,0)</f>
        <v>Good</v>
      </c>
      <c r="N65" t="str">
        <f ca="1">OFFSET(Sheet2!O$2,(ROW(N66))*3,0)</f>
        <v>Okay</v>
      </c>
      <c r="O65" t="str">
        <f ca="1">OFFSET(Sheet2!P$2,(ROW(O66))*3,0)</f>
        <v>Good</v>
      </c>
      <c r="P65" t="str">
        <f ca="1">OFFSET(Sheet2!Q$2,(ROW(P66))*3,0)</f>
        <v>In good Condition</v>
      </c>
      <c r="Q65">
        <f ca="1">OFFSET(Sheet2!R$2,(ROW(Q66))*3,0)</f>
        <v>0</v>
      </c>
      <c r="R65">
        <f ca="1">OFFSET(Sheet2!S$2,(ROW(R66))*3,0)</f>
        <v>0</v>
      </c>
      <c r="S65">
        <f ca="1">OFFSET(Sheet2!T$2,(ROW(S66))*3,0)</f>
        <v>0</v>
      </c>
      <c r="T65">
        <f ca="1">OFFSET(Sheet2!U$2,(ROW(T66))*3,0)</f>
        <v>0</v>
      </c>
      <c r="U65">
        <f ca="1">OFFSET(Sheet2!V$2,(ROW(U66))*3,0)</f>
        <v>0</v>
      </c>
    </row>
    <row r="66" spans="1:21" x14ac:dyDescent="0.35">
      <c r="A66" s="11">
        <f ca="1">OFFSET(Sheet2!B$2,(ROW(A67))*3,0)</f>
        <v>43892</v>
      </c>
      <c r="B66" s="11">
        <f ca="1">OFFSET(Sheet2!A$2,(ROW(A67))*3,0)</f>
        <v>43892</v>
      </c>
      <c r="C66">
        <f ca="1">OFFSET(Sheet2!C$2,(ROW(C67))*3,0)</f>
        <v>13</v>
      </c>
      <c r="D66" t="str">
        <f ca="1">OFFSET(Sheet2!D$2,(ROW(D67))*3,0)</f>
        <v>North</v>
      </c>
      <c r="E66" t="str">
        <f ca="1">OFFSET(Sheet2!F$2,(ROW(E67))*3,0)</f>
        <v>Mutenyo Alex</v>
      </c>
      <c r="F66" t="str">
        <f ca="1">OFFSET(Sheet2!G$2,(ROW(F67))*3,0)</f>
        <v>Control</v>
      </c>
      <c r="G66">
        <f ca="1">OFFSET(Sheet2!H$2,(ROW(G67))*3,0)</f>
        <v>0</v>
      </c>
      <c r="H66" t="str">
        <f ca="1">OFFSET(Sheet2!I$2,(ROW(H67))*3,0)</f>
        <v>WEEKLY</v>
      </c>
      <c r="I66">
        <f ca="1">OFFSET(Sheet2!J$2,(ROW(I67))*3,0)</f>
        <v>253</v>
      </c>
      <c r="J66" t="str">
        <f ca="1">OFFSET(Sheet2!K$2,(ROW(J67))*3,0)</f>
        <v>Damage Observed</v>
      </c>
      <c r="K66" t="str">
        <f ca="1">OFFSET(Sheet2!L$2,(ROW(K67))*3,0)</f>
        <v>Dirty</v>
      </c>
      <c r="L66" t="str">
        <f ca="1">OFFSET(Sheet2!M$2,(ROW(L67))*3,0)</f>
        <v>Okay</v>
      </c>
      <c r="M66" t="str">
        <f ca="1">OFFSET(Sheet2!N$2,(ROW(M67))*3,0)</f>
        <v>Good</v>
      </c>
      <c r="N66" t="str">
        <f ca="1">OFFSET(Sheet2!O$2,(ROW(N67))*3,0)</f>
        <v>Dirty</v>
      </c>
      <c r="O66" t="str">
        <f ca="1">OFFSET(Sheet2!P$2,(ROW(O67))*3,0)</f>
        <v>Good</v>
      </c>
      <c r="P66" t="str">
        <f ca="1">OFFSET(Sheet2!Q$2,(ROW(P67))*3,0)</f>
        <v>In good Condition</v>
      </c>
      <c r="Q66">
        <f ca="1">OFFSET(Sheet2!R$2,(ROW(Q67))*3,0)</f>
        <v>0</v>
      </c>
      <c r="R66">
        <f ca="1">OFFSET(Sheet2!S$2,(ROW(R67))*3,0)</f>
        <v>0</v>
      </c>
      <c r="S66">
        <f ca="1">OFFSET(Sheet2!T$2,(ROW(S67))*3,0)</f>
        <v>0</v>
      </c>
      <c r="T66">
        <f ca="1">OFFSET(Sheet2!U$2,(ROW(T67))*3,0)</f>
        <v>0</v>
      </c>
      <c r="U66">
        <f ca="1">OFFSET(Sheet2!V$2,(ROW(U67))*3,0)</f>
        <v>0</v>
      </c>
    </row>
    <row r="67" spans="1:21" x14ac:dyDescent="0.35">
      <c r="A67" s="11">
        <f ca="1">OFFSET(Sheet2!B$2,(ROW(A68))*3,0)</f>
        <v>43898</v>
      </c>
      <c r="B67" s="11">
        <f ca="1">OFFSET(Sheet2!A$2,(ROW(A68))*3,0)</f>
        <v>43898</v>
      </c>
      <c r="C67">
        <f ca="1">OFFSET(Sheet2!C$2,(ROW(C68))*3,0)</f>
        <v>13</v>
      </c>
      <c r="D67" t="str">
        <f ca="1">OFFSET(Sheet2!D$2,(ROW(D68))*3,0)</f>
        <v>North</v>
      </c>
      <c r="E67" t="str">
        <f ca="1">OFFSET(Sheet2!F$2,(ROW(E68))*3,0)</f>
        <v>Mutenyo Alex</v>
      </c>
      <c r="F67" t="str">
        <f ca="1">OFFSET(Sheet2!G$2,(ROW(F68))*3,0)</f>
        <v>Control</v>
      </c>
      <c r="G67">
        <f ca="1">OFFSET(Sheet2!H$2,(ROW(G68))*3,0)</f>
        <v>0</v>
      </c>
      <c r="H67" t="str">
        <f ca="1">OFFSET(Sheet2!I$2,(ROW(H68))*3,0)</f>
        <v>WEEKLY</v>
      </c>
      <c r="I67">
        <f ca="1">OFFSET(Sheet2!J$2,(ROW(I68))*3,0)</f>
        <v>259</v>
      </c>
      <c r="J67" t="str">
        <f ca="1">OFFSET(Sheet2!K$2,(ROW(J68))*3,0)</f>
        <v>Damage Observed</v>
      </c>
      <c r="K67" t="str">
        <f ca="1">OFFSET(Sheet2!L$2,(ROW(K68))*3,0)</f>
        <v>Dirty</v>
      </c>
      <c r="L67" t="str">
        <f ca="1">OFFSET(Sheet2!M$2,(ROW(L68))*3,0)</f>
        <v>Dirty</v>
      </c>
      <c r="M67" t="str">
        <f ca="1">OFFSET(Sheet2!N$2,(ROW(M68))*3,0)</f>
        <v>Loose</v>
      </c>
      <c r="N67" t="str">
        <f ca="1">OFFSET(Sheet2!O$2,(ROW(N68))*3,0)</f>
        <v>Dirty</v>
      </c>
      <c r="O67" t="str">
        <f ca="1">OFFSET(Sheet2!P$2,(ROW(O68))*3,0)</f>
        <v>Good</v>
      </c>
      <c r="P67" t="str">
        <f ca="1">OFFSET(Sheet2!Q$2,(ROW(P68))*3,0)</f>
        <v>In good Condition</v>
      </c>
      <c r="Q67">
        <f ca="1">OFFSET(Sheet2!R$2,(ROW(Q68))*3,0)</f>
        <v>0</v>
      </c>
      <c r="R67">
        <f ca="1">OFFSET(Sheet2!S$2,(ROW(R68))*3,0)</f>
        <v>0</v>
      </c>
      <c r="S67">
        <f ca="1">OFFSET(Sheet2!T$2,(ROW(S68))*3,0)</f>
        <v>0</v>
      </c>
      <c r="T67">
        <f ca="1">OFFSET(Sheet2!U$2,(ROW(T68))*3,0)</f>
        <v>0</v>
      </c>
      <c r="U67">
        <f ca="1">OFFSET(Sheet2!V$2,(ROW(U68))*3,0)</f>
        <v>0</v>
      </c>
    </row>
    <row r="68" spans="1:21" x14ac:dyDescent="0.35">
      <c r="A68" s="11">
        <f ca="1">OFFSET(Sheet2!B$2,(ROW(A69))*3,0)</f>
        <v>43841</v>
      </c>
      <c r="B68" s="11">
        <f ca="1">OFFSET(Sheet2!A$2,(ROW(A69))*3,0)</f>
        <v>43841</v>
      </c>
      <c r="C68">
        <f ca="1">OFFSET(Sheet2!C$2,(ROW(C69))*3,0)</f>
        <v>14</v>
      </c>
      <c r="D68" t="str">
        <f ca="1">OFFSET(Sheet2!D$2,(ROW(D69))*3,0)</f>
        <v>North</v>
      </c>
      <c r="E68" t="str">
        <f ca="1">OFFSET(Sheet2!F$2,(ROW(E69))*3,0)</f>
        <v>Nashimolo Fred</v>
      </c>
      <c r="F68" t="str">
        <f ca="1">OFFSET(Sheet2!G$2,(ROW(F69))*3,0)</f>
        <v>Control</v>
      </c>
      <c r="G68">
        <f ca="1">OFFSET(Sheet2!H$2,(ROW(G69))*3,0)</f>
        <v>0</v>
      </c>
      <c r="H68" t="str">
        <f ca="1">OFFSET(Sheet2!I$2,(ROW(H69))*3,0)</f>
        <v>Comprehensive</v>
      </c>
      <c r="I68">
        <f ca="1">OFFSET(Sheet2!J$2,(ROW(I69))*3,0)</f>
        <v>26</v>
      </c>
      <c r="J68" t="str">
        <f ca="1">OFFSET(Sheet2!K$2,(ROW(J69))*3,0)</f>
        <v>Damage Observed</v>
      </c>
      <c r="K68" t="str">
        <f ca="1">OFFSET(Sheet2!L$2,(ROW(K69))*3,0)</f>
        <v>Okay</v>
      </c>
      <c r="L68" t="str">
        <f ca="1">OFFSET(Sheet2!M$2,(ROW(L69))*3,0)</f>
        <v>No damage</v>
      </c>
      <c r="M68" t="str">
        <f ca="1">OFFSET(Sheet2!N$2,(ROW(M69))*3,0)</f>
        <v>Well maintained</v>
      </c>
      <c r="N68" t="str">
        <f ca="1">OFFSET(Sheet2!O$2,(ROW(N69))*3,0)</f>
        <v>Still good</v>
      </c>
      <c r="O68" t="str">
        <f ca="1">OFFSET(Sheet2!P$2,(ROW(O69))*3,0)</f>
        <v>Has no effect</v>
      </c>
      <c r="P68" t="str">
        <f ca="1">OFFSET(Sheet2!Q$2,(ROW(P69))*3,0)</f>
        <v>Still in good conditions</v>
      </c>
      <c r="Q68" t="str">
        <f ca="1">OFFSET(Sheet2!R$2,(ROW(Q69))*3,0)</f>
        <v>No damage</v>
      </c>
      <c r="R68" t="str">
        <f ca="1">OFFSET(Sheet2!S$2,(ROW(R69))*3,0)</f>
        <v xml:space="preserve">Still good </v>
      </c>
      <c r="S68" t="str">
        <f ca="1">OFFSET(Sheet2!T$2,(ROW(S69))*3,0)</f>
        <v>Abit dirty</v>
      </c>
      <c r="T68">
        <f ca="1">OFFSET(Sheet2!U$2,(ROW(T69))*3,0)</f>
        <v>0</v>
      </c>
      <c r="U68">
        <f ca="1">OFFSET(Sheet2!V$2,(ROW(U69))*3,0)</f>
        <v>0</v>
      </c>
    </row>
    <row r="69" spans="1:21" x14ac:dyDescent="0.35">
      <c r="A69" s="11" t="str">
        <f ca="1">OFFSET(Sheet2!B$2,(ROW(A70))*3,0)</f>
        <v>24/1/2020</v>
      </c>
      <c r="B69" s="11">
        <f ca="1">OFFSET(Sheet2!A$2,(ROW(A70))*3,0)</f>
        <v>43854</v>
      </c>
      <c r="C69">
        <f ca="1">OFFSET(Sheet2!C$2,(ROW(C70))*3,0)</f>
        <v>14</v>
      </c>
      <c r="D69" t="str">
        <f ca="1">OFFSET(Sheet2!D$2,(ROW(D70))*3,0)</f>
        <v>North</v>
      </c>
      <c r="E69" t="str">
        <f ca="1">OFFSET(Sheet2!F$2,(ROW(E70))*3,0)</f>
        <v>Nashimolo Fred</v>
      </c>
      <c r="F69" t="str">
        <f ca="1">OFFSET(Sheet2!G$2,(ROW(F70))*3,0)</f>
        <v>Control</v>
      </c>
      <c r="G69">
        <f ca="1">OFFSET(Sheet2!H$2,(ROW(G70))*3,0)</f>
        <v>0</v>
      </c>
      <c r="H69" t="str">
        <f ca="1">OFFSET(Sheet2!I$2,(ROW(H70))*3,0)</f>
        <v>weekly</v>
      </c>
      <c r="I69">
        <f ca="1">OFFSET(Sheet2!J$2,(ROW(I70))*3,0)</f>
        <v>18</v>
      </c>
      <c r="J69" t="str">
        <f ca="1">OFFSET(Sheet2!K$2,(ROW(J70))*3,0)</f>
        <v>Damage Observed</v>
      </c>
      <c r="K69" t="str">
        <f ca="1">OFFSET(Sheet2!L$2,(ROW(K70))*3,0)</f>
        <v>Dirty</v>
      </c>
      <c r="L69" t="str">
        <f ca="1">OFFSET(Sheet2!M$2,(ROW(L70))*3,0)</f>
        <v>Okay</v>
      </c>
      <c r="M69" t="str">
        <f ca="1">OFFSET(Sheet2!N$2,(ROW(M70))*3,0)</f>
        <v>Still okay</v>
      </c>
      <c r="N69" t="str">
        <f ca="1">OFFSET(Sheet2!O$2,(ROW(N70))*3,0)</f>
        <v xml:space="preserve">Clean </v>
      </c>
      <c r="O69" t="str">
        <f ca="1">OFFSET(Sheet2!P$2,(ROW(O70))*3,0)</f>
        <v>Good conditions</v>
      </c>
      <c r="P69" t="str">
        <f ca="1">OFFSET(Sheet2!Q$2,(ROW(P70))*3,0)</f>
        <v>Clear</v>
      </c>
      <c r="Q69">
        <f ca="1">OFFSET(Sheet2!R$2,(ROW(Q70))*3,0)</f>
        <v>0</v>
      </c>
      <c r="R69">
        <f ca="1">OFFSET(Sheet2!S$2,(ROW(R70))*3,0)</f>
        <v>0</v>
      </c>
      <c r="S69">
        <f ca="1">OFFSET(Sheet2!T$2,(ROW(S70))*3,0)</f>
        <v>0</v>
      </c>
      <c r="T69">
        <f ca="1">OFFSET(Sheet2!U$2,(ROW(T70))*3,0)</f>
        <v>0</v>
      </c>
      <c r="U69">
        <f ca="1">OFFSET(Sheet2!V$2,(ROW(U70))*3,0)</f>
        <v>0</v>
      </c>
    </row>
    <row r="70" spans="1:21" x14ac:dyDescent="0.35">
      <c r="A70" s="11" t="str">
        <f ca="1">OFFSET(Sheet2!B$2,(ROW(A71))*3,0)</f>
        <v>31/1/2020</v>
      </c>
      <c r="B70" s="11">
        <f ca="1">OFFSET(Sheet2!A$2,(ROW(A71))*3,0)</f>
        <v>43861</v>
      </c>
      <c r="C70">
        <f ca="1">OFFSET(Sheet2!C$2,(ROW(C71))*3,0)</f>
        <v>14</v>
      </c>
      <c r="D70" t="str">
        <f ca="1">OFFSET(Sheet2!D$2,(ROW(D71))*3,0)</f>
        <v>North</v>
      </c>
      <c r="E70" t="str">
        <f ca="1">OFFSET(Sheet2!F$2,(ROW(E71))*3,0)</f>
        <v>Nashimolo Fred</v>
      </c>
      <c r="F70" t="str">
        <f ca="1">OFFSET(Sheet2!G$2,(ROW(F71))*3,0)</f>
        <v>Control</v>
      </c>
      <c r="G70">
        <f ca="1">OFFSET(Sheet2!H$2,(ROW(G71))*3,0)</f>
        <v>0</v>
      </c>
      <c r="H70" t="str">
        <f ca="1">OFFSET(Sheet2!I$2,(ROW(H71))*3,0)</f>
        <v>weekly</v>
      </c>
      <c r="I70">
        <f ca="1">OFFSET(Sheet2!J$2,(ROW(I71))*3,0)</f>
        <v>60</v>
      </c>
      <c r="J70" t="str">
        <f ca="1">OFFSET(Sheet2!K$2,(ROW(J71))*3,0)</f>
        <v>Damage Observed</v>
      </c>
      <c r="K70" t="str">
        <f ca="1">OFFSET(Sheet2!L$2,(ROW(K71))*3,0)</f>
        <v>Okay</v>
      </c>
      <c r="L70" t="str">
        <f ca="1">OFFSET(Sheet2!M$2,(ROW(L71))*3,0)</f>
        <v>Stilfunctioning well</v>
      </c>
      <c r="M70" t="str">
        <f ca="1">OFFSET(Sheet2!N$2,(ROW(M71))*3,0)</f>
        <v>Well set</v>
      </c>
      <c r="N70" t="str">
        <f ca="1">OFFSET(Sheet2!O$2,(ROW(N71))*3,0)</f>
        <v xml:space="preserve">Dusty </v>
      </c>
      <c r="O70" t="str">
        <f ca="1">OFFSET(Sheet2!P$2,(ROW(O71))*3,0)</f>
        <v>Still working well</v>
      </c>
      <c r="P70" t="str">
        <f ca="1">OFFSET(Sheet2!Q$2,(ROW(P71))*3,0)</f>
        <v>Still okay</v>
      </c>
      <c r="Q70" t="str">
        <f ca="1">OFFSET(Sheet2!R$2,(ROW(Q71))*3,0)</f>
        <v>Normally functionig</v>
      </c>
      <c r="R70" t="str">
        <f ca="1">OFFSET(Sheet2!S$2,(ROW(R71))*3,0)</f>
        <v>Good working conditions</v>
      </c>
      <c r="S70" t="str">
        <f ca="1">OFFSET(Sheet2!T$2,(ROW(S71))*3,0)</f>
        <v xml:space="preserve">Well maintained </v>
      </c>
      <c r="T70">
        <f ca="1">OFFSET(Sheet2!U$2,(ROW(T71))*3,0)</f>
        <v>0</v>
      </c>
      <c r="U70">
        <f ca="1">OFFSET(Sheet2!V$2,(ROW(U71))*3,0)</f>
        <v>0</v>
      </c>
    </row>
    <row r="71" spans="1:21" x14ac:dyDescent="0.35">
      <c r="A71" s="11" t="str">
        <f ca="1">OFFSET(Sheet2!B$2,(ROW(A72))*3,0)</f>
        <v>16/01/2020</v>
      </c>
      <c r="B71" s="11">
        <f ca="1">OFFSET(Sheet2!A$2,(ROW(A72))*3,0)</f>
        <v>43846</v>
      </c>
      <c r="C71">
        <f ca="1">OFFSET(Sheet2!C$2,(ROW(C72))*3,0)</f>
        <v>15</v>
      </c>
      <c r="D71" t="str">
        <f ca="1">OFFSET(Sheet2!D$2,(ROW(D72))*3,0)</f>
        <v>North</v>
      </c>
      <c r="E71" t="str">
        <f ca="1">OFFSET(Sheet2!F$2,(ROW(E72))*3,0)</f>
        <v>NABWAMBI MICHEAL</v>
      </c>
      <c r="F71" t="str">
        <f ca="1">OFFSET(Sheet2!G$2,(ROW(F72))*3,0)</f>
        <v>H2Go</v>
      </c>
      <c r="G71">
        <f ca="1">OFFSET(Sheet2!H$2,(ROW(G72))*3,0)</f>
        <v>0</v>
      </c>
      <c r="H71" t="str">
        <f ca="1">OFFSET(Sheet2!I$2,(ROW(H72))*3,0)</f>
        <v>Comprehensive</v>
      </c>
      <c r="I71">
        <f ca="1">OFFSET(Sheet2!J$2,(ROW(I72))*3,0)</f>
        <v>22</v>
      </c>
      <c r="J71" t="str">
        <f ca="1">OFFSET(Sheet2!K$2,(ROW(J72))*3,0)</f>
        <v>Damage Observed</v>
      </c>
      <c r="K71" t="str">
        <f ca="1">OFFSET(Sheet2!L$2,(ROW(K72))*3,0)</f>
        <v>Okay</v>
      </c>
      <c r="L71" t="str">
        <f ca="1">OFFSET(Sheet2!M$2,(ROW(L72))*3,0)</f>
        <v>Very dirty</v>
      </c>
      <c r="M71" t="str">
        <f ca="1">OFFSET(Sheet2!N$2,(ROW(M72))*3,0)</f>
        <v>Somehow loose</v>
      </c>
      <c r="N71" t="str">
        <f ca="1">OFFSET(Sheet2!O$2,(ROW(N72))*3,0)</f>
        <v>Very dirty</v>
      </c>
      <c r="O71" t="str">
        <f ca="1">OFFSET(Sheet2!P$2,(ROW(O72))*3,0)</f>
        <v>Still in good conditions</v>
      </c>
      <c r="P71" t="str">
        <f ca="1">OFFSET(Sheet2!Q$2,(ROW(P72))*3,0)</f>
        <v>Good</v>
      </c>
      <c r="Q71" t="str">
        <f ca="1">OFFSET(Sheet2!R$2,(ROW(Q72))*3,0)</f>
        <v>Functioning normally</v>
      </c>
      <c r="R71" t="str">
        <f ca="1">OFFSET(Sheet2!S$2,(ROW(R72))*3,0)</f>
        <v>Okay , No defects identified</v>
      </c>
      <c r="S71" t="str">
        <f ca="1">OFFSET(Sheet2!T$2,(ROW(S72))*3,0)</f>
        <v>Still good</v>
      </c>
      <c r="T71">
        <f ca="1">OFFSET(Sheet2!U$2,(ROW(T72))*3,0)</f>
        <v>0</v>
      </c>
      <c r="U71">
        <f ca="1">OFFSET(Sheet2!V$2,(ROW(U72))*3,0)</f>
        <v>0</v>
      </c>
    </row>
    <row r="72" spans="1:21" x14ac:dyDescent="0.35">
      <c r="A72" s="11" t="str">
        <f ca="1">OFFSET(Sheet2!B$2,(ROW(A73))*3,0)</f>
        <v>24/1/2020</v>
      </c>
      <c r="B72" s="11">
        <f ca="1">OFFSET(Sheet2!A$2,(ROW(A73))*3,0)</f>
        <v>43854</v>
      </c>
      <c r="C72">
        <f ca="1">OFFSET(Sheet2!C$2,(ROW(C73))*3,0)</f>
        <v>15</v>
      </c>
      <c r="D72" t="str">
        <f ca="1">OFFSET(Sheet2!D$2,(ROW(D73))*3,0)</f>
        <v>North</v>
      </c>
      <c r="E72" t="str">
        <f ca="1">OFFSET(Sheet2!F$2,(ROW(E73))*3,0)</f>
        <v>NABWAMBI MICHEAL</v>
      </c>
      <c r="F72" t="str">
        <f ca="1">OFFSET(Sheet2!G$2,(ROW(F73))*3,0)</f>
        <v>H2Go</v>
      </c>
      <c r="G72">
        <f ca="1">OFFSET(Sheet2!H$2,(ROW(G73))*3,0)</f>
        <v>0</v>
      </c>
      <c r="H72" t="str">
        <f ca="1">OFFSET(Sheet2!I$2,(ROW(H73))*3,0)</f>
        <v>weekly</v>
      </c>
      <c r="I72">
        <f ca="1">OFFSET(Sheet2!J$2,(ROW(I73))*3,0)</f>
        <v>15</v>
      </c>
      <c r="J72" t="str">
        <f ca="1">OFFSET(Sheet2!K$2,(ROW(J73))*3,0)</f>
        <v>Damage Observed</v>
      </c>
      <c r="K72" t="str">
        <f ca="1">OFFSET(Sheet2!L$2,(ROW(K73))*3,0)</f>
        <v>Okay</v>
      </c>
      <c r="L72" t="str">
        <f ca="1">OFFSET(Sheet2!M$2,(ROW(L73))*3,0)</f>
        <v>Still good</v>
      </c>
      <c r="M72" t="str">
        <f ca="1">OFFSET(Sheet2!N$2,(ROW(M73))*3,0)</f>
        <v>Loose</v>
      </c>
      <c r="N72" t="str">
        <f ca="1">OFFSET(Sheet2!O$2,(ROW(N73))*3,0)</f>
        <v>Clean wiyh less dust</v>
      </c>
      <c r="O72" t="str">
        <f ca="1">OFFSET(Sheet2!P$2,(ROW(O73))*3,0)</f>
        <v>Still functioning</v>
      </c>
      <c r="P72" t="str">
        <f ca="1">OFFSET(Sheet2!Q$2,(ROW(P73))*3,0)</f>
        <v>Still okay</v>
      </c>
      <c r="Q72">
        <f ca="1">OFFSET(Sheet2!R$2,(ROW(Q73))*3,0)</f>
        <v>0</v>
      </c>
      <c r="R72">
        <f ca="1">OFFSET(Sheet2!S$2,(ROW(R73))*3,0)</f>
        <v>0</v>
      </c>
      <c r="S72">
        <f ca="1">OFFSET(Sheet2!T$2,(ROW(S73))*3,0)</f>
        <v>0</v>
      </c>
      <c r="T72">
        <f ca="1">OFFSET(Sheet2!U$2,(ROW(T73))*3,0)</f>
        <v>0</v>
      </c>
      <c r="U72">
        <f ca="1">OFFSET(Sheet2!V$2,(ROW(U73))*3,0)</f>
        <v>0</v>
      </c>
    </row>
    <row r="73" spans="1:21" x14ac:dyDescent="0.35">
      <c r="A73" s="11">
        <f ca="1">OFFSET(Sheet2!B$2,(ROW(A74))*3,0)</f>
        <v>43868</v>
      </c>
      <c r="B73" s="11">
        <f ca="1">OFFSET(Sheet2!A$2,(ROW(A74))*3,0)</f>
        <v>43868</v>
      </c>
      <c r="C73">
        <f ca="1">OFFSET(Sheet2!C$2,(ROW(C74))*3,0)</f>
        <v>15</v>
      </c>
      <c r="D73" t="str">
        <f ca="1">OFFSET(Sheet2!D$2,(ROW(D74))*3,0)</f>
        <v>North</v>
      </c>
      <c r="E73" t="str">
        <f ca="1">OFFSET(Sheet2!F$2,(ROW(E74))*3,0)</f>
        <v>NABWAMBI MICHEAL</v>
      </c>
      <c r="F73" t="str">
        <f ca="1">OFFSET(Sheet2!G$2,(ROW(F74))*3,0)</f>
        <v>Control</v>
      </c>
      <c r="G73">
        <f ca="1">OFFSET(Sheet2!H$2,(ROW(G74))*3,0)</f>
        <v>0</v>
      </c>
      <c r="H73" t="str">
        <f ca="1">OFFSET(Sheet2!I$2,(ROW(H74))*3,0)</f>
        <v>WEEKLY</v>
      </c>
      <c r="I73">
        <f ca="1">OFFSET(Sheet2!J$2,(ROW(I74))*3,0)</f>
        <v>265</v>
      </c>
      <c r="J73" t="str">
        <f ca="1">OFFSET(Sheet2!K$2,(ROW(J74))*3,0)</f>
        <v>Damage Observed</v>
      </c>
      <c r="K73" t="str">
        <f ca="1">OFFSET(Sheet2!L$2,(ROW(K74))*3,0)</f>
        <v>Oil is dirty</v>
      </c>
      <c r="L73" t="str">
        <f ca="1">OFFSET(Sheet2!M$2,(ROW(L74))*3,0)</f>
        <v>Clean</v>
      </c>
      <c r="M73" t="str">
        <f ca="1">OFFSET(Sheet2!N$2,(ROW(M74))*3,0)</f>
        <v>Loosen</v>
      </c>
      <c r="N73" t="str">
        <f ca="1">OFFSET(Sheet2!O$2,(ROW(N74))*3,0)</f>
        <v>Clean, in good conditions</v>
      </c>
      <c r="O73" t="str">
        <f ca="1">OFFSET(Sheet2!P$2,(ROW(O74))*3,0)</f>
        <v>Funcyions normally</v>
      </c>
      <c r="P73" t="str">
        <f ca="1">OFFSET(Sheet2!Q$2,(ROW(P74))*3,0)</f>
        <v>No wearing</v>
      </c>
      <c r="Q73" t="str">
        <f ca="1">OFFSET(Sheet2!R$2,(ROW(Q74))*3,0)</f>
        <v>In good condtions</v>
      </c>
      <c r="R73" t="str">
        <f ca="1">OFFSET(Sheet2!S$2,(ROW(R74))*3,0)</f>
        <v>Functioning well</v>
      </c>
      <c r="S73" t="str">
        <f ca="1">OFFSET(Sheet2!T$2,(ROW(S74))*3,0)</f>
        <v>No damage</v>
      </c>
      <c r="T73">
        <f ca="1">OFFSET(Sheet2!U$2,(ROW(T74))*3,0)</f>
        <v>0</v>
      </c>
      <c r="U73">
        <f ca="1">OFFSET(Sheet2!V$2,(ROW(U74))*3,0)</f>
        <v>0</v>
      </c>
    </row>
    <row r="74" spans="1:21" x14ac:dyDescent="0.35">
      <c r="A74" s="11">
        <f ca="1">OFFSET(Sheet2!B$2,(ROW(A75))*3,0)</f>
        <v>43878</v>
      </c>
      <c r="B74" s="11">
        <f ca="1">OFFSET(Sheet2!A$2,(ROW(A75))*3,0)</f>
        <v>43878</v>
      </c>
      <c r="C74">
        <f ca="1">OFFSET(Sheet2!C$2,(ROW(C75))*3,0)</f>
        <v>15</v>
      </c>
      <c r="D74" t="str">
        <f ca="1">OFFSET(Sheet2!D$2,(ROW(D75))*3,0)</f>
        <v>North</v>
      </c>
      <c r="E74" t="str">
        <f ca="1">OFFSET(Sheet2!F$2,(ROW(E75))*3,0)</f>
        <v>NABWAMBI MICHEAL</v>
      </c>
      <c r="F74" t="str">
        <f ca="1">OFFSET(Sheet2!G$2,(ROW(F75))*3,0)</f>
        <v>Control</v>
      </c>
      <c r="G74">
        <f ca="1">OFFSET(Sheet2!H$2,(ROW(G75))*3,0)</f>
        <v>0</v>
      </c>
      <c r="H74" t="str">
        <f ca="1">OFFSET(Sheet2!I$2,(ROW(H75))*3,0)</f>
        <v>WEEKLY</v>
      </c>
      <c r="I74">
        <f ca="1">OFFSET(Sheet2!J$2,(ROW(I75))*3,0)</f>
        <v>224</v>
      </c>
      <c r="J74" t="str">
        <f ca="1">OFFSET(Sheet2!K$2,(ROW(J75))*3,0)</f>
        <v>Damage Observed</v>
      </c>
      <c r="K74" t="str">
        <f ca="1">OFFSET(Sheet2!L$2,(ROW(K75))*3,0)</f>
        <v>Clean</v>
      </c>
      <c r="L74" t="str">
        <f ca="1">OFFSET(Sheet2!M$2,(ROW(L75))*3,0)</f>
        <v>Clean</v>
      </c>
      <c r="M74" t="str">
        <f ca="1">OFFSET(Sheet2!N$2,(ROW(M75))*3,0)</f>
        <v>Good</v>
      </c>
      <c r="N74" t="str">
        <f ca="1">OFFSET(Sheet2!O$2,(ROW(N75))*3,0)</f>
        <v>Clean</v>
      </c>
      <c r="O74" t="str">
        <f ca="1">OFFSET(Sheet2!P$2,(ROW(O75))*3,0)</f>
        <v>Good</v>
      </c>
      <c r="P74" t="str">
        <f ca="1">OFFSET(Sheet2!Q$2,(ROW(P75))*3,0)</f>
        <v>In good Condition</v>
      </c>
      <c r="Q74">
        <f ca="1">OFFSET(Sheet2!R$2,(ROW(Q75))*3,0)</f>
        <v>0</v>
      </c>
      <c r="R74">
        <f ca="1">OFFSET(Sheet2!S$2,(ROW(R75))*3,0)</f>
        <v>0</v>
      </c>
      <c r="S74">
        <f ca="1">OFFSET(Sheet2!T$2,(ROW(S75))*3,0)</f>
        <v>0</v>
      </c>
      <c r="T74">
        <f ca="1">OFFSET(Sheet2!U$2,(ROW(T75))*3,0)</f>
        <v>0</v>
      </c>
      <c r="U74">
        <f ca="1">OFFSET(Sheet2!V$2,(ROW(U75))*3,0)</f>
        <v>0</v>
      </c>
    </row>
    <row r="75" spans="1:21" x14ac:dyDescent="0.35">
      <c r="A75" s="11">
        <f ca="1">OFFSET(Sheet2!B$2,(ROW(A76))*3,0)</f>
        <v>43841</v>
      </c>
      <c r="B75" s="11">
        <f ca="1">OFFSET(Sheet2!A$2,(ROW(A76))*3,0)</f>
        <v>43841</v>
      </c>
      <c r="C75">
        <f ca="1">OFFSET(Sheet2!C$2,(ROW(C76))*3,0)</f>
        <v>16</v>
      </c>
      <c r="D75" t="str">
        <f ca="1">OFFSET(Sheet2!D$2,(ROW(D76))*3,0)</f>
        <v>South</v>
      </c>
      <c r="E75" t="str">
        <f ca="1">OFFSET(Sheet2!F$2,(ROW(E76))*3,0)</f>
        <v>MASINDE SULAITI</v>
      </c>
      <c r="F75" t="str">
        <f ca="1">OFFSET(Sheet2!G$2,(ROW(F76))*3,0)</f>
        <v>H2Go</v>
      </c>
      <c r="G75">
        <f ca="1">OFFSET(Sheet2!H$2,(ROW(G76))*3,0)</f>
        <v>0</v>
      </c>
      <c r="H75" t="str">
        <f ca="1">OFFSET(Sheet2!I$2,(ROW(H76))*3,0)</f>
        <v>Comprehensive</v>
      </c>
      <c r="I75">
        <f ca="1">OFFSET(Sheet2!J$2,(ROW(I76))*3,0)</f>
        <v>93</v>
      </c>
      <c r="J75" t="str">
        <f ca="1">OFFSET(Sheet2!K$2,(ROW(J76))*3,0)</f>
        <v>Damage Observed</v>
      </c>
      <c r="K75" t="str">
        <f ca="1">OFFSET(Sheet2!L$2,(ROW(K76))*3,0)</f>
        <v>Okay</v>
      </c>
      <c r="L75" t="str">
        <f ca="1">OFFSET(Sheet2!M$2,(ROW(L76))*3,0)</f>
        <v>IT WAS GOOD</v>
      </c>
      <c r="M75" t="str">
        <f ca="1">OFFSET(Sheet2!N$2,(ROW(M76))*3,0)</f>
        <v>PERFECT</v>
      </c>
      <c r="N75" t="str">
        <f ca="1">OFFSET(Sheet2!O$2,(ROW(N76))*3,0)</f>
        <v>PERRFECT</v>
      </c>
      <c r="O75" t="str">
        <f ca="1">OFFSET(Sheet2!P$2,(ROW(O76))*3,0)</f>
        <v>IN A GOOD CONDITION</v>
      </c>
      <c r="P75" t="str">
        <f ca="1">OFFSET(Sheet2!Q$2,(ROW(P76))*3,0)</f>
        <v>IN A GOOD CONDITION</v>
      </c>
      <c r="Q75" t="str">
        <f ca="1">OFFSET(Sheet2!R$2,(ROW(Q76))*3,0)</f>
        <v>PERFECT</v>
      </c>
      <c r="R75" t="str">
        <f ca="1">OFFSET(Sheet2!S$2,(ROW(R76))*3,0)</f>
        <v>PERFECT</v>
      </c>
      <c r="S75" t="str">
        <f ca="1">OFFSET(Sheet2!T$2,(ROW(S76))*3,0)</f>
        <v>GOOD</v>
      </c>
      <c r="T75">
        <f ca="1">OFFSET(Sheet2!U$2,(ROW(T76))*3,0)</f>
        <v>0</v>
      </c>
      <c r="U75">
        <f ca="1">OFFSET(Sheet2!V$2,(ROW(U76))*3,0)</f>
        <v>0</v>
      </c>
    </row>
    <row r="76" spans="1:21" x14ac:dyDescent="0.35">
      <c r="A76" s="11">
        <f ca="1">OFFSET(Sheet2!B$2,(ROW(A77))*3,0)</f>
        <v>43855</v>
      </c>
      <c r="B76" s="11">
        <f ca="1">OFFSET(Sheet2!A$2,(ROW(A77))*3,0)</f>
        <v>43855</v>
      </c>
      <c r="C76">
        <f ca="1">OFFSET(Sheet2!C$2,(ROW(C77))*3,0)</f>
        <v>16</v>
      </c>
      <c r="D76" t="str">
        <f ca="1">OFFSET(Sheet2!D$2,(ROW(D77))*3,0)</f>
        <v>South</v>
      </c>
      <c r="E76" t="str">
        <f ca="1">OFFSET(Sheet2!F$2,(ROW(E77))*3,0)</f>
        <v>MASINDE SULAITI</v>
      </c>
      <c r="F76" t="str">
        <f ca="1">OFFSET(Sheet2!G$2,(ROW(F77))*3,0)</f>
        <v>H2Go</v>
      </c>
      <c r="G76">
        <f ca="1">OFFSET(Sheet2!H$2,(ROW(G77))*3,0)</f>
        <v>0</v>
      </c>
      <c r="H76" t="str">
        <f ca="1">OFFSET(Sheet2!I$2,(ROW(H77))*3,0)</f>
        <v>WEEKLY</v>
      </c>
      <c r="I76">
        <f ca="1">OFFSET(Sheet2!J$2,(ROW(I77))*3,0)</f>
        <v>63</v>
      </c>
      <c r="J76" t="str">
        <f ca="1">OFFSET(Sheet2!K$2,(ROW(J77))*3,0)</f>
        <v>Damage Observed</v>
      </c>
      <c r="K76" t="str">
        <f ca="1">OFFSET(Sheet2!L$2,(ROW(K77))*3,0)</f>
        <v>Okay</v>
      </c>
      <c r="L76" t="str">
        <f ca="1">OFFSET(Sheet2!M$2,(ROW(L77))*3,0)</f>
        <v>SERVICED</v>
      </c>
      <c r="M76" t="str">
        <f ca="1">OFFSET(Sheet2!N$2,(ROW(M77))*3,0)</f>
        <v>GOOD</v>
      </c>
      <c r="N76" t="str">
        <f ca="1">OFFSET(Sheet2!O$2,(ROW(N77))*3,0)</f>
        <v>GOOD</v>
      </c>
      <c r="O76" t="str">
        <f ca="1">OFFSET(Sheet2!P$2,(ROW(O77))*3,0)</f>
        <v>GOOD</v>
      </c>
      <c r="P76" t="str">
        <f ca="1">OFFSET(Sheet2!Q$2,(ROW(P77))*3,0)</f>
        <v>NUT WORN OUT</v>
      </c>
      <c r="Q76">
        <f ca="1">OFFSET(Sheet2!R$2,(ROW(Q77))*3,0)</f>
        <v>0</v>
      </c>
      <c r="R76">
        <f ca="1">OFFSET(Sheet2!S$2,(ROW(R77))*3,0)</f>
        <v>0</v>
      </c>
      <c r="S76">
        <f ca="1">OFFSET(Sheet2!T$2,(ROW(S77))*3,0)</f>
        <v>0</v>
      </c>
      <c r="T76">
        <f ca="1">OFFSET(Sheet2!U$2,(ROW(T77))*3,0)</f>
        <v>0</v>
      </c>
      <c r="U76">
        <f ca="1">OFFSET(Sheet2!V$2,(ROW(U77))*3,0)</f>
        <v>0</v>
      </c>
    </row>
    <row r="77" spans="1:21" x14ac:dyDescent="0.35">
      <c r="A77" s="11">
        <f ca="1">OFFSET(Sheet2!B$2,(ROW(A78))*3,0)</f>
        <v>43862</v>
      </c>
      <c r="B77" s="11">
        <f ca="1">OFFSET(Sheet2!A$2,(ROW(A78))*3,0)</f>
        <v>43862</v>
      </c>
      <c r="C77">
        <f ca="1">OFFSET(Sheet2!C$2,(ROW(C78))*3,0)</f>
        <v>16</v>
      </c>
      <c r="D77" t="str">
        <f ca="1">OFFSET(Sheet2!D$2,(ROW(D78))*3,0)</f>
        <v>South</v>
      </c>
      <c r="E77" t="str">
        <f ca="1">OFFSET(Sheet2!F$2,(ROW(E78))*3,0)</f>
        <v>MASINDE SULAITI</v>
      </c>
      <c r="F77" t="str">
        <f ca="1">OFFSET(Sheet2!G$2,(ROW(F78))*3,0)</f>
        <v>H2Go</v>
      </c>
      <c r="G77">
        <f ca="1">OFFSET(Sheet2!H$2,(ROW(G78))*3,0)</f>
        <v>0</v>
      </c>
      <c r="H77" t="str">
        <f ca="1">OFFSET(Sheet2!I$2,(ROW(H78))*3,0)</f>
        <v>WEEKLY</v>
      </c>
      <c r="I77">
        <f ca="1">OFFSET(Sheet2!J$2,(ROW(I78))*3,0)</f>
        <v>89</v>
      </c>
      <c r="J77" t="str">
        <f ca="1">OFFSET(Sheet2!K$2,(ROW(J78))*3,0)</f>
        <v>Damage Observed</v>
      </c>
      <c r="K77" t="str">
        <f ca="1">OFFSET(Sheet2!L$2,(ROW(K78))*3,0)</f>
        <v>Good</v>
      </c>
      <c r="L77" t="str">
        <f ca="1">OFFSET(Sheet2!M$2,(ROW(L78))*3,0)</f>
        <v>GOOD</v>
      </c>
      <c r="M77" t="str">
        <f ca="1">OFFSET(Sheet2!N$2,(ROW(M78))*3,0)</f>
        <v>GOOD</v>
      </c>
      <c r="N77" t="str">
        <f ca="1">OFFSET(Sheet2!O$2,(ROW(N78))*3,0)</f>
        <v>GOOD</v>
      </c>
      <c r="O77" t="str">
        <f ca="1">OFFSET(Sheet2!P$2,(ROW(O78))*3,0)</f>
        <v>GOOD</v>
      </c>
      <c r="P77" t="str">
        <f ca="1">OFFSET(Sheet2!Q$2,(ROW(P78))*3,0)</f>
        <v>VERY GOOD IN CONDITION</v>
      </c>
      <c r="Q77">
        <f ca="1">OFFSET(Sheet2!R$2,(ROW(Q78))*3,0)</f>
        <v>0</v>
      </c>
      <c r="R77">
        <f ca="1">OFFSET(Sheet2!S$2,(ROW(R78))*3,0)</f>
        <v>0</v>
      </c>
      <c r="S77">
        <f ca="1">OFFSET(Sheet2!T$2,(ROW(S78))*3,0)</f>
        <v>0</v>
      </c>
      <c r="T77">
        <f ca="1">OFFSET(Sheet2!U$2,(ROW(T78))*3,0)</f>
        <v>0</v>
      </c>
      <c r="U77">
        <f ca="1">OFFSET(Sheet2!V$2,(ROW(U78))*3,0)</f>
        <v>0</v>
      </c>
    </row>
    <row r="78" spans="1:21" x14ac:dyDescent="0.35">
      <c r="A78" s="11">
        <f ca="1">OFFSET(Sheet2!B$2,(ROW(A79))*3,0)</f>
        <v>43848</v>
      </c>
      <c r="B78" s="11">
        <f ca="1">OFFSET(Sheet2!A$2,(ROW(A79))*3,0)</f>
        <v>43848</v>
      </c>
      <c r="C78">
        <f ca="1">OFFSET(Sheet2!C$2,(ROW(C79))*3,0)</f>
        <v>16</v>
      </c>
      <c r="D78" t="str">
        <f ca="1">OFFSET(Sheet2!D$2,(ROW(D79))*3,0)</f>
        <v>South</v>
      </c>
      <c r="E78" t="str">
        <f ca="1">OFFSET(Sheet2!F$2,(ROW(E79))*3,0)</f>
        <v>MASINDE SULAITI</v>
      </c>
      <c r="F78" t="str">
        <f ca="1">OFFSET(Sheet2!G$2,(ROW(F79))*3,0)</f>
        <v>H2Go</v>
      </c>
      <c r="G78">
        <f ca="1">OFFSET(Sheet2!H$2,(ROW(G79))*3,0)</f>
        <v>0</v>
      </c>
      <c r="H78" t="str">
        <f ca="1">OFFSET(Sheet2!I$2,(ROW(H79))*3,0)</f>
        <v>WEEKLY</v>
      </c>
      <c r="I78">
        <f ca="1">OFFSET(Sheet2!J$2,(ROW(I79))*3,0)</f>
        <v>34</v>
      </c>
      <c r="J78" t="str">
        <f ca="1">OFFSET(Sheet2!K$2,(ROW(J79))*3,0)</f>
        <v>Damage Observed</v>
      </c>
      <c r="K78" t="str">
        <f ca="1">OFFSET(Sheet2!L$2,(ROW(K79))*3,0)</f>
        <v>Okay</v>
      </c>
      <c r="L78" t="str">
        <f ca="1">OFFSET(Sheet2!M$2,(ROW(L79))*3,0)</f>
        <v>IN A GOOD CONDITION</v>
      </c>
      <c r="M78" t="str">
        <f ca="1">OFFSET(Sheet2!N$2,(ROW(M79))*3,0)</f>
        <v>GOOD</v>
      </c>
      <c r="N78" t="str">
        <f ca="1">OFFSET(Sheet2!O$2,(ROW(N79))*3,0)</f>
        <v>GOOD</v>
      </c>
      <c r="O78" t="str">
        <f ca="1">OFFSET(Sheet2!P$2,(ROW(O79))*3,0)</f>
        <v>NOT GOOD</v>
      </c>
      <c r="P78" t="str">
        <f ca="1">OFFSET(Sheet2!Q$2,(ROW(P79))*3,0)</f>
        <v>IN A GOOD CONDITION</v>
      </c>
      <c r="Q78">
        <f ca="1">OFFSET(Sheet2!R$2,(ROW(Q79))*3,0)</f>
        <v>0</v>
      </c>
      <c r="R78">
        <f ca="1">OFFSET(Sheet2!S$2,(ROW(R79))*3,0)</f>
        <v>0</v>
      </c>
      <c r="S78">
        <f ca="1">OFFSET(Sheet2!T$2,(ROW(S79))*3,0)</f>
        <v>0</v>
      </c>
      <c r="T78">
        <f ca="1">OFFSET(Sheet2!U$2,(ROW(T79))*3,0)</f>
        <v>0</v>
      </c>
      <c r="U78">
        <f ca="1">OFFSET(Sheet2!V$2,(ROW(U79))*3,0)</f>
        <v>0</v>
      </c>
    </row>
    <row r="79" spans="1:21" x14ac:dyDescent="0.35">
      <c r="A79" s="11">
        <f ca="1">OFFSET(Sheet2!B$2,(ROW(A80))*3,0)</f>
        <v>43869</v>
      </c>
      <c r="B79" s="11">
        <f ca="1">OFFSET(Sheet2!A$2,(ROW(A80))*3,0)</f>
        <v>43869</v>
      </c>
      <c r="C79">
        <f ca="1">OFFSET(Sheet2!C$2,(ROW(C80))*3,0)</f>
        <v>16</v>
      </c>
      <c r="D79" t="str">
        <f ca="1">OFFSET(Sheet2!D$2,(ROW(D80))*3,0)</f>
        <v>South</v>
      </c>
      <c r="E79" t="str">
        <f ca="1">OFFSET(Sheet2!F$2,(ROW(E80))*3,0)</f>
        <v>MASINDE SULAITI</v>
      </c>
      <c r="F79" t="str">
        <f ca="1">OFFSET(Sheet2!G$2,(ROW(F80))*3,0)</f>
        <v>H2Go</v>
      </c>
      <c r="G79">
        <f ca="1">OFFSET(Sheet2!H$2,(ROW(G80))*3,0)</f>
        <v>0</v>
      </c>
      <c r="H79" t="str">
        <f ca="1">OFFSET(Sheet2!I$2,(ROW(H80))*3,0)</f>
        <v>WEEKLY</v>
      </c>
      <c r="I79">
        <f ca="1">OFFSET(Sheet2!J$2,(ROW(I80))*3,0)</f>
        <v>191</v>
      </c>
      <c r="J79" t="str">
        <f ca="1">OFFSET(Sheet2!K$2,(ROW(J80))*3,0)</f>
        <v>Damage Observed</v>
      </c>
      <c r="K79" t="str">
        <f ca="1">OFFSET(Sheet2!L$2,(ROW(K80))*3,0)</f>
        <v>NOT BAD THOUGH USED UP</v>
      </c>
      <c r="L79" t="str">
        <f ca="1">OFFSET(Sheet2!M$2,(ROW(L80))*3,0)</f>
        <v>GOOD</v>
      </c>
      <c r="M79" t="str">
        <f ca="1">OFFSET(Sheet2!N$2,(ROW(M80))*3,0)</f>
        <v>GOOD</v>
      </c>
      <c r="N79" t="str">
        <f ca="1">OFFSET(Sheet2!O$2,(ROW(N80))*3,0)</f>
        <v>GOOD</v>
      </c>
      <c r="O79" t="str">
        <f ca="1">OFFSET(Sheet2!P$2,(ROW(O80))*3,0)</f>
        <v>Clean(no soot)</v>
      </c>
      <c r="P79" t="str">
        <f ca="1">OFFSET(Sheet2!Q$2,(ROW(P80))*3,0)</f>
        <v>GOOD</v>
      </c>
      <c r="Q79">
        <f ca="1">OFFSET(Sheet2!R$2,(ROW(Q80))*3,0)</f>
        <v>0</v>
      </c>
      <c r="R79">
        <f ca="1">OFFSET(Sheet2!S$2,(ROW(R80))*3,0)</f>
        <v>0</v>
      </c>
      <c r="S79">
        <f ca="1">OFFSET(Sheet2!T$2,(ROW(S80))*3,0)</f>
        <v>0</v>
      </c>
      <c r="T79">
        <f ca="1">OFFSET(Sheet2!U$2,(ROW(T80))*3,0)</f>
        <v>0</v>
      </c>
      <c r="U79">
        <f ca="1">OFFSET(Sheet2!V$2,(ROW(U80))*3,0)</f>
        <v>0</v>
      </c>
    </row>
    <row r="80" spans="1:21" x14ac:dyDescent="0.35">
      <c r="A80" s="11">
        <f ca="1">OFFSET(Sheet2!B$2,(ROW(A81))*3,0)</f>
        <v>43876</v>
      </c>
      <c r="B80" s="11">
        <f ca="1">OFFSET(Sheet2!A$2,(ROW(A81))*3,0)</f>
        <v>43876</v>
      </c>
      <c r="C80">
        <f ca="1">OFFSET(Sheet2!C$2,(ROW(C81))*3,0)</f>
        <v>16</v>
      </c>
      <c r="D80" t="str">
        <f ca="1">OFFSET(Sheet2!D$2,(ROW(D81))*3,0)</f>
        <v>South</v>
      </c>
      <c r="E80" t="str">
        <f ca="1">OFFSET(Sheet2!F$2,(ROW(E81))*3,0)</f>
        <v>MASINDE SULAITI</v>
      </c>
      <c r="F80" t="str">
        <f ca="1">OFFSET(Sheet2!G$2,(ROW(F81))*3,0)</f>
        <v>H2Go</v>
      </c>
      <c r="G80">
        <f ca="1">OFFSET(Sheet2!H$2,(ROW(G81))*3,0)</f>
        <v>0</v>
      </c>
      <c r="H80" t="str">
        <f ca="1">OFFSET(Sheet2!I$2,(ROW(H81))*3,0)</f>
        <v>WEEKLY</v>
      </c>
      <c r="I80">
        <f ca="1">OFFSET(Sheet2!J$2,(ROW(I81))*3,0)</f>
        <v>128</v>
      </c>
      <c r="J80" t="str">
        <f ca="1">OFFSET(Sheet2!K$2,(ROW(J81))*3,0)</f>
        <v>Damage Observed</v>
      </c>
      <c r="K80" t="str">
        <f ca="1">OFFSET(Sheet2!L$2,(ROW(K81))*3,0)</f>
        <v>NOT BAD THOUGH USED UP</v>
      </c>
      <c r="L80" t="str">
        <f ca="1">OFFSET(Sheet2!M$2,(ROW(L81))*3,0)</f>
        <v>GOOD</v>
      </c>
      <c r="M80" t="str">
        <f ca="1">OFFSET(Sheet2!N$2,(ROW(M81))*3,0)</f>
        <v>FAULTY</v>
      </c>
      <c r="N80" t="str">
        <f ca="1">OFFSET(Sheet2!O$2,(ROW(N81))*3,0)</f>
        <v>CLEAN</v>
      </c>
      <c r="O80" t="str">
        <f ca="1">OFFSET(Sheet2!P$2,(ROW(O81))*3,0)</f>
        <v>Clean(no soot)</v>
      </c>
      <c r="P80" t="str">
        <f ca="1">OFFSET(Sheet2!Q$2,(ROW(P81))*3,0)</f>
        <v>GOOD</v>
      </c>
      <c r="Q80">
        <f ca="1">OFFSET(Sheet2!R$2,(ROW(Q81))*3,0)</f>
        <v>0</v>
      </c>
      <c r="R80">
        <f ca="1">OFFSET(Sheet2!S$2,(ROW(R81))*3,0)</f>
        <v>0</v>
      </c>
      <c r="S80">
        <f ca="1">OFFSET(Sheet2!T$2,(ROW(S81))*3,0)</f>
        <v>0</v>
      </c>
      <c r="T80">
        <f ca="1">OFFSET(Sheet2!U$2,(ROW(T81))*3,0)</f>
        <v>0</v>
      </c>
      <c r="U80">
        <f ca="1">OFFSET(Sheet2!V$2,(ROW(U81))*3,0)</f>
        <v>0</v>
      </c>
    </row>
    <row r="81" spans="1:21" x14ac:dyDescent="0.35">
      <c r="A81" s="11">
        <f ca="1">OFFSET(Sheet2!B$2,(ROW(A82))*3,0)</f>
        <v>43885</v>
      </c>
      <c r="B81" s="11">
        <f ca="1">OFFSET(Sheet2!A$2,(ROW(A82))*3,0)</f>
        <v>43885</v>
      </c>
      <c r="C81">
        <f ca="1">OFFSET(Sheet2!C$2,(ROW(C82))*3,0)</f>
        <v>16</v>
      </c>
      <c r="D81" t="str">
        <f ca="1">OFFSET(Sheet2!D$2,(ROW(D82))*3,0)</f>
        <v>South</v>
      </c>
      <c r="E81" t="str">
        <f ca="1">OFFSET(Sheet2!F$2,(ROW(E82))*3,0)</f>
        <v>MASINDE SULAITI</v>
      </c>
      <c r="F81" t="str">
        <f ca="1">OFFSET(Sheet2!G$2,(ROW(F82))*3,0)</f>
        <v>H2GO</v>
      </c>
      <c r="G81">
        <f ca="1">OFFSET(Sheet2!H$2,(ROW(G82))*3,0)</f>
        <v>0</v>
      </c>
      <c r="H81" t="str">
        <f ca="1">OFFSET(Sheet2!I$2,(ROW(H82))*3,0)</f>
        <v>WEEKLY</v>
      </c>
      <c r="I81">
        <f ca="1">OFFSET(Sheet2!J$2,(ROW(I82))*3,0)</f>
        <v>149</v>
      </c>
      <c r="J81" t="str">
        <f ca="1">OFFSET(Sheet2!K$2,(ROW(J82))*3,0)</f>
        <v>Damage Observed</v>
      </c>
      <c r="K81" t="str">
        <f ca="1">OFFSET(Sheet2!L$2,(ROW(K82))*3,0)</f>
        <v>Very Dirty</v>
      </c>
      <c r="L81" t="str">
        <f ca="1">OFFSET(Sheet2!M$2,(ROW(L82))*3,0)</f>
        <v>Dirty</v>
      </c>
      <c r="M81" t="str">
        <f ca="1">OFFSET(Sheet2!N$2,(ROW(M82))*3,0)</f>
        <v>Misaligned</v>
      </c>
      <c r="N81" t="str">
        <f ca="1">OFFSET(Sheet2!O$2,(ROW(N82))*3,0)</f>
        <v>Okay</v>
      </c>
      <c r="O81" t="str">
        <f ca="1">OFFSET(Sheet2!P$2,(ROW(O82))*3,0)</f>
        <v>Needs to be Changed</v>
      </c>
      <c r="P81" t="str">
        <f ca="1">OFFSET(Sheet2!Q$2,(ROW(P82))*3,0)</f>
        <v>In good Condition</v>
      </c>
      <c r="Q81">
        <f ca="1">OFFSET(Sheet2!R$2,(ROW(Q82))*3,0)</f>
        <v>0</v>
      </c>
      <c r="R81">
        <f ca="1">OFFSET(Sheet2!S$2,(ROW(R82))*3,0)</f>
        <v>0</v>
      </c>
      <c r="S81">
        <f ca="1">OFFSET(Sheet2!T$2,(ROW(S82))*3,0)</f>
        <v>0</v>
      </c>
      <c r="T81">
        <f ca="1">OFFSET(Sheet2!U$2,(ROW(T82))*3,0)</f>
        <v>0</v>
      </c>
      <c r="U81">
        <f ca="1">OFFSET(Sheet2!V$2,(ROW(U82))*3,0)</f>
        <v>0</v>
      </c>
    </row>
    <row r="82" spans="1:21" x14ac:dyDescent="0.35">
      <c r="A82" s="11">
        <f ca="1">OFFSET(Sheet2!B$2,(ROW(A83))*3,0)</f>
        <v>43892</v>
      </c>
      <c r="B82" s="11">
        <f ca="1">OFFSET(Sheet2!A$2,(ROW(A83))*3,0)</f>
        <v>43892</v>
      </c>
      <c r="C82">
        <f ca="1">OFFSET(Sheet2!C$2,(ROW(C83))*3,0)</f>
        <v>16</v>
      </c>
      <c r="D82" t="str">
        <f ca="1">OFFSET(Sheet2!D$2,(ROW(D83))*3,0)</f>
        <v>South</v>
      </c>
      <c r="E82" t="str">
        <f ca="1">OFFSET(Sheet2!F$2,(ROW(E83))*3,0)</f>
        <v>MASINDE SULAITI</v>
      </c>
      <c r="F82" t="str">
        <f ca="1">OFFSET(Sheet2!G$2,(ROW(F83))*3,0)</f>
        <v>H2GO</v>
      </c>
      <c r="G82">
        <f ca="1">OFFSET(Sheet2!H$2,(ROW(G83))*3,0)</f>
        <v>0</v>
      </c>
      <c r="H82" t="str">
        <f ca="1">OFFSET(Sheet2!I$2,(ROW(H83))*3,0)</f>
        <v>WEEKLY</v>
      </c>
      <c r="I82">
        <f ca="1">OFFSET(Sheet2!J$2,(ROW(I83))*3,0)</f>
        <v>110</v>
      </c>
      <c r="J82" t="str">
        <f ca="1">OFFSET(Sheet2!K$2,(ROW(J83))*3,0)</f>
        <v>Damage Observed</v>
      </c>
      <c r="K82" t="str">
        <f ca="1">OFFSET(Sheet2!L$2,(ROW(K83))*3,0)</f>
        <v>Okay</v>
      </c>
      <c r="L82" t="str">
        <f ca="1">OFFSET(Sheet2!M$2,(ROW(L83))*3,0)</f>
        <v>Dirty</v>
      </c>
      <c r="M82" t="str">
        <f ca="1">OFFSET(Sheet2!N$2,(ROW(M83))*3,0)</f>
        <v>Tight</v>
      </c>
      <c r="N82" t="str">
        <f ca="1">OFFSET(Sheet2!O$2,(ROW(N83))*3,0)</f>
        <v>Very Dirty</v>
      </c>
      <c r="O82" t="str">
        <f ca="1">OFFSET(Sheet2!P$2,(ROW(O83))*3,0)</f>
        <v>Needs to be Changed</v>
      </c>
      <c r="P82" t="str">
        <f ca="1">OFFSET(Sheet2!Q$2,(ROW(P83))*3,0)</f>
        <v>In good Condition</v>
      </c>
      <c r="Q82">
        <f ca="1">OFFSET(Sheet2!R$2,(ROW(Q83))*3,0)</f>
        <v>0</v>
      </c>
      <c r="R82">
        <f ca="1">OFFSET(Sheet2!S$2,(ROW(R83))*3,0)</f>
        <v>0</v>
      </c>
      <c r="S82">
        <f ca="1">OFFSET(Sheet2!T$2,(ROW(S83))*3,0)</f>
        <v>0</v>
      </c>
      <c r="T82">
        <f ca="1">OFFSET(Sheet2!U$2,(ROW(T83))*3,0)</f>
        <v>0</v>
      </c>
      <c r="U82">
        <f ca="1">OFFSET(Sheet2!V$2,(ROW(U83))*3,0)</f>
        <v>0</v>
      </c>
    </row>
    <row r="83" spans="1:21" x14ac:dyDescent="0.35">
      <c r="A83" s="11">
        <f ca="1">OFFSET(Sheet2!B$2,(ROW(A84))*3,0)</f>
        <v>43899</v>
      </c>
      <c r="B83" s="11">
        <f ca="1">OFFSET(Sheet2!A$2,(ROW(A84))*3,0)</f>
        <v>43899</v>
      </c>
      <c r="C83">
        <f ca="1">OFFSET(Sheet2!C$2,(ROW(C84))*3,0)</f>
        <v>16</v>
      </c>
      <c r="D83" t="str">
        <f ca="1">OFFSET(Sheet2!D$2,(ROW(D84))*3,0)</f>
        <v>South</v>
      </c>
      <c r="E83" t="str">
        <f ca="1">OFFSET(Sheet2!F$2,(ROW(E84))*3,0)</f>
        <v>MASINDE SULAITI</v>
      </c>
      <c r="F83" t="str">
        <f ca="1">OFFSET(Sheet2!G$2,(ROW(F84))*3,0)</f>
        <v>H2GO</v>
      </c>
      <c r="G83">
        <f ca="1">OFFSET(Sheet2!H$2,(ROW(G84))*3,0)</f>
        <v>0</v>
      </c>
      <c r="H83" t="str">
        <f ca="1">OFFSET(Sheet2!I$2,(ROW(H84))*3,0)</f>
        <v>WEEKLY</v>
      </c>
      <c r="I83">
        <f ca="1">OFFSET(Sheet2!J$2,(ROW(I84))*3,0)</f>
        <v>155</v>
      </c>
      <c r="J83" t="str">
        <f ca="1">OFFSET(Sheet2!K$2,(ROW(J84))*3,0)</f>
        <v>Damage Observed</v>
      </c>
      <c r="K83" t="str">
        <f ca="1">OFFSET(Sheet2!L$2,(ROW(K84))*3,0)</f>
        <v>Okay</v>
      </c>
      <c r="L83" t="str">
        <f ca="1">OFFSET(Sheet2!M$2,(ROW(L84))*3,0)</f>
        <v>Okay</v>
      </c>
      <c r="M83" t="str">
        <f ca="1">OFFSET(Sheet2!N$2,(ROW(M84))*3,0)</f>
        <v>Loose</v>
      </c>
      <c r="N83" t="str">
        <f ca="1">OFFSET(Sheet2!O$2,(ROW(N84))*3,0)</f>
        <v>Okay</v>
      </c>
      <c r="O83" t="str">
        <f ca="1">OFFSET(Sheet2!P$2,(ROW(O84))*3,0)</f>
        <v>Good</v>
      </c>
      <c r="P83" t="str">
        <f ca="1">OFFSET(Sheet2!Q$2,(ROW(P84))*3,0)</f>
        <v>In good Condition</v>
      </c>
      <c r="Q83">
        <f ca="1">OFFSET(Sheet2!R$2,(ROW(Q84))*3,0)</f>
        <v>0</v>
      </c>
      <c r="R83">
        <f ca="1">OFFSET(Sheet2!S$2,(ROW(R84))*3,0)</f>
        <v>0</v>
      </c>
      <c r="S83">
        <f ca="1">OFFSET(Sheet2!T$2,(ROW(S84))*3,0)</f>
        <v>0</v>
      </c>
      <c r="T83">
        <f ca="1">OFFSET(Sheet2!U$2,(ROW(T84))*3,0)</f>
        <v>0</v>
      </c>
      <c r="U83">
        <f ca="1">OFFSET(Sheet2!V$2,(ROW(U84))*3,0)</f>
        <v>0</v>
      </c>
    </row>
    <row r="84" spans="1:21" x14ac:dyDescent="0.35">
      <c r="A84" s="11">
        <f ca="1">OFFSET(Sheet2!B$2,(ROW(A85))*3,0)</f>
        <v>43841</v>
      </c>
      <c r="B84" s="11">
        <f ca="1">OFFSET(Sheet2!A$2,(ROW(A85))*3,0)</f>
        <v>43841</v>
      </c>
      <c r="C84">
        <f ca="1">OFFSET(Sheet2!C$2,(ROW(C85))*3,0)</f>
        <v>17</v>
      </c>
      <c r="D84" t="str">
        <f ca="1">OFFSET(Sheet2!D$2,(ROW(D85))*3,0)</f>
        <v>South</v>
      </c>
      <c r="E84" t="str">
        <f ca="1">OFFSET(Sheet2!F$2,(ROW(E85))*3,0)</f>
        <v>MAJEME GEORGE</v>
      </c>
      <c r="F84" t="str">
        <f ca="1">OFFSET(Sheet2!G$2,(ROW(F85))*3,0)</f>
        <v>H2Go</v>
      </c>
      <c r="G84">
        <f ca="1">OFFSET(Sheet2!H$2,(ROW(G85))*3,0)</f>
        <v>0</v>
      </c>
      <c r="H84" t="str">
        <f ca="1">OFFSET(Sheet2!I$2,(ROW(H85))*3,0)</f>
        <v>Comprehensive</v>
      </c>
      <c r="I84">
        <f ca="1">OFFSET(Sheet2!J$2,(ROW(I85))*3,0)</f>
        <v>96</v>
      </c>
      <c r="J84" t="str">
        <f ca="1">OFFSET(Sheet2!K$2,(ROW(J85))*3,0)</f>
        <v>Damage Observed</v>
      </c>
      <c r="K84" t="str">
        <f ca="1">OFFSET(Sheet2!L$2,(ROW(K85))*3,0)</f>
        <v>VERY DIRTY</v>
      </c>
      <c r="L84" t="str">
        <f ca="1">OFFSET(Sheet2!M$2,(ROW(L85))*3,0)</f>
        <v>GOOD</v>
      </c>
      <c r="M84" t="str">
        <f ca="1">OFFSET(Sheet2!N$2,(ROW(M85))*3,0)</f>
        <v>NEED TO BE SETTED</v>
      </c>
      <c r="N84" t="str">
        <f ca="1">OFFSET(Sheet2!O$2,(ROW(N85))*3,0)</f>
        <v>GOOD</v>
      </c>
      <c r="O84" t="str">
        <f ca="1">OFFSET(Sheet2!P$2,(ROW(O85))*3,0)</f>
        <v>IN A GOOD CONDITION</v>
      </c>
      <c r="P84" t="str">
        <f ca="1">OFFSET(Sheet2!Q$2,(ROW(P85))*3,0)</f>
        <v>WELL SERVICED</v>
      </c>
      <c r="Q84" t="str">
        <f ca="1">OFFSET(Sheet2!R$2,(ROW(Q85))*3,0)</f>
        <v>PERFECT</v>
      </c>
      <c r="R84" t="str">
        <f ca="1">OFFSET(Sheet2!S$2,(ROW(R85))*3,0)</f>
        <v>GOOD</v>
      </c>
      <c r="S84" t="str">
        <f ca="1">OFFSET(Sheet2!T$2,(ROW(S85))*3,0)</f>
        <v>GOOD</v>
      </c>
      <c r="T84">
        <f ca="1">OFFSET(Sheet2!U$2,(ROW(T85))*3,0)</f>
        <v>0</v>
      </c>
      <c r="U84">
        <f ca="1">OFFSET(Sheet2!V$2,(ROW(U85))*3,0)</f>
        <v>0</v>
      </c>
    </row>
    <row r="85" spans="1:21" x14ac:dyDescent="0.35">
      <c r="A85" s="11">
        <f ca="1">OFFSET(Sheet2!B$2,(ROW(A86))*3,0)</f>
        <v>43848</v>
      </c>
      <c r="B85" s="11">
        <f ca="1">OFFSET(Sheet2!A$2,(ROW(A86))*3,0)</f>
        <v>43848</v>
      </c>
      <c r="C85">
        <f ca="1">OFFSET(Sheet2!C$2,(ROW(C86))*3,0)</f>
        <v>17</v>
      </c>
      <c r="D85" t="str">
        <f ca="1">OFFSET(Sheet2!D$2,(ROW(D86))*3,0)</f>
        <v>South</v>
      </c>
      <c r="E85" t="str">
        <f ca="1">OFFSET(Sheet2!F$2,(ROW(E86))*3,0)</f>
        <v>MAJEME GEORGE</v>
      </c>
      <c r="F85" t="str">
        <f ca="1">OFFSET(Sheet2!G$2,(ROW(F86))*3,0)</f>
        <v>H2Go</v>
      </c>
      <c r="G85">
        <f ca="1">OFFSET(Sheet2!H$2,(ROW(G86))*3,0)</f>
        <v>0</v>
      </c>
      <c r="H85" t="str">
        <f ca="1">OFFSET(Sheet2!I$2,(ROW(H86))*3,0)</f>
        <v>WEEKLY</v>
      </c>
      <c r="I85">
        <f ca="1">OFFSET(Sheet2!J$2,(ROW(I86))*3,0)</f>
        <v>67</v>
      </c>
      <c r="J85" t="str">
        <f ca="1">OFFSET(Sheet2!K$2,(ROW(J86))*3,0)</f>
        <v>Damage Observed</v>
      </c>
      <c r="K85" t="str">
        <f ca="1">OFFSET(Sheet2!L$2,(ROW(K86))*3,0)</f>
        <v>Very dirty</v>
      </c>
      <c r="L85" t="str">
        <f ca="1">OFFSET(Sheet2!M$2,(ROW(L86))*3,0)</f>
        <v>GOOD</v>
      </c>
      <c r="M85" t="str">
        <f ca="1">OFFSET(Sheet2!N$2,(ROW(M86))*3,0)</f>
        <v>GOOD</v>
      </c>
      <c r="N85" t="str">
        <f ca="1">OFFSET(Sheet2!O$2,(ROW(N86))*3,0)</f>
        <v>GOOD</v>
      </c>
      <c r="O85" t="str">
        <f ca="1">OFFSET(Sheet2!P$2,(ROW(O86))*3,0)</f>
        <v>GOOD</v>
      </c>
      <c r="P85" t="str">
        <f ca="1">OFFSET(Sheet2!Q$2,(ROW(P86))*3,0)</f>
        <v>NUT WORN OUT</v>
      </c>
      <c r="Q85">
        <f ca="1">OFFSET(Sheet2!R$2,(ROW(Q86))*3,0)</f>
        <v>0</v>
      </c>
      <c r="R85">
        <f ca="1">OFFSET(Sheet2!S$2,(ROW(R86))*3,0)</f>
        <v>0</v>
      </c>
      <c r="S85">
        <f ca="1">OFFSET(Sheet2!T$2,(ROW(S86))*3,0)</f>
        <v>0</v>
      </c>
      <c r="T85">
        <f ca="1">OFFSET(Sheet2!U$2,(ROW(T86))*3,0)</f>
        <v>0</v>
      </c>
      <c r="U85">
        <f ca="1">OFFSET(Sheet2!V$2,(ROW(U86))*3,0)</f>
        <v>0</v>
      </c>
    </row>
    <row r="86" spans="1:21" x14ac:dyDescent="0.35">
      <c r="A86" s="11">
        <f ca="1">OFFSET(Sheet2!B$2,(ROW(A87))*3,0)</f>
        <v>43855</v>
      </c>
      <c r="B86" s="11">
        <f ca="1">OFFSET(Sheet2!A$2,(ROW(A87))*3,0)</f>
        <v>43855</v>
      </c>
      <c r="C86">
        <f ca="1">OFFSET(Sheet2!C$2,(ROW(C87))*3,0)</f>
        <v>17</v>
      </c>
      <c r="D86" t="str">
        <f ca="1">OFFSET(Sheet2!D$2,(ROW(D87))*3,0)</f>
        <v>South</v>
      </c>
      <c r="E86" t="str">
        <f ca="1">OFFSET(Sheet2!F$2,(ROW(E87))*3,0)</f>
        <v>MAJEME GEORGE</v>
      </c>
      <c r="F86" t="str">
        <f ca="1">OFFSET(Sheet2!G$2,(ROW(F87))*3,0)</f>
        <v>H2Go</v>
      </c>
      <c r="G86">
        <f ca="1">OFFSET(Sheet2!H$2,(ROW(G87))*3,0)</f>
        <v>0</v>
      </c>
      <c r="H86" t="str">
        <f ca="1">OFFSET(Sheet2!I$2,(ROW(H87))*3,0)</f>
        <v>WEEKLY</v>
      </c>
      <c r="I86">
        <f ca="1">OFFSET(Sheet2!J$2,(ROW(I87))*3,0)</f>
        <v>68</v>
      </c>
      <c r="J86" t="str">
        <f ca="1">OFFSET(Sheet2!K$2,(ROW(J87))*3,0)</f>
        <v>Damage Observed</v>
      </c>
      <c r="K86" t="str">
        <f ca="1">OFFSET(Sheet2!L$2,(ROW(K87))*3,0)</f>
        <v>Very dirty</v>
      </c>
      <c r="L86" t="str">
        <f ca="1">OFFSET(Sheet2!M$2,(ROW(L87))*3,0)</f>
        <v>GOOD EVEN IF SERVICED</v>
      </c>
      <c r="M86" t="str">
        <f ca="1">OFFSET(Sheet2!N$2,(ROW(M87))*3,0)</f>
        <v>GOOD</v>
      </c>
      <c r="N86" t="str">
        <f ca="1">OFFSET(Sheet2!O$2,(ROW(N87))*3,0)</f>
        <v>GOOD</v>
      </c>
      <c r="O86" t="str">
        <f ca="1">OFFSET(Sheet2!P$2,(ROW(O87))*3,0)</f>
        <v>GOOD</v>
      </c>
      <c r="P86" t="str">
        <f ca="1">OFFSET(Sheet2!Q$2,(ROW(P87))*3,0)</f>
        <v>NUT WORN OUT</v>
      </c>
      <c r="Q86">
        <f ca="1">OFFSET(Sheet2!R$2,(ROW(Q87))*3,0)</f>
        <v>0</v>
      </c>
      <c r="R86">
        <f ca="1">OFFSET(Sheet2!S$2,(ROW(R87))*3,0)</f>
        <v>0</v>
      </c>
      <c r="S86">
        <f ca="1">OFFSET(Sheet2!T$2,(ROW(S87))*3,0)</f>
        <v>0</v>
      </c>
      <c r="T86">
        <f ca="1">OFFSET(Sheet2!U$2,(ROW(T87))*3,0)</f>
        <v>0</v>
      </c>
      <c r="U86">
        <f ca="1">OFFSET(Sheet2!V$2,(ROW(U87))*3,0)</f>
        <v>0</v>
      </c>
    </row>
    <row r="87" spans="1:21" x14ac:dyDescent="0.35">
      <c r="A87" s="11">
        <f ca="1">OFFSET(Sheet2!B$2,(ROW(A88))*3,0)</f>
        <v>43862</v>
      </c>
      <c r="B87" s="11">
        <f ca="1">OFFSET(Sheet2!A$2,(ROW(A88))*3,0)</f>
        <v>43862</v>
      </c>
      <c r="C87">
        <f ca="1">OFFSET(Sheet2!C$2,(ROW(C88))*3,0)</f>
        <v>17</v>
      </c>
      <c r="D87" t="str">
        <f ca="1">OFFSET(Sheet2!D$2,(ROW(D88))*3,0)</f>
        <v>South</v>
      </c>
      <c r="E87" t="str">
        <f ca="1">OFFSET(Sheet2!F$2,(ROW(E88))*3,0)</f>
        <v>MAJEME GEORGE</v>
      </c>
      <c r="F87" t="str">
        <f ca="1">OFFSET(Sheet2!G$2,(ROW(F88))*3,0)</f>
        <v>H2Go</v>
      </c>
      <c r="G87">
        <f ca="1">OFFSET(Sheet2!H$2,(ROW(G88))*3,0)</f>
        <v>0</v>
      </c>
      <c r="H87" t="str">
        <f ca="1">OFFSET(Sheet2!I$2,(ROW(H88))*3,0)</f>
        <v>WEEKLY</v>
      </c>
      <c r="I87">
        <f ca="1">OFFSET(Sheet2!J$2,(ROW(I88))*3,0)</f>
        <v>82</v>
      </c>
      <c r="J87" t="str">
        <f ca="1">OFFSET(Sheet2!K$2,(ROW(J88))*3,0)</f>
        <v>Damage Observed</v>
      </c>
      <c r="K87" t="str">
        <f ca="1">OFFSET(Sheet2!L$2,(ROW(K88))*3,0)</f>
        <v>Good</v>
      </c>
      <c r="L87" t="str">
        <f ca="1">OFFSET(Sheet2!M$2,(ROW(L88))*3,0)</f>
        <v>GOOD</v>
      </c>
      <c r="M87" t="str">
        <f ca="1">OFFSET(Sheet2!N$2,(ROW(M88))*3,0)</f>
        <v>GOOD</v>
      </c>
      <c r="N87" t="str">
        <f ca="1">OFFSET(Sheet2!O$2,(ROW(N88))*3,0)</f>
        <v>GOOD</v>
      </c>
      <c r="O87" t="str">
        <f ca="1">OFFSET(Sheet2!P$2,(ROW(O88))*3,0)</f>
        <v>GOOD</v>
      </c>
      <c r="P87" t="str">
        <f ca="1">OFFSET(Sheet2!Q$2,(ROW(P88))*3,0)</f>
        <v>WASHER AND NUT REPLACED</v>
      </c>
      <c r="Q87">
        <f ca="1">OFFSET(Sheet2!R$2,(ROW(Q88))*3,0)</f>
        <v>0</v>
      </c>
      <c r="R87">
        <f ca="1">OFFSET(Sheet2!S$2,(ROW(R88))*3,0)</f>
        <v>0</v>
      </c>
      <c r="S87">
        <f ca="1">OFFSET(Sheet2!T$2,(ROW(S88))*3,0)</f>
        <v>0</v>
      </c>
      <c r="T87">
        <f ca="1">OFFSET(Sheet2!U$2,(ROW(T88))*3,0)</f>
        <v>0</v>
      </c>
      <c r="U87">
        <f ca="1">OFFSET(Sheet2!V$2,(ROW(U88))*3,0)</f>
        <v>0</v>
      </c>
    </row>
    <row r="88" spans="1:21" x14ac:dyDescent="0.35">
      <c r="A88" s="11">
        <f ca="1">OFFSET(Sheet2!B$2,(ROW(A89))*3,0)</f>
        <v>43869</v>
      </c>
      <c r="B88" s="11">
        <f ca="1">OFFSET(Sheet2!A$2,(ROW(A89))*3,0)</f>
        <v>43869</v>
      </c>
      <c r="C88">
        <f ca="1">OFFSET(Sheet2!C$2,(ROW(C89))*3,0)</f>
        <v>17</v>
      </c>
      <c r="D88" t="str">
        <f ca="1">OFFSET(Sheet2!D$2,(ROW(D89))*3,0)</f>
        <v>South</v>
      </c>
      <c r="E88" t="str">
        <f ca="1">OFFSET(Sheet2!F$2,(ROW(E89))*3,0)</f>
        <v>MAJEME GEORGE</v>
      </c>
      <c r="F88" t="str">
        <f ca="1">OFFSET(Sheet2!G$2,(ROW(F89))*3,0)</f>
        <v>H2Go</v>
      </c>
      <c r="G88">
        <f ca="1">OFFSET(Sheet2!H$2,(ROW(G89))*3,0)</f>
        <v>0</v>
      </c>
      <c r="H88" t="str">
        <f ca="1">OFFSET(Sheet2!I$2,(ROW(H89))*3,0)</f>
        <v>WEEKLY</v>
      </c>
      <c r="I88">
        <f ca="1">OFFSET(Sheet2!J$2,(ROW(I89))*3,0)</f>
        <v>200</v>
      </c>
      <c r="J88" t="str">
        <f ca="1">OFFSET(Sheet2!K$2,(ROW(J89))*3,0)</f>
        <v>Damage Observed</v>
      </c>
      <c r="K88" t="str">
        <f ca="1">OFFSET(Sheet2!L$2,(ROW(K89))*3,0)</f>
        <v>NOT BAD THOUGH USED UP</v>
      </c>
      <c r="L88" t="str">
        <f ca="1">OFFSET(Sheet2!M$2,(ROW(L89))*3,0)</f>
        <v>GOOD &amp; SERVICED</v>
      </c>
      <c r="M88" t="str">
        <f ca="1">OFFSET(Sheet2!N$2,(ROW(M89))*3,0)</f>
        <v>GOOD</v>
      </c>
      <c r="N88" t="str">
        <f ca="1">OFFSET(Sheet2!O$2,(ROW(N89))*3,0)</f>
        <v>NO DAMAGE OBSERVED</v>
      </c>
      <c r="O88" t="str">
        <f ca="1">OFFSET(Sheet2!P$2,(ROW(O89))*3,0)</f>
        <v>GOOD</v>
      </c>
      <c r="P88" t="str">
        <f ca="1">OFFSET(Sheet2!Q$2,(ROW(P89))*3,0)</f>
        <v>GOOD</v>
      </c>
      <c r="Q88">
        <f ca="1">OFFSET(Sheet2!R$2,(ROW(Q89))*3,0)</f>
        <v>0</v>
      </c>
      <c r="R88">
        <f ca="1">OFFSET(Sheet2!S$2,(ROW(R89))*3,0)</f>
        <v>0</v>
      </c>
      <c r="S88">
        <f ca="1">OFFSET(Sheet2!T$2,(ROW(S89))*3,0)</f>
        <v>0</v>
      </c>
      <c r="T88">
        <f ca="1">OFFSET(Sheet2!U$2,(ROW(T89))*3,0)</f>
        <v>0</v>
      </c>
      <c r="U88">
        <f ca="1">OFFSET(Sheet2!V$2,(ROW(U89))*3,0)</f>
        <v>0</v>
      </c>
    </row>
    <row r="89" spans="1:21" x14ac:dyDescent="0.35">
      <c r="A89" s="11">
        <f ca="1">OFFSET(Sheet2!B$2,(ROW(A90))*3,0)</f>
        <v>43885</v>
      </c>
      <c r="B89" s="11">
        <f ca="1">OFFSET(Sheet2!A$2,(ROW(A90))*3,0)</f>
        <v>43885</v>
      </c>
      <c r="C89">
        <f ca="1">OFFSET(Sheet2!C$2,(ROW(C90))*3,0)</f>
        <v>17</v>
      </c>
      <c r="D89" t="str">
        <f ca="1">OFFSET(Sheet2!D$2,(ROW(D90))*3,0)</f>
        <v>South</v>
      </c>
      <c r="E89" t="str">
        <f ca="1">OFFSET(Sheet2!F$2,(ROW(E90))*3,0)</f>
        <v>MAJEME GEORGE</v>
      </c>
      <c r="F89" t="str">
        <f ca="1">OFFSET(Sheet2!G$2,(ROW(F90))*3,0)</f>
        <v>H2Go</v>
      </c>
      <c r="G89">
        <f ca="1">OFFSET(Sheet2!H$2,(ROW(G90))*3,0)</f>
        <v>0</v>
      </c>
      <c r="H89" t="str">
        <f ca="1">OFFSET(Sheet2!I$2,(ROW(H90))*3,0)</f>
        <v>WEEKLY</v>
      </c>
      <c r="I89">
        <f ca="1">OFFSET(Sheet2!J$2,(ROW(I90))*3,0)</f>
        <v>150</v>
      </c>
      <c r="J89" t="str">
        <f ca="1">OFFSET(Sheet2!K$2,(ROW(J90))*3,0)</f>
        <v>Damage Observed</v>
      </c>
      <c r="K89" t="str">
        <f ca="1">OFFSET(Sheet2!L$2,(ROW(K90))*3,0)</f>
        <v>Dirty</v>
      </c>
      <c r="L89" t="str">
        <f ca="1">OFFSET(Sheet2!M$2,(ROW(L90))*3,0)</f>
        <v>Clean</v>
      </c>
      <c r="M89" t="str">
        <f ca="1">OFFSET(Sheet2!N$2,(ROW(M90))*3,0)</f>
        <v>Loose</v>
      </c>
      <c r="N89" t="str">
        <f ca="1">OFFSET(Sheet2!O$2,(ROW(N90))*3,0)</f>
        <v>Dirty</v>
      </c>
      <c r="O89" t="str">
        <f ca="1">OFFSET(Sheet2!P$2,(ROW(O90))*3,0)</f>
        <v>Good</v>
      </c>
      <c r="P89" t="str">
        <f ca="1">OFFSET(Sheet2!Q$2,(ROW(P90))*3,0)</f>
        <v>In good Condition</v>
      </c>
      <c r="Q89">
        <f ca="1">OFFSET(Sheet2!R$2,(ROW(Q90))*3,0)</f>
        <v>0</v>
      </c>
      <c r="R89">
        <f ca="1">OFFSET(Sheet2!S$2,(ROW(R90))*3,0)</f>
        <v>0</v>
      </c>
      <c r="S89">
        <f ca="1">OFFSET(Sheet2!T$2,(ROW(S90))*3,0)</f>
        <v>0</v>
      </c>
      <c r="T89">
        <f ca="1">OFFSET(Sheet2!U$2,(ROW(T90))*3,0)</f>
        <v>0</v>
      </c>
      <c r="U89">
        <f ca="1">OFFSET(Sheet2!V$2,(ROW(U90))*3,0)</f>
        <v>0</v>
      </c>
    </row>
    <row r="90" spans="1:21" x14ac:dyDescent="0.35">
      <c r="A90" s="11">
        <f ca="1">OFFSET(Sheet2!B$2,(ROW(A91))*3,0)</f>
        <v>43876</v>
      </c>
      <c r="B90" s="11">
        <f ca="1">OFFSET(Sheet2!A$2,(ROW(A91))*3,0)</f>
        <v>43876</v>
      </c>
      <c r="C90">
        <f ca="1">OFFSET(Sheet2!C$2,(ROW(C91))*3,0)</f>
        <v>17</v>
      </c>
      <c r="D90" t="str">
        <f ca="1">OFFSET(Sheet2!D$2,(ROW(D91))*3,0)</f>
        <v>South</v>
      </c>
      <c r="E90" t="str">
        <f ca="1">OFFSET(Sheet2!F$2,(ROW(E91))*3,0)</f>
        <v>MAJEME GEORGE</v>
      </c>
      <c r="F90" t="str">
        <f ca="1">OFFSET(Sheet2!G$2,(ROW(F91))*3,0)</f>
        <v>H2GO</v>
      </c>
      <c r="G90">
        <f ca="1">OFFSET(Sheet2!H$2,(ROW(G91))*3,0)</f>
        <v>0</v>
      </c>
      <c r="H90" t="str">
        <f ca="1">OFFSET(Sheet2!I$2,(ROW(H91))*3,0)</f>
        <v>WEEKLY</v>
      </c>
      <c r="I90">
        <f ca="1">OFFSET(Sheet2!J$2,(ROW(I91))*3,0)</f>
        <v>158</v>
      </c>
      <c r="J90" t="str">
        <f ca="1">OFFSET(Sheet2!K$2,(ROW(J91))*3,0)</f>
        <v>Damage Observed</v>
      </c>
      <c r="K90" t="str">
        <f ca="1">OFFSET(Sheet2!L$2,(ROW(K91))*3,0)</f>
        <v>DIRTY AND USED UP</v>
      </c>
      <c r="L90" t="str">
        <f ca="1">OFFSET(Sheet2!M$2,(ROW(L91))*3,0)</f>
        <v>DIRTY</v>
      </c>
      <c r="M90" t="str">
        <f ca="1">OFFSET(Sheet2!N$2,(ROW(M91))*3,0)</f>
        <v>TIGHT</v>
      </c>
      <c r="N90" t="str">
        <f ca="1">OFFSET(Sheet2!O$2,(ROW(N91))*3,0)</f>
        <v>DIRTY</v>
      </c>
      <c r="O90" t="str">
        <f ca="1">OFFSET(Sheet2!P$2,(ROW(O91))*3,0)</f>
        <v>NEEDS TO REPLACE(DIRTY)</v>
      </c>
      <c r="P90" t="str">
        <f ca="1">OFFSET(Sheet2!Q$2,(ROW(P91))*3,0)</f>
        <v>NOT BAD</v>
      </c>
      <c r="Q90">
        <f ca="1">OFFSET(Sheet2!R$2,(ROW(Q91))*3,0)</f>
        <v>0</v>
      </c>
      <c r="R90">
        <f ca="1">OFFSET(Sheet2!S$2,(ROW(R91))*3,0)</f>
        <v>0</v>
      </c>
      <c r="S90">
        <f ca="1">OFFSET(Sheet2!T$2,(ROW(S91))*3,0)</f>
        <v>0</v>
      </c>
      <c r="T90">
        <f ca="1">OFFSET(Sheet2!U$2,(ROW(T91))*3,0)</f>
        <v>0</v>
      </c>
      <c r="U90">
        <f ca="1">OFFSET(Sheet2!V$2,(ROW(U91))*3,0)</f>
        <v>0</v>
      </c>
    </row>
    <row r="91" spans="1:21" x14ac:dyDescent="0.35">
      <c r="A91" s="11">
        <f ca="1">OFFSET(Sheet2!B$2,(ROW(A92))*3,0)</f>
        <v>43892</v>
      </c>
      <c r="B91" s="11">
        <f ca="1">OFFSET(Sheet2!A$2,(ROW(A92))*3,0)</f>
        <v>43892</v>
      </c>
      <c r="C91">
        <f ca="1">OFFSET(Sheet2!C$2,(ROW(C92))*3,0)</f>
        <v>17</v>
      </c>
      <c r="D91" t="str">
        <f ca="1">OFFSET(Sheet2!D$2,(ROW(D92))*3,0)</f>
        <v>South</v>
      </c>
      <c r="E91" t="str">
        <f ca="1">OFFSET(Sheet2!F$2,(ROW(E92))*3,0)</f>
        <v>MAJEME GEORGE</v>
      </c>
      <c r="F91" t="str">
        <f ca="1">OFFSET(Sheet2!G$2,(ROW(F92))*3,0)</f>
        <v>H2GO</v>
      </c>
      <c r="G91">
        <f ca="1">OFFSET(Sheet2!H$2,(ROW(G92))*3,0)</f>
        <v>0</v>
      </c>
      <c r="H91" t="str">
        <f ca="1">OFFSET(Sheet2!I$2,(ROW(H92))*3,0)</f>
        <v>WEEKLY</v>
      </c>
      <c r="I91">
        <f ca="1">OFFSET(Sheet2!J$2,(ROW(I92))*3,0)</f>
        <v>101</v>
      </c>
      <c r="J91" t="str">
        <f ca="1">OFFSET(Sheet2!K$2,(ROW(J92))*3,0)</f>
        <v>Damage Observed</v>
      </c>
      <c r="K91" t="str">
        <f ca="1">OFFSET(Sheet2!L$2,(ROW(K92))*3,0)</f>
        <v>Okay</v>
      </c>
      <c r="L91" t="str">
        <f ca="1">OFFSET(Sheet2!M$2,(ROW(L92))*3,0)</f>
        <v>Okay</v>
      </c>
      <c r="M91" t="str">
        <f ca="1">OFFSET(Sheet2!N$2,(ROW(M92))*3,0)</f>
        <v>Good</v>
      </c>
      <c r="N91" t="str">
        <f ca="1">OFFSET(Sheet2!O$2,(ROW(N92))*3,0)</f>
        <v>Dirty</v>
      </c>
      <c r="O91" t="str">
        <f ca="1">OFFSET(Sheet2!P$2,(ROW(O92))*3,0)</f>
        <v>Good</v>
      </c>
      <c r="P91" t="str">
        <f ca="1">OFFSET(Sheet2!Q$2,(ROW(P92))*3,0)</f>
        <v>In good Condition</v>
      </c>
      <c r="Q91">
        <f ca="1">OFFSET(Sheet2!R$2,(ROW(Q92))*3,0)</f>
        <v>0</v>
      </c>
      <c r="R91">
        <f ca="1">OFFSET(Sheet2!S$2,(ROW(R92))*3,0)</f>
        <v>0</v>
      </c>
      <c r="S91">
        <f ca="1">OFFSET(Sheet2!T$2,(ROW(S92))*3,0)</f>
        <v>0</v>
      </c>
      <c r="T91">
        <f ca="1">OFFSET(Sheet2!U$2,(ROW(T92))*3,0)</f>
        <v>0</v>
      </c>
      <c r="U91">
        <f ca="1">OFFSET(Sheet2!V$2,(ROW(U92))*3,0)</f>
        <v>0</v>
      </c>
    </row>
    <row r="92" spans="1:21" x14ac:dyDescent="0.35">
      <c r="A92" s="11">
        <f ca="1">OFFSET(Sheet2!B$2,(ROW(A93))*3,0)</f>
        <v>43841</v>
      </c>
      <c r="B92" s="11">
        <f ca="1">OFFSET(Sheet2!A$2,(ROW(A93))*3,0)</f>
        <v>43841</v>
      </c>
      <c r="C92">
        <f ca="1">OFFSET(Sheet2!C$2,(ROW(C93))*3,0)</f>
        <v>18</v>
      </c>
      <c r="D92" t="str">
        <f ca="1">OFFSET(Sheet2!D$2,(ROW(D93))*3,0)</f>
        <v>South</v>
      </c>
      <c r="E92" t="str">
        <f ca="1">OFFSET(Sheet2!F$2,(ROW(E93))*3,0)</f>
        <v>MUSAMALI FRED</v>
      </c>
      <c r="F92" t="str">
        <f ca="1">OFFSET(Sheet2!G$2,(ROW(F93))*3,0)</f>
        <v>H2Go</v>
      </c>
      <c r="G92">
        <f ca="1">OFFSET(Sheet2!H$2,(ROW(G93))*3,0)</f>
        <v>0</v>
      </c>
      <c r="H92" t="str">
        <f ca="1">OFFSET(Sheet2!I$2,(ROW(H93))*3,0)</f>
        <v>Comprehensive</v>
      </c>
      <c r="I92">
        <f ca="1">OFFSET(Sheet2!J$2,(ROW(I93))*3,0)</f>
        <v>98</v>
      </c>
      <c r="J92" t="str">
        <f ca="1">OFFSET(Sheet2!K$2,(ROW(J93))*3,0)</f>
        <v>Damage Observed</v>
      </c>
      <c r="K92" t="str">
        <f ca="1">OFFSET(Sheet2!L$2,(ROW(K93))*3,0)</f>
        <v>VERY DIRTY</v>
      </c>
      <c r="L92" t="str">
        <f ca="1">OFFSET(Sheet2!M$2,(ROW(L93))*3,0)</f>
        <v>GOOD</v>
      </c>
      <c r="M92" t="str">
        <f ca="1">OFFSET(Sheet2!N$2,(ROW(M93))*3,0)</f>
        <v>NEEDS TIMING</v>
      </c>
      <c r="N92" t="str">
        <f ca="1">OFFSET(Sheet2!O$2,(ROW(N93))*3,0)</f>
        <v>GOOD</v>
      </c>
      <c r="O92" t="str">
        <f ca="1">OFFSET(Sheet2!P$2,(ROW(O93))*3,0)</f>
        <v>IN A GOOD CONDITION</v>
      </c>
      <c r="P92" t="str">
        <f ca="1">OFFSET(Sheet2!Q$2,(ROW(P93))*3,0)</f>
        <v>SERVICED VERY WELL</v>
      </c>
      <c r="Q92" t="str">
        <f ca="1">OFFSET(Sheet2!R$2,(ROW(Q93))*3,0)</f>
        <v>NOT IN A GOOD CONDITION</v>
      </c>
      <c r="R92" t="str">
        <f ca="1">OFFSET(Sheet2!S$2,(ROW(R93))*3,0)</f>
        <v>GOOD</v>
      </c>
      <c r="S92" t="str">
        <f ca="1">OFFSET(Sheet2!T$2,(ROW(S93))*3,0)</f>
        <v>GOOD</v>
      </c>
      <c r="T92">
        <f ca="1">OFFSET(Sheet2!U$2,(ROW(T93))*3,0)</f>
        <v>0</v>
      </c>
      <c r="U92">
        <f ca="1">OFFSET(Sheet2!V$2,(ROW(U93))*3,0)</f>
        <v>0</v>
      </c>
    </row>
    <row r="93" spans="1:21" x14ac:dyDescent="0.35">
      <c r="A93" s="11">
        <f ca="1">OFFSET(Sheet2!B$2,(ROW(A94))*3,0)</f>
        <v>43855</v>
      </c>
      <c r="B93" s="11">
        <f ca="1">OFFSET(Sheet2!A$2,(ROW(A94))*3,0)</f>
        <v>43855</v>
      </c>
      <c r="C93">
        <f ca="1">OFFSET(Sheet2!C$2,(ROW(C94))*3,0)</f>
        <v>18</v>
      </c>
      <c r="D93" t="str">
        <f ca="1">OFFSET(Sheet2!D$2,(ROW(D94))*3,0)</f>
        <v>South</v>
      </c>
      <c r="E93" t="str">
        <f ca="1">OFFSET(Sheet2!F$2,(ROW(E94))*3,0)</f>
        <v>MUSAMALI FRED</v>
      </c>
      <c r="F93" t="str">
        <f ca="1">OFFSET(Sheet2!G$2,(ROW(F94))*3,0)</f>
        <v>H2Go</v>
      </c>
      <c r="G93">
        <f ca="1">OFFSET(Sheet2!H$2,(ROW(G94))*3,0)</f>
        <v>0</v>
      </c>
      <c r="H93" t="str">
        <f ca="1">OFFSET(Sheet2!I$2,(ROW(H94))*3,0)</f>
        <v>WEEKLY</v>
      </c>
      <c r="I93">
        <f ca="1">OFFSET(Sheet2!J$2,(ROW(I94))*3,0)</f>
        <v>83</v>
      </c>
      <c r="J93" t="str">
        <f ca="1">OFFSET(Sheet2!K$2,(ROW(J94))*3,0)</f>
        <v>Damage Observed</v>
      </c>
      <c r="K93" t="str">
        <f ca="1">OFFSET(Sheet2!L$2,(ROW(K94))*3,0)</f>
        <v>Very dirty</v>
      </c>
      <c r="L93" t="str">
        <f ca="1">OFFSET(Sheet2!M$2,(ROW(L94))*3,0)</f>
        <v>good</v>
      </c>
      <c r="M93" t="str">
        <f ca="1">OFFSET(Sheet2!N$2,(ROW(M94))*3,0)</f>
        <v>good</v>
      </c>
      <c r="N93" t="str">
        <f ca="1">OFFSET(Sheet2!O$2,(ROW(N94))*3,0)</f>
        <v>good</v>
      </c>
      <c r="O93" t="str">
        <f ca="1">OFFSET(Sheet2!P$2,(ROW(O94))*3,0)</f>
        <v>good</v>
      </c>
      <c r="P93" t="str">
        <f ca="1">OFFSET(Sheet2!Q$2,(ROW(P94))*3,0)</f>
        <v>NUT WORN OUT</v>
      </c>
      <c r="Q93">
        <f ca="1">OFFSET(Sheet2!R$2,(ROW(Q94))*3,0)</f>
        <v>0</v>
      </c>
      <c r="R93">
        <f ca="1">OFFSET(Sheet2!S$2,(ROW(R94))*3,0)</f>
        <v>0</v>
      </c>
      <c r="S93">
        <f ca="1">OFFSET(Sheet2!T$2,(ROW(S94))*3,0)</f>
        <v>0</v>
      </c>
      <c r="T93">
        <f ca="1">OFFSET(Sheet2!U$2,(ROW(T94))*3,0)</f>
        <v>0</v>
      </c>
      <c r="U93">
        <f ca="1">OFFSET(Sheet2!V$2,(ROW(U94))*3,0)</f>
        <v>0</v>
      </c>
    </row>
    <row r="94" spans="1:21" x14ac:dyDescent="0.35">
      <c r="A94" s="11">
        <f ca="1">OFFSET(Sheet2!B$2,(ROW(A95))*3,0)</f>
        <v>43862</v>
      </c>
      <c r="B94" s="11">
        <f ca="1">OFFSET(Sheet2!A$2,(ROW(A95))*3,0)</f>
        <v>43862</v>
      </c>
      <c r="C94">
        <f ca="1">OFFSET(Sheet2!C$2,(ROW(C95))*3,0)</f>
        <v>18</v>
      </c>
      <c r="D94" t="str">
        <f ca="1">OFFSET(Sheet2!D$2,(ROW(D95))*3,0)</f>
        <v>South</v>
      </c>
      <c r="E94" t="str">
        <f ca="1">OFFSET(Sheet2!F$2,(ROW(E95))*3,0)</f>
        <v>MUSAMALI FRED</v>
      </c>
      <c r="F94" t="str">
        <f ca="1">OFFSET(Sheet2!G$2,(ROW(F95))*3,0)</f>
        <v>H2GO</v>
      </c>
      <c r="G94">
        <f ca="1">OFFSET(Sheet2!H$2,(ROW(G95))*3,0)</f>
        <v>0</v>
      </c>
      <c r="H94" t="str">
        <f ca="1">OFFSET(Sheet2!I$2,(ROW(H95))*3,0)</f>
        <v>WEEKLY</v>
      </c>
      <c r="I94">
        <f ca="1">OFFSET(Sheet2!J$2,(ROW(I95))*3,0)</f>
        <v>76</v>
      </c>
      <c r="J94" t="str">
        <f ca="1">OFFSET(Sheet2!K$2,(ROW(J95))*3,0)</f>
        <v>Damage Observed</v>
      </c>
      <c r="K94" t="str">
        <f ca="1">OFFSET(Sheet2!L$2,(ROW(K95))*3,0)</f>
        <v>Okay</v>
      </c>
      <c r="L94" t="str">
        <f ca="1">OFFSET(Sheet2!M$2,(ROW(L95))*3,0)</f>
        <v>GOOD</v>
      </c>
      <c r="M94" t="str">
        <f ca="1">OFFSET(Sheet2!N$2,(ROW(M95))*3,0)</f>
        <v>GOOD</v>
      </c>
      <c r="N94" t="str">
        <f ca="1">OFFSET(Sheet2!O$2,(ROW(N95))*3,0)</f>
        <v>CLEAN AND GOOD</v>
      </c>
      <c r="O94" t="str">
        <f ca="1">OFFSET(Sheet2!P$2,(ROW(O95))*3,0)</f>
        <v>GOOD</v>
      </c>
      <c r="P94" t="str">
        <f ca="1">OFFSET(Sheet2!Q$2,(ROW(P95))*3,0)</f>
        <v>NOT BAD</v>
      </c>
      <c r="Q94">
        <f ca="1">OFFSET(Sheet2!R$2,(ROW(Q95))*3,0)</f>
        <v>0</v>
      </c>
      <c r="R94">
        <f ca="1">OFFSET(Sheet2!S$2,(ROW(R95))*3,0)</f>
        <v>0</v>
      </c>
      <c r="S94">
        <f ca="1">OFFSET(Sheet2!T$2,(ROW(S95))*3,0)</f>
        <v>0</v>
      </c>
      <c r="T94">
        <f ca="1">OFFSET(Sheet2!U$2,(ROW(T95))*3,0)</f>
        <v>0</v>
      </c>
      <c r="U94">
        <f ca="1">OFFSET(Sheet2!V$2,(ROW(U95))*3,0)</f>
        <v>0</v>
      </c>
    </row>
    <row r="95" spans="1:21" x14ac:dyDescent="0.35">
      <c r="A95" s="11">
        <f ca="1">OFFSET(Sheet2!B$2,(ROW(A96))*3,0)</f>
        <v>43869</v>
      </c>
      <c r="B95" s="11">
        <f ca="1">OFFSET(Sheet2!A$2,(ROW(A96))*3,0)</f>
        <v>43869</v>
      </c>
      <c r="C95">
        <f ca="1">OFFSET(Sheet2!C$2,(ROW(C96))*3,0)</f>
        <v>18</v>
      </c>
      <c r="D95" t="str">
        <f ca="1">OFFSET(Sheet2!D$2,(ROW(D96))*3,0)</f>
        <v>South</v>
      </c>
      <c r="E95" t="str">
        <f ca="1">OFFSET(Sheet2!F$2,(ROW(E96))*3,0)</f>
        <v>MUSAMALI FRED</v>
      </c>
      <c r="F95" t="str">
        <f ca="1">OFFSET(Sheet2!G$2,(ROW(F96))*3,0)</f>
        <v>H2Go</v>
      </c>
      <c r="G95">
        <f ca="1">OFFSET(Sheet2!H$2,(ROW(G96))*3,0)</f>
        <v>0</v>
      </c>
      <c r="H95" t="str">
        <f ca="1">OFFSET(Sheet2!I$2,(ROW(H96))*3,0)</f>
        <v>WEEKLY</v>
      </c>
      <c r="I95">
        <f ca="1">OFFSET(Sheet2!J$2,(ROW(I96))*3,0)</f>
        <v>118</v>
      </c>
      <c r="J95" t="str">
        <f ca="1">OFFSET(Sheet2!K$2,(ROW(J96))*3,0)</f>
        <v>Damage Observed</v>
      </c>
      <c r="K95" t="str">
        <f ca="1">OFFSET(Sheet2!L$2,(ROW(K96))*3,0)</f>
        <v>Very little oil</v>
      </c>
      <c r="L95" t="str">
        <f ca="1">OFFSET(Sheet2!M$2,(ROW(L96))*3,0)</f>
        <v>GOOD</v>
      </c>
      <c r="M95" t="str">
        <f ca="1">OFFSET(Sheet2!N$2,(ROW(M96))*3,0)</f>
        <v>Loose</v>
      </c>
      <c r="N95" t="str">
        <f ca="1">OFFSET(Sheet2!O$2,(ROW(N96))*3,0)</f>
        <v>Clean</v>
      </c>
      <c r="O95" t="str">
        <f ca="1">OFFSET(Sheet2!P$2,(ROW(O96))*3,0)</f>
        <v>Clean(no soot)</v>
      </c>
      <c r="P95" t="str">
        <f ca="1">OFFSET(Sheet2!Q$2,(ROW(P96))*3,0)</f>
        <v>Nut not worn out</v>
      </c>
      <c r="Q95">
        <f ca="1">OFFSET(Sheet2!R$2,(ROW(Q96))*3,0)</f>
        <v>0</v>
      </c>
      <c r="R95">
        <f ca="1">OFFSET(Sheet2!S$2,(ROW(R96))*3,0)</f>
        <v>0</v>
      </c>
      <c r="S95">
        <f ca="1">OFFSET(Sheet2!T$2,(ROW(S96))*3,0)</f>
        <v>0</v>
      </c>
      <c r="T95">
        <f ca="1">OFFSET(Sheet2!U$2,(ROW(T96))*3,0)</f>
        <v>0</v>
      </c>
      <c r="U95">
        <f ca="1">OFFSET(Sheet2!V$2,(ROW(U96))*3,0)</f>
        <v>0</v>
      </c>
    </row>
    <row r="96" spans="1:21" x14ac:dyDescent="0.35">
      <c r="A96" s="11">
        <f ca="1">OFFSET(Sheet2!B$2,(ROW(A97))*3,0)</f>
        <v>43885</v>
      </c>
      <c r="B96" s="11">
        <f ca="1">OFFSET(Sheet2!A$2,(ROW(A97))*3,0)</f>
        <v>43885</v>
      </c>
      <c r="C96">
        <f ca="1">OFFSET(Sheet2!C$2,(ROW(C97))*3,0)</f>
        <v>18</v>
      </c>
      <c r="D96" t="str">
        <f ca="1">OFFSET(Sheet2!D$2,(ROW(D97))*3,0)</f>
        <v>South</v>
      </c>
      <c r="E96" t="str">
        <f ca="1">OFFSET(Sheet2!F$2,(ROW(E97))*3,0)</f>
        <v>MUSAMALI FRED</v>
      </c>
      <c r="F96" t="str">
        <f ca="1">OFFSET(Sheet2!G$2,(ROW(F97))*3,0)</f>
        <v>H2Go</v>
      </c>
      <c r="G96">
        <f ca="1">OFFSET(Sheet2!H$2,(ROW(G97))*3,0)</f>
        <v>0</v>
      </c>
      <c r="H96" t="str">
        <f ca="1">OFFSET(Sheet2!I$2,(ROW(H97))*3,0)</f>
        <v>WEEKLY</v>
      </c>
      <c r="I96">
        <f ca="1">OFFSET(Sheet2!J$2,(ROW(I97))*3,0)</f>
        <v>146</v>
      </c>
      <c r="J96" t="str">
        <f ca="1">OFFSET(Sheet2!K$2,(ROW(J97))*3,0)</f>
        <v>Damage Observed</v>
      </c>
      <c r="K96" t="str">
        <f ca="1">OFFSET(Sheet2!L$2,(ROW(K97))*3,0)</f>
        <v>Dirty</v>
      </c>
      <c r="L96" t="str">
        <f ca="1">OFFSET(Sheet2!M$2,(ROW(L97))*3,0)</f>
        <v>Okay</v>
      </c>
      <c r="M96" t="str">
        <f ca="1">OFFSET(Sheet2!N$2,(ROW(M97))*3,0)</f>
        <v>Good</v>
      </c>
      <c r="N96" t="str">
        <f ca="1">OFFSET(Sheet2!O$2,(ROW(N97))*3,0)</f>
        <v>Dirty</v>
      </c>
      <c r="O96" t="str">
        <f ca="1">OFFSET(Sheet2!P$2,(ROW(O97))*3,0)</f>
        <v>Good</v>
      </c>
      <c r="P96" t="str">
        <f ca="1">OFFSET(Sheet2!Q$2,(ROW(P97))*3,0)</f>
        <v>In good Condition</v>
      </c>
      <c r="Q96">
        <f ca="1">OFFSET(Sheet2!R$2,(ROW(Q97))*3,0)</f>
        <v>0</v>
      </c>
      <c r="R96">
        <f ca="1">OFFSET(Sheet2!S$2,(ROW(R97))*3,0)</f>
        <v>0</v>
      </c>
      <c r="S96">
        <f ca="1">OFFSET(Sheet2!T$2,(ROW(S97))*3,0)</f>
        <v>0</v>
      </c>
      <c r="T96">
        <f ca="1">OFFSET(Sheet2!U$2,(ROW(T97))*3,0)</f>
        <v>0</v>
      </c>
      <c r="U96">
        <f ca="1">OFFSET(Sheet2!V$2,(ROW(U97))*3,0)</f>
        <v>0</v>
      </c>
    </row>
    <row r="97" spans="1:21" x14ac:dyDescent="0.35">
      <c r="A97" s="11">
        <f ca="1">OFFSET(Sheet2!B$2,(ROW(A98))*3,0)</f>
        <v>43876</v>
      </c>
      <c r="B97" s="11">
        <f ca="1">OFFSET(Sheet2!A$2,(ROW(A98))*3,0)</f>
        <v>43876</v>
      </c>
      <c r="C97">
        <f ca="1">OFFSET(Sheet2!C$2,(ROW(C98))*3,0)</f>
        <v>18</v>
      </c>
      <c r="D97" t="str">
        <f ca="1">OFFSET(Sheet2!D$2,(ROW(D98))*3,0)</f>
        <v>South</v>
      </c>
      <c r="E97" t="str">
        <f ca="1">OFFSET(Sheet2!F$2,(ROW(E98))*3,0)</f>
        <v>MUSAMALI FRED</v>
      </c>
      <c r="F97" t="str">
        <f ca="1">OFFSET(Sheet2!G$2,(ROW(F98))*3,0)</f>
        <v>H2GO</v>
      </c>
      <c r="G97">
        <f ca="1">OFFSET(Sheet2!H$2,(ROW(G98))*3,0)</f>
        <v>0</v>
      </c>
      <c r="H97" t="str">
        <f ca="1">OFFSET(Sheet2!I$2,(ROW(H98))*3,0)</f>
        <v>WEEKLY</v>
      </c>
      <c r="I97">
        <f ca="1">OFFSET(Sheet2!J$2,(ROW(I98))*3,0)</f>
        <v>108</v>
      </c>
      <c r="J97" t="str">
        <f ca="1">OFFSET(Sheet2!K$2,(ROW(J98))*3,0)</f>
        <v>Damage Observed</v>
      </c>
      <c r="K97" t="str">
        <f ca="1">OFFSET(Sheet2!L$2,(ROW(K98))*3,0)</f>
        <v>DIRTY</v>
      </c>
      <c r="L97" t="str">
        <f ca="1">OFFSET(Sheet2!M$2,(ROW(L98))*3,0)</f>
        <v>NOT BAD</v>
      </c>
      <c r="M97" t="str">
        <f ca="1">OFFSET(Sheet2!N$2,(ROW(M98))*3,0)</f>
        <v>MISALIGNED</v>
      </c>
      <c r="N97" t="str">
        <f ca="1">OFFSET(Sheet2!O$2,(ROW(N98))*3,0)</f>
        <v>CLEAN</v>
      </c>
      <c r="O97" t="str">
        <f ca="1">OFFSET(Sheet2!P$2,(ROW(O98))*3,0)</f>
        <v>GOOD</v>
      </c>
      <c r="P97" t="str">
        <f ca="1">OFFSET(Sheet2!Q$2,(ROW(P98))*3,0)</f>
        <v>GOOD IN CONDITION</v>
      </c>
      <c r="Q97">
        <f ca="1">OFFSET(Sheet2!R$2,(ROW(Q98))*3,0)</f>
        <v>0</v>
      </c>
      <c r="R97">
        <f ca="1">OFFSET(Sheet2!S$2,(ROW(R98))*3,0)</f>
        <v>0</v>
      </c>
      <c r="S97">
        <f ca="1">OFFSET(Sheet2!T$2,(ROW(S98))*3,0)</f>
        <v>0</v>
      </c>
      <c r="T97">
        <f ca="1">OFFSET(Sheet2!U$2,(ROW(T98))*3,0)</f>
        <v>0</v>
      </c>
      <c r="U97">
        <f ca="1">OFFSET(Sheet2!V$2,(ROW(U98))*3,0)</f>
        <v>0</v>
      </c>
    </row>
    <row r="98" spans="1:21" x14ac:dyDescent="0.35">
      <c r="A98" s="11">
        <f ca="1">OFFSET(Sheet2!B$2,(ROW(A99))*3,0)</f>
        <v>43892</v>
      </c>
      <c r="B98" s="11">
        <f ca="1">OFFSET(Sheet2!A$2,(ROW(A99))*3,0)</f>
        <v>43892</v>
      </c>
      <c r="C98">
        <f ca="1">OFFSET(Sheet2!C$2,(ROW(C99))*3,0)</f>
        <v>18</v>
      </c>
      <c r="D98" t="str">
        <f ca="1">OFFSET(Sheet2!D$2,(ROW(D99))*3,0)</f>
        <v>South</v>
      </c>
      <c r="E98" t="str">
        <f ca="1">OFFSET(Sheet2!F$2,(ROW(E99))*3,0)</f>
        <v>MUSAMALI FRED</v>
      </c>
      <c r="F98" t="str">
        <f ca="1">OFFSET(Sheet2!G$2,(ROW(F99))*3,0)</f>
        <v>H2GO</v>
      </c>
      <c r="G98">
        <f ca="1">OFFSET(Sheet2!H$2,(ROW(G99))*3,0)</f>
        <v>0</v>
      </c>
      <c r="H98" t="str">
        <f ca="1">OFFSET(Sheet2!I$2,(ROW(H99))*3,0)</f>
        <v>WEEKLY</v>
      </c>
      <c r="I98">
        <f ca="1">OFFSET(Sheet2!J$2,(ROW(I99))*3,0)</f>
        <v>136</v>
      </c>
      <c r="J98" t="str">
        <f ca="1">OFFSET(Sheet2!K$2,(ROW(J99))*3,0)</f>
        <v>Damage Observed</v>
      </c>
      <c r="K98" t="str">
        <f ca="1">OFFSET(Sheet2!L$2,(ROW(K99))*3,0)</f>
        <v>Very Dirty</v>
      </c>
      <c r="L98" t="str">
        <f ca="1">OFFSET(Sheet2!M$2,(ROW(L99))*3,0)</f>
        <v>Very Dirty</v>
      </c>
      <c r="M98" t="str">
        <f ca="1">OFFSET(Sheet2!N$2,(ROW(M99))*3,0)</f>
        <v>Misaligned</v>
      </c>
      <c r="N98" t="str">
        <f ca="1">OFFSET(Sheet2!O$2,(ROW(N99))*3,0)</f>
        <v>Very Dirty</v>
      </c>
      <c r="O98" t="str">
        <f ca="1">OFFSET(Sheet2!P$2,(ROW(O99))*3,0)</f>
        <v>Good</v>
      </c>
      <c r="P98" t="str">
        <f ca="1">OFFSET(Sheet2!Q$2,(ROW(P99))*3,0)</f>
        <v>Nut and washer worn out</v>
      </c>
      <c r="Q98">
        <f ca="1">OFFSET(Sheet2!R$2,(ROW(Q99))*3,0)</f>
        <v>0</v>
      </c>
      <c r="R98">
        <f ca="1">OFFSET(Sheet2!S$2,(ROW(R99))*3,0)</f>
        <v>0</v>
      </c>
      <c r="S98">
        <f ca="1">OFFSET(Sheet2!T$2,(ROW(S99))*3,0)</f>
        <v>0</v>
      </c>
      <c r="T98">
        <f ca="1">OFFSET(Sheet2!U$2,(ROW(T99))*3,0)</f>
        <v>0</v>
      </c>
      <c r="U98">
        <f ca="1">OFFSET(Sheet2!V$2,(ROW(U99))*3,0)</f>
        <v>0</v>
      </c>
    </row>
    <row r="99" spans="1:21" x14ac:dyDescent="0.35">
      <c r="A99" s="11">
        <f ca="1">OFFSET(Sheet2!B$2,(ROW(A100))*3,0)</f>
        <v>43899</v>
      </c>
      <c r="B99" s="11">
        <f ca="1">OFFSET(Sheet2!A$2,(ROW(A100))*3,0)</f>
        <v>43899</v>
      </c>
      <c r="C99">
        <f ca="1">OFFSET(Sheet2!C$2,(ROW(C100))*3,0)</f>
        <v>18</v>
      </c>
      <c r="D99" t="str">
        <f ca="1">OFFSET(Sheet2!D$2,(ROW(D100))*3,0)</f>
        <v>South</v>
      </c>
      <c r="E99" t="str">
        <f ca="1">OFFSET(Sheet2!F$2,(ROW(E100))*3,0)</f>
        <v>MUSAMALI FRED</v>
      </c>
      <c r="F99" t="str">
        <f ca="1">OFFSET(Sheet2!G$2,(ROW(F100))*3,0)</f>
        <v>H2GO</v>
      </c>
      <c r="G99">
        <f ca="1">OFFSET(Sheet2!H$2,(ROW(G100))*3,0)</f>
        <v>0</v>
      </c>
      <c r="H99" t="str">
        <f ca="1">OFFSET(Sheet2!I$2,(ROW(H100))*3,0)</f>
        <v>WEEKLY</v>
      </c>
      <c r="I99">
        <f ca="1">OFFSET(Sheet2!J$2,(ROW(I100))*3,0)</f>
        <v>151</v>
      </c>
      <c r="J99" t="str">
        <f ca="1">OFFSET(Sheet2!K$2,(ROW(J100))*3,0)</f>
        <v>Damage Observed</v>
      </c>
      <c r="K99" t="str">
        <f ca="1">OFFSET(Sheet2!L$2,(ROW(K100))*3,0)</f>
        <v>Clean</v>
      </c>
      <c r="L99" t="str">
        <f ca="1">OFFSET(Sheet2!M$2,(ROW(L100))*3,0)</f>
        <v>Okay</v>
      </c>
      <c r="M99" t="str">
        <f ca="1">OFFSET(Sheet2!N$2,(ROW(M100))*3,0)</f>
        <v>Good</v>
      </c>
      <c r="N99" t="str">
        <f ca="1">OFFSET(Sheet2!O$2,(ROW(N100))*3,0)</f>
        <v>Very Dirty</v>
      </c>
      <c r="O99" t="str">
        <f ca="1">OFFSET(Sheet2!P$2,(ROW(O100))*3,0)</f>
        <v>Good</v>
      </c>
      <c r="P99" t="str">
        <f ca="1">OFFSET(Sheet2!Q$2,(ROW(P100))*3,0)</f>
        <v>In good Condition</v>
      </c>
      <c r="Q99">
        <f ca="1">OFFSET(Sheet2!R$2,(ROW(Q100))*3,0)</f>
        <v>0</v>
      </c>
      <c r="R99">
        <f ca="1">OFFSET(Sheet2!S$2,(ROW(R100))*3,0)</f>
        <v>0</v>
      </c>
      <c r="S99">
        <f ca="1">OFFSET(Sheet2!T$2,(ROW(S100))*3,0)</f>
        <v>0</v>
      </c>
      <c r="T99">
        <f ca="1">OFFSET(Sheet2!U$2,(ROW(T100))*3,0)</f>
        <v>0</v>
      </c>
      <c r="U99">
        <f ca="1">OFFSET(Sheet2!V$2,(ROW(U100))*3,0)</f>
        <v>0</v>
      </c>
    </row>
    <row r="100" spans="1:21" x14ac:dyDescent="0.35">
      <c r="A100" s="11">
        <f ca="1">OFFSET(Sheet2!B$2,(ROW(A101))*3,0)</f>
        <v>43841</v>
      </c>
      <c r="B100" s="11">
        <f ca="1">OFFSET(Sheet2!A$2,(ROW(A101))*3,0)</f>
        <v>43841</v>
      </c>
      <c r="C100">
        <f ca="1">OFFSET(Sheet2!C$2,(ROW(C101))*3,0)</f>
        <v>19</v>
      </c>
      <c r="D100" t="str">
        <f ca="1">OFFSET(Sheet2!D$2,(ROW(D101))*3,0)</f>
        <v>South</v>
      </c>
      <c r="E100" t="str">
        <f ca="1">OFFSET(Sheet2!F$2,(ROW(E101))*3,0)</f>
        <v>MULONDO SULAITI</v>
      </c>
      <c r="F100" t="str">
        <f ca="1">OFFSET(Sheet2!G$2,(ROW(F101))*3,0)</f>
        <v>H2Go</v>
      </c>
      <c r="G100">
        <f ca="1">OFFSET(Sheet2!H$2,(ROW(G101))*3,0)</f>
        <v>0</v>
      </c>
      <c r="H100" t="str">
        <f ca="1">OFFSET(Sheet2!I$2,(ROW(H101))*3,0)</f>
        <v>Comprehensive</v>
      </c>
      <c r="I100">
        <f ca="1">OFFSET(Sheet2!J$2,(ROW(I101))*3,0)</f>
        <v>92</v>
      </c>
      <c r="J100" t="str">
        <f ca="1">OFFSET(Sheet2!K$2,(ROW(J101))*3,0)</f>
        <v>Damage Observed</v>
      </c>
      <c r="K100" t="str">
        <f ca="1">OFFSET(Sheet2!L$2,(ROW(K101))*3,0)</f>
        <v>Dirty</v>
      </c>
      <c r="L100" t="str">
        <f ca="1">OFFSET(Sheet2!M$2,(ROW(L101))*3,0)</f>
        <v>NOT WELL SERVICED</v>
      </c>
      <c r="M100" t="str">
        <f ca="1">OFFSET(Sheet2!N$2,(ROW(M101))*3,0)</f>
        <v>NEED TO BE SETTED</v>
      </c>
      <c r="N100" t="str">
        <f ca="1">OFFSET(Sheet2!O$2,(ROW(N101))*3,0)</f>
        <v>GOOD</v>
      </c>
      <c r="O100" t="str">
        <f ca="1">OFFSET(Sheet2!P$2,(ROW(O101))*3,0)</f>
        <v>NEEDS TO BE CHANGED</v>
      </c>
      <c r="P100" t="str">
        <f ca="1">OFFSET(Sheet2!Q$2,(ROW(P101))*3,0)</f>
        <v>WELL SERVICED</v>
      </c>
      <c r="Q100" t="str">
        <f ca="1">OFFSET(Sheet2!R$2,(ROW(Q101))*3,0)</f>
        <v>WORN OUT</v>
      </c>
      <c r="R100" t="str">
        <f ca="1">OFFSET(Sheet2!S$2,(ROW(R101))*3,0)</f>
        <v xml:space="preserve">Still good </v>
      </c>
      <c r="S100" t="str">
        <f ca="1">OFFSET(Sheet2!T$2,(ROW(S101))*3,0)</f>
        <v>IN A GOOD CONDITION</v>
      </c>
      <c r="T100">
        <f ca="1">OFFSET(Sheet2!U$2,(ROW(T101))*3,0)</f>
        <v>0</v>
      </c>
      <c r="U100">
        <f ca="1">OFFSET(Sheet2!V$2,(ROW(U101))*3,0)</f>
        <v>0</v>
      </c>
    </row>
    <row r="101" spans="1:21" x14ac:dyDescent="0.35">
      <c r="A101" s="11">
        <f ca="1">OFFSET(Sheet2!B$2,(ROW(A102))*3,0)</f>
        <v>43848</v>
      </c>
      <c r="B101" s="11">
        <f ca="1">OFFSET(Sheet2!A$2,(ROW(A102))*3,0)</f>
        <v>43848</v>
      </c>
      <c r="C101">
        <f ca="1">OFFSET(Sheet2!C$2,(ROW(C102))*3,0)</f>
        <v>19</v>
      </c>
      <c r="D101" t="str">
        <f ca="1">OFFSET(Sheet2!D$2,(ROW(D102))*3,0)</f>
        <v>South</v>
      </c>
      <c r="E101" t="str">
        <f ca="1">OFFSET(Sheet2!F$2,(ROW(E102))*3,0)</f>
        <v>MULONDO SULAITI</v>
      </c>
      <c r="F101" t="str">
        <f ca="1">OFFSET(Sheet2!G$2,(ROW(F102))*3,0)</f>
        <v>H2Go</v>
      </c>
      <c r="G101">
        <f ca="1">OFFSET(Sheet2!H$2,(ROW(G102))*3,0)</f>
        <v>0</v>
      </c>
      <c r="H101" t="str">
        <f ca="1">OFFSET(Sheet2!I$2,(ROW(H102))*3,0)</f>
        <v>WEEKLY</v>
      </c>
      <c r="I101">
        <f ca="1">OFFSET(Sheet2!J$2,(ROW(I102))*3,0)</f>
        <v>38</v>
      </c>
      <c r="J101" t="str">
        <f ca="1">OFFSET(Sheet2!K$2,(ROW(J102))*3,0)</f>
        <v>Damage Observed</v>
      </c>
      <c r="K101" t="str">
        <f ca="1">OFFSET(Sheet2!L$2,(ROW(K102))*3,0)</f>
        <v>Okay</v>
      </c>
      <c r="L101" t="str">
        <f ca="1">OFFSET(Sheet2!M$2,(ROW(L102))*3,0)</f>
        <v>GOOD</v>
      </c>
      <c r="M101" t="str">
        <f ca="1">OFFSET(Sheet2!N$2,(ROW(M102))*3,0)</f>
        <v>GOOD</v>
      </c>
      <c r="N101" t="str">
        <f ca="1">OFFSET(Sheet2!O$2,(ROW(N102))*3,0)</f>
        <v>GOOD</v>
      </c>
      <c r="O101" t="str">
        <f ca="1">OFFSET(Sheet2!P$2,(ROW(O102))*3,0)</f>
        <v>IN A GOOD CONDITION</v>
      </c>
      <c r="P101" t="str">
        <f ca="1">OFFSET(Sheet2!Q$2,(ROW(P102))*3,0)</f>
        <v xml:space="preserve"> SERVICED VERY WELL</v>
      </c>
      <c r="Q101">
        <f ca="1">OFFSET(Sheet2!R$2,(ROW(Q102))*3,0)</f>
        <v>0</v>
      </c>
      <c r="R101">
        <f ca="1">OFFSET(Sheet2!S$2,(ROW(R102))*3,0)</f>
        <v>0</v>
      </c>
      <c r="S101">
        <f ca="1">OFFSET(Sheet2!T$2,(ROW(S102))*3,0)</f>
        <v>0</v>
      </c>
      <c r="T101">
        <f ca="1">OFFSET(Sheet2!U$2,(ROW(T102))*3,0)</f>
        <v>0</v>
      </c>
      <c r="U101">
        <f ca="1">OFFSET(Sheet2!V$2,(ROW(U102))*3,0)</f>
        <v>0</v>
      </c>
    </row>
    <row r="102" spans="1:21" x14ac:dyDescent="0.35">
      <c r="A102" s="11">
        <f ca="1">OFFSET(Sheet2!B$2,(ROW(A103))*3,0)</f>
        <v>43855</v>
      </c>
      <c r="B102" s="11">
        <f ca="1">OFFSET(Sheet2!A$2,(ROW(A103))*3,0)</f>
        <v>43855</v>
      </c>
      <c r="C102">
        <f ca="1">OFFSET(Sheet2!C$2,(ROW(C103))*3,0)</f>
        <v>19</v>
      </c>
      <c r="D102" t="str">
        <f ca="1">OFFSET(Sheet2!D$2,(ROW(D103))*3,0)</f>
        <v>South</v>
      </c>
      <c r="E102" t="str">
        <f ca="1">OFFSET(Sheet2!F$2,(ROW(E103))*3,0)</f>
        <v>MULONDO SULAITI</v>
      </c>
      <c r="F102" t="str">
        <f ca="1">OFFSET(Sheet2!G$2,(ROW(F103))*3,0)</f>
        <v>H2Go</v>
      </c>
      <c r="G102">
        <f ca="1">OFFSET(Sheet2!H$2,(ROW(G103))*3,0)</f>
        <v>0</v>
      </c>
      <c r="H102" t="str">
        <f ca="1">OFFSET(Sheet2!I$2,(ROW(H103))*3,0)</f>
        <v>WEEKLY</v>
      </c>
      <c r="I102">
        <f ca="1">OFFSET(Sheet2!J$2,(ROW(I103))*3,0)</f>
        <v>62</v>
      </c>
      <c r="J102" t="str">
        <f ca="1">OFFSET(Sheet2!K$2,(ROW(J103))*3,0)</f>
        <v>Damage Observed</v>
      </c>
      <c r="K102" t="str">
        <f ca="1">OFFSET(Sheet2!L$2,(ROW(K103))*3,0)</f>
        <v>Okay</v>
      </c>
      <c r="L102" t="str">
        <f ca="1">OFFSET(Sheet2!M$2,(ROW(L103))*3,0)</f>
        <v>GOOD</v>
      </c>
      <c r="M102" t="str">
        <f ca="1">OFFSET(Sheet2!N$2,(ROW(M103))*3,0)</f>
        <v>SERVICED</v>
      </c>
      <c r="N102" t="str">
        <f ca="1">OFFSET(Sheet2!O$2,(ROW(N103))*3,0)</f>
        <v>GOOD</v>
      </c>
      <c r="O102" t="str">
        <f ca="1">OFFSET(Sheet2!P$2,(ROW(O103))*3,0)</f>
        <v>GOOD</v>
      </c>
      <c r="P102" t="str">
        <f ca="1">OFFSET(Sheet2!Q$2,(ROW(P103))*3,0)</f>
        <v>NUT WORN OUT</v>
      </c>
      <c r="Q102">
        <f ca="1">OFFSET(Sheet2!R$2,(ROW(Q103))*3,0)</f>
        <v>0</v>
      </c>
      <c r="R102">
        <f ca="1">OFFSET(Sheet2!S$2,(ROW(R103))*3,0)</f>
        <v>0</v>
      </c>
      <c r="S102">
        <f ca="1">OFFSET(Sheet2!T$2,(ROW(S103))*3,0)</f>
        <v>0</v>
      </c>
      <c r="T102">
        <f ca="1">OFFSET(Sheet2!U$2,(ROW(T103))*3,0)</f>
        <v>0</v>
      </c>
      <c r="U102">
        <f ca="1">OFFSET(Sheet2!V$2,(ROW(U103))*3,0)</f>
        <v>0</v>
      </c>
    </row>
    <row r="103" spans="1:21" x14ac:dyDescent="0.35">
      <c r="A103" s="11">
        <f ca="1">OFFSET(Sheet2!B$2,(ROW(A104))*3,0)</f>
        <v>43862</v>
      </c>
      <c r="B103" s="11">
        <f ca="1">OFFSET(Sheet2!A$2,(ROW(A104))*3,0)</f>
        <v>43862</v>
      </c>
      <c r="C103">
        <f ca="1">OFFSET(Sheet2!C$2,(ROW(C104))*3,0)</f>
        <v>19</v>
      </c>
      <c r="D103" t="str">
        <f ca="1">OFFSET(Sheet2!D$2,(ROW(D104))*3,0)</f>
        <v>South</v>
      </c>
      <c r="E103" t="str">
        <f ca="1">OFFSET(Sheet2!F$2,(ROW(E104))*3,0)</f>
        <v>MULONDO SULAITI</v>
      </c>
      <c r="F103" t="str">
        <f ca="1">OFFSET(Sheet2!G$2,(ROW(F104))*3,0)</f>
        <v>H2GO</v>
      </c>
      <c r="G103">
        <f ca="1">OFFSET(Sheet2!H$2,(ROW(G104))*3,0)</f>
        <v>0</v>
      </c>
      <c r="H103" t="str">
        <f ca="1">OFFSET(Sheet2!I$2,(ROW(H104))*3,0)</f>
        <v>WEEKLY</v>
      </c>
      <c r="I103">
        <f ca="1">OFFSET(Sheet2!J$2,(ROW(I104))*3,0)</f>
        <v>88</v>
      </c>
      <c r="J103" t="str">
        <f ca="1">OFFSET(Sheet2!K$2,(ROW(J104))*3,0)</f>
        <v>Damage Observed</v>
      </c>
      <c r="K103" t="str">
        <f ca="1">OFFSET(Sheet2!L$2,(ROW(K104))*3,0)</f>
        <v>Dirty</v>
      </c>
      <c r="L103" t="str">
        <f ca="1">OFFSET(Sheet2!M$2,(ROW(L104))*3,0)</f>
        <v>CLEAN</v>
      </c>
      <c r="M103" t="str">
        <f ca="1">OFFSET(Sheet2!N$2,(ROW(M104))*3,0)</f>
        <v>GOOD</v>
      </c>
      <c r="N103" t="str">
        <f ca="1">OFFSET(Sheet2!O$2,(ROW(N104))*3,0)</f>
        <v>GOOD</v>
      </c>
      <c r="O103" t="str">
        <f ca="1">OFFSET(Sheet2!P$2,(ROW(O104))*3,0)</f>
        <v>GOOD IN CONDITION</v>
      </c>
      <c r="P103" t="str">
        <f ca="1">OFFSET(Sheet2!Q$2,(ROW(P104))*3,0)</f>
        <v>NOT BAD</v>
      </c>
      <c r="Q103">
        <f ca="1">OFFSET(Sheet2!R$2,(ROW(Q104))*3,0)</f>
        <v>0</v>
      </c>
      <c r="R103">
        <f ca="1">OFFSET(Sheet2!S$2,(ROW(R104))*3,0)</f>
        <v>0</v>
      </c>
      <c r="S103">
        <f ca="1">OFFSET(Sheet2!T$2,(ROW(S104))*3,0)</f>
        <v>0</v>
      </c>
      <c r="T103">
        <f ca="1">OFFSET(Sheet2!U$2,(ROW(T104))*3,0)</f>
        <v>0</v>
      </c>
      <c r="U103">
        <f ca="1">OFFSET(Sheet2!V$2,(ROW(U104))*3,0)</f>
        <v>0</v>
      </c>
    </row>
    <row r="104" spans="1:21" x14ac:dyDescent="0.35">
      <c r="A104" s="11">
        <f ca="1">OFFSET(Sheet2!B$2,(ROW(A105))*3,0)</f>
        <v>43869</v>
      </c>
      <c r="B104" s="11">
        <f ca="1">OFFSET(Sheet2!A$2,(ROW(A105))*3,0)</f>
        <v>43869</v>
      </c>
      <c r="C104">
        <f ca="1">OFFSET(Sheet2!C$2,(ROW(C105))*3,0)</f>
        <v>19</v>
      </c>
      <c r="D104" t="str">
        <f ca="1">OFFSET(Sheet2!D$2,(ROW(D105))*3,0)</f>
        <v>South</v>
      </c>
      <c r="E104" t="str">
        <f ca="1">OFFSET(Sheet2!F$2,(ROW(E105))*3,0)</f>
        <v>MULONDO SULAITI</v>
      </c>
      <c r="F104" t="str">
        <f ca="1">OFFSET(Sheet2!G$2,(ROW(F105))*3,0)</f>
        <v>H2Go</v>
      </c>
      <c r="G104">
        <f ca="1">OFFSET(Sheet2!H$2,(ROW(G105))*3,0)</f>
        <v>0</v>
      </c>
      <c r="H104" t="str">
        <f ca="1">OFFSET(Sheet2!I$2,(ROW(H105))*3,0)</f>
        <v>WEEKLY</v>
      </c>
      <c r="I104">
        <f ca="1">OFFSET(Sheet2!J$2,(ROW(I105))*3,0)</f>
        <v>193</v>
      </c>
      <c r="J104" t="str">
        <f ca="1">OFFSET(Sheet2!K$2,(ROW(J105))*3,0)</f>
        <v>Damage Observed</v>
      </c>
      <c r="K104" t="str">
        <f ca="1">OFFSET(Sheet2!L$2,(ROW(K105))*3,0)</f>
        <v>NOT BAD THOUGH USED UP</v>
      </c>
      <c r="L104" t="str">
        <f ca="1">OFFSET(Sheet2!M$2,(ROW(L105))*3,0)</f>
        <v>NOT BAD</v>
      </c>
      <c r="M104" t="str">
        <f ca="1">OFFSET(Sheet2!N$2,(ROW(M105))*3,0)</f>
        <v>GOOD</v>
      </c>
      <c r="N104" t="str">
        <f ca="1">OFFSET(Sheet2!O$2,(ROW(N105))*3,0)</f>
        <v>GOOD</v>
      </c>
      <c r="O104" t="str">
        <f ca="1">OFFSET(Sheet2!P$2,(ROW(O105))*3,0)</f>
        <v>Clean(no soot)</v>
      </c>
      <c r="P104" t="str">
        <f ca="1">OFFSET(Sheet2!Q$2,(ROW(P105))*3,0)</f>
        <v>GOOD</v>
      </c>
      <c r="Q104">
        <f ca="1">OFFSET(Sheet2!R$2,(ROW(Q105))*3,0)</f>
        <v>0</v>
      </c>
      <c r="R104">
        <f ca="1">OFFSET(Sheet2!S$2,(ROW(R105))*3,0)</f>
        <v>0</v>
      </c>
      <c r="S104">
        <f ca="1">OFFSET(Sheet2!T$2,(ROW(S105))*3,0)</f>
        <v>0</v>
      </c>
      <c r="T104">
        <f ca="1">OFFSET(Sheet2!U$2,(ROW(T105))*3,0)</f>
        <v>0</v>
      </c>
      <c r="U104">
        <f ca="1">OFFSET(Sheet2!V$2,(ROW(U105))*3,0)</f>
        <v>0</v>
      </c>
    </row>
    <row r="105" spans="1:21" x14ac:dyDescent="0.35">
      <c r="A105" s="11">
        <f ca="1">OFFSET(Sheet2!B$2,(ROW(A106))*3,0)</f>
        <v>43876</v>
      </c>
      <c r="B105" s="11">
        <f ca="1">OFFSET(Sheet2!A$2,(ROW(A106))*3,0)</f>
        <v>43876</v>
      </c>
      <c r="C105">
        <f ca="1">OFFSET(Sheet2!C$2,(ROW(C106))*3,0)</f>
        <v>19</v>
      </c>
      <c r="D105" t="str">
        <f ca="1">OFFSET(Sheet2!D$2,(ROW(D106))*3,0)</f>
        <v>South</v>
      </c>
      <c r="E105" t="str">
        <f ca="1">OFFSET(Sheet2!F$2,(ROW(E106))*3,0)</f>
        <v>MULONDO SULAITI</v>
      </c>
      <c r="F105" t="str">
        <f ca="1">OFFSET(Sheet2!G$2,(ROW(F106))*3,0)</f>
        <v>H2Go</v>
      </c>
      <c r="G105">
        <f ca="1">OFFSET(Sheet2!H$2,(ROW(G106))*3,0)</f>
        <v>0</v>
      </c>
      <c r="H105" t="str">
        <f ca="1">OFFSET(Sheet2!I$2,(ROW(H106))*3,0)</f>
        <v>WEEKLY</v>
      </c>
      <c r="I105">
        <f ca="1">OFFSET(Sheet2!J$2,(ROW(I106))*3,0)</f>
        <v>125</v>
      </c>
      <c r="J105" t="str">
        <f ca="1">OFFSET(Sheet2!K$2,(ROW(J106))*3,0)</f>
        <v>Damage Observed</v>
      </c>
      <c r="K105" t="str">
        <f ca="1">OFFSET(Sheet2!L$2,(ROW(K106))*3,0)</f>
        <v>VERY LITTLE OIL, DIRTY AND USED UP</v>
      </c>
      <c r="L105" t="str">
        <f ca="1">OFFSET(Sheet2!M$2,(ROW(L106))*3,0)</f>
        <v>GOOD</v>
      </c>
      <c r="M105" t="str">
        <f ca="1">OFFSET(Sheet2!N$2,(ROW(M106))*3,0)</f>
        <v>Loose</v>
      </c>
      <c r="N105" t="str">
        <f ca="1">OFFSET(Sheet2!O$2,(ROW(N106))*3,0)</f>
        <v>CLEAN</v>
      </c>
      <c r="O105" t="str">
        <f ca="1">OFFSET(Sheet2!P$2,(ROW(O106))*3,0)</f>
        <v>Clean(no soot)</v>
      </c>
      <c r="P105" t="str">
        <f ca="1">OFFSET(Sheet2!Q$2,(ROW(P106))*3,0)</f>
        <v>GOOD</v>
      </c>
      <c r="Q105">
        <f ca="1">OFFSET(Sheet2!R$2,(ROW(Q106))*3,0)</f>
        <v>0</v>
      </c>
      <c r="R105">
        <f ca="1">OFFSET(Sheet2!S$2,(ROW(R106))*3,0)</f>
        <v>0</v>
      </c>
      <c r="S105">
        <f ca="1">OFFSET(Sheet2!T$2,(ROW(S106))*3,0)</f>
        <v>0</v>
      </c>
      <c r="T105">
        <f ca="1">OFFSET(Sheet2!U$2,(ROW(T106))*3,0)</f>
        <v>0</v>
      </c>
      <c r="U105">
        <f ca="1">OFFSET(Sheet2!V$2,(ROW(U106))*3,0)</f>
        <v>0</v>
      </c>
    </row>
    <row r="106" spans="1:21" x14ac:dyDescent="0.35">
      <c r="A106" s="11">
        <f ca="1">OFFSET(Sheet2!B$2,(ROW(A107))*3,0)</f>
        <v>43885</v>
      </c>
      <c r="B106" s="11">
        <f ca="1">OFFSET(Sheet2!A$2,(ROW(A107))*3,0)</f>
        <v>43885</v>
      </c>
      <c r="C106">
        <f ca="1">OFFSET(Sheet2!C$2,(ROW(C107))*3,0)</f>
        <v>19</v>
      </c>
      <c r="D106" t="str">
        <f ca="1">OFFSET(Sheet2!D$2,(ROW(D107))*3,0)</f>
        <v>South</v>
      </c>
      <c r="E106" t="str">
        <f ca="1">OFFSET(Sheet2!F$2,(ROW(E107))*3,0)</f>
        <v>MULONDO SULAITI</v>
      </c>
      <c r="F106" t="str">
        <f ca="1">OFFSET(Sheet2!G$2,(ROW(F107))*3,0)</f>
        <v>H2Go</v>
      </c>
      <c r="G106">
        <f ca="1">OFFSET(Sheet2!H$2,(ROW(G107))*3,0)</f>
        <v>0</v>
      </c>
      <c r="H106" t="str">
        <f ca="1">OFFSET(Sheet2!I$2,(ROW(H107))*3,0)</f>
        <v>WEEKLY</v>
      </c>
      <c r="I106">
        <f ca="1">OFFSET(Sheet2!J$2,(ROW(I107))*3,0)</f>
        <v>112</v>
      </c>
      <c r="J106" t="str">
        <f ca="1">OFFSET(Sheet2!K$2,(ROW(J107))*3,0)</f>
        <v>Damage Observed</v>
      </c>
      <c r="K106" t="str">
        <f ca="1">OFFSET(Sheet2!L$2,(ROW(K107))*3,0)</f>
        <v>Dirty</v>
      </c>
      <c r="L106" t="str">
        <f ca="1">OFFSET(Sheet2!M$2,(ROW(L107))*3,0)</f>
        <v>Clean</v>
      </c>
      <c r="M106" t="str">
        <f ca="1">OFFSET(Sheet2!N$2,(ROW(M107))*3,0)</f>
        <v>Misaligned</v>
      </c>
      <c r="N106" t="str">
        <f ca="1">OFFSET(Sheet2!O$2,(ROW(N107))*3,0)</f>
        <v>Okay</v>
      </c>
      <c r="O106" t="str">
        <f ca="1">OFFSET(Sheet2!P$2,(ROW(O107))*3,0)</f>
        <v>Good</v>
      </c>
      <c r="P106" t="str">
        <f ca="1">OFFSET(Sheet2!Q$2,(ROW(P107))*3,0)</f>
        <v>In good Condition</v>
      </c>
      <c r="Q106">
        <f ca="1">OFFSET(Sheet2!R$2,(ROW(Q107))*3,0)</f>
        <v>0</v>
      </c>
      <c r="R106">
        <f ca="1">OFFSET(Sheet2!S$2,(ROW(R107))*3,0)</f>
        <v>0</v>
      </c>
      <c r="S106">
        <f ca="1">OFFSET(Sheet2!T$2,(ROW(S107))*3,0)</f>
        <v>0</v>
      </c>
      <c r="T106">
        <f ca="1">OFFSET(Sheet2!U$2,(ROW(T107))*3,0)</f>
        <v>0</v>
      </c>
      <c r="U106">
        <f ca="1">OFFSET(Sheet2!V$2,(ROW(U107))*3,0)</f>
        <v>0</v>
      </c>
    </row>
    <row r="107" spans="1:21" x14ac:dyDescent="0.35">
      <c r="A107" s="11">
        <f ca="1">OFFSET(Sheet2!B$2,(ROW(A108))*3,0)</f>
        <v>43892</v>
      </c>
      <c r="B107" s="11">
        <f ca="1">OFFSET(Sheet2!A$2,(ROW(A108))*3,0)</f>
        <v>43892</v>
      </c>
      <c r="C107">
        <f ca="1">OFFSET(Sheet2!C$2,(ROW(C108))*3,0)</f>
        <v>19</v>
      </c>
      <c r="D107" t="str">
        <f ca="1">OFFSET(Sheet2!D$2,(ROW(D108))*3,0)</f>
        <v>South</v>
      </c>
      <c r="E107" t="str">
        <f ca="1">OFFSET(Sheet2!F$2,(ROW(E108))*3,0)</f>
        <v>MULONDO SULAITI</v>
      </c>
      <c r="F107" t="str">
        <f ca="1">OFFSET(Sheet2!G$2,(ROW(F108))*3,0)</f>
        <v>H2GO</v>
      </c>
      <c r="G107">
        <f ca="1">OFFSET(Sheet2!H$2,(ROW(G108))*3,0)</f>
        <v>0</v>
      </c>
      <c r="H107" t="str">
        <f ca="1">OFFSET(Sheet2!I$2,(ROW(H108))*3,0)</f>
        <v>WEEKLY</v>
      </c>
      <c r="I107">
        <f ca="1">OFFSET(Sheet2!J$2,(ROW(I108))*3,0)</f>
        <v>102</v>
      </c>
      <c r="J107" t="str">
        <f ca="1">OFFSET(Sheet2!K$2,(ROW(J108))*3,0)</f>
        <v>Damage Observed</v>
      </c>
      <c r="K107" t="str">
        <f ca="1">OFFSET(Sheet2!L$2,(ROW(K108))*3,0)</f>
        <v>Dirty</v>
      </c>
      <c r="L107" t="str">
        <f ca="1">OFFSET(Sheet2!M$2,(ROW(L108))*3,0)</f>
        <v>Dirty</v>
      </c>
      <c r="M107" t="str">
        <f ca="1">OFFSET(Sheet2!N$2,(ROW(M108))*3,0)</f>
        <v>Misaligned</v>
      </c>
      <c r="N107" t="str">
        <f ca="1">OFFSET(Sheet2!O$2,(ROW(N108))*3,0)</f>
        <v>Okay</v>
      </c>
      <c r="O107" t="str">
        <f ca="1">OFFSET(Sheet2!P$2,(ROW(O108))*3,0)</f>
        <v>Good</v>
      </c>
      <c r="P107" t="str">
        <f ca="1">OFFSET(Sheet2!Q$2,(ROW(P108))*3,0)</f>
        <v>Nut and washer worn out</v>
      </c>
      <c r="Q107">
        <f ca="1">OFFSET(Sheet2!R$2,(ROW(Q108))*3,0)</f>
        <v>0</v>
      </c>
      <c r="R107">
        <f ca="1">OFFSET(Sheet2!S$2,(ROW(R108))*3,0)</f>
        <v>0</v>
      </c>
      <c r="S107">
        <f ca="1">OFFSET(Sheet2!T$2,(ROW(S108))*3,0)</f>
        <v>0</v>
      </c>
      <c r="T107">
        <f ca="1">OFFSET(Sheet2!U$2,(ROW(T108))*3,0)</f>
        <v>0</v>
      </c>
      <c r="U107">
        <f ca="1">OFFSET(Sheet2!V$2,(ROW(U108))*3,0)</f>
        <v>0</v>
      </c>
    </row>
    <row r="108" spans="1:21" x14ac:dyDescent="0.35">
      <c r="A108" s="11">
        <f ca="1">OFFSET(Sheet2!B$2,(ROW(A109))*3,0)</f>
        <v>43899</v>
      </c>
      <c r="B108" s="11">
        <f ca="1">OFFSET(Sheet2!A$2,(ROW(A109))*3,0)</f>
        <v>43899</v>
      </c>
      <c r="C108">
        <f ca="1">OFFSET(Sheet2!C$2,(ROW(C109))*3,0)</f>
        <v>19</v>
      </c>
      <c r="D108" t="str">
        <f ca="1">OFFSET(Sheet2!D$2,(ROW(D109))*3,0)</f>
        <v>South</v>
      </c>
      <c r="E108" t="str">
        <f ca="1">OFFSET(Sheet2!F$2,(ROW(E109))*3,0)</f>
        <v>MULONDO SULAITI</v>
      </c>
      <c r="F108" t="str">
        <f ca="1">OFFSET(Sheet2!G$2,(ROW(F109))*3,0)</f>
        <v>H2GO</v>
      </c>
      <c r="G108">
        <f ca="1">OFFSET(Sheet2!H$2,(ROW(G109))*3,0)</f>
        <v>0</v>
      </c>
      <c r="H108" t="str">
        <f ca="1">OFFSET(Sheet2!I$2,(ROW(H109))*3,0)</f>
        <v>WEEKLY</v>
      </c>
      <c r="I108">
        <f ca="1">OFFSET(Sheet2!J$2,(ROW(I109))*3,0)</f>
        <v>159</v>
      </c>
      <c r="J108" t="str">
        <f ca="1">OFFSET(Sheet2!K$2,(ROW(J109))*3,0)</f>
        <v>Damage Observed</v>
      </c>
      <c r="K108" t="str">
        <f ca="1">OFFSET(Sheet2!L$2,(ROW(K109))*3,0)</f>
        <v>Okay</v>
      </c>
      <c r="L108" t="str">
        <f ca="1">OFFSET(Sheet2!M$2,(ROW(L109))*3,0)</f>
        <v>Very Dirty</v>
      </c>
      <c r="M108" t="str">
        <f ca="1">OFFSET(Sheet2!N$2,(ROW(M109))*3,0)</f>
        <v>Loose</v>
      </c>
      <c r="N108" t="str">
        <f ca="1">OFFSET(Sheet2!O$2,(ROW(N109))*3,0)</f>
        <v>Okay</v>
      </c>
      <c r="O108" t="str">
        <f ca="1">OFFSET(Sheet2!P$2,(ROW(O109))*3,0)</f>
        <v>Good</v>
      </c>
      <c r="P108" t="str">
        <f ca="1">OFFSET(Sheet2!Q$2,(ROW(P109))*3,0)</f>
        <v>In good Condition</v>
      </c>
      <c r="Q108">
        <f ca="1">OFFSET(Sheet2!R$2,(ROW(Q109))*3,0)</f>
        <v>0</v>
      </c>
      <c r="R108">
        <f ca="1">OFFSET(Sheet2!S$2,(ROW(R109))*3,0)</f>
        <v>0</v>
      </c>
      <c r="S108">
        <f ca="1">OFFSET(Sheet2!T$2,(ROW(S109))*3,0)</f>
        <v>0</v>
      </c>
      <c r="T108">
        <f ca="1">OFFSET(Sheet2!U$2,(ROW(T109))*3,0)</f>
        <v>0</v>
      </c>
      <c r="U108">
        <f ca="1">OFFSET(Sheet2!V$2,(ROW(U109))*3,0)</f>
        <v>0</v>
      </c>
    </row>
    <row r="109" spans="1:21" x14ac:dyDescent="0.35">
      <c r="A109" s="11">
        <f ca="1">OFFSET(Sheet2!B$2,(ROW(A110))*3,0)</f>
        <v>43841</v>
      </c>
      <c r="B109" s="11">
        <f ca="1">OFFSET(Sheet2!A$2,(ROW(A110))*3,0)</f>
        <v>43841</v>
      </c>
      <c r="C109">
        <f ca="1">OFFSET(Sheet2!C$2,(ROW(C110))*3,0)</f>
        <v>20</v>
      </c>
      <c r="D109" t="str">
        <f ca="1">OFFSET(Sheet2!D$2,(ROW(D110))*3,0)</f>
        <v>South</v>
      </c>
      <c r="E109" t="str">
        <f ca="1">OFFSET(Sheet2!F$2,(ROW(E110))*3,0)</f>
        <v>MUKHWANA MOSES</v>
      </c>
      <c r="F109" t="str">
        <f ca="1">OFFSET(Sheet2!G$2,(ROW(F110))*3,0)</f>
        <v>H2Go</v>
      </c>
      <c r="G109">
        <f ca="1">OFFSET(Sheet2!H$2,(ROW(G110))*3,0)</f>
        <v>0</v>
      </c>
      <c r="H109" t="str">
        <f ca="1">OFFSET(Sheet2!I$2,(ROW(H110))*3,0)</f>
        <v>Comprehensive</v>
      </c>
      <c r="I109">
        <f ca="1">OFFSET(Sheet2!J$2,(ROW(I110))*3,0)</f>
        <v>95</v>
      </c>
      <c r="J109" t="str">
        <f ca="1">OFFSET(Sheet2!K$2,(ROW(J110))*3,0)</f>
        <v>Damage Observed</v>
      </c>
      <c r="K109" t="str">
        <f ca="1">OFFSET(Sheet2!L$2,(ROW(K110))*3,0)</f>
        <v>Good</v>
      </c>
      <c r="L109" t="str">
        <f ca="1">OFFSET(Sheet2!M$2,(ROW(L110))*3,0)</f>
        <v>DAMAGE OBSERVED</v>
      </c>
      <c r="M109" t="str">
        <f ca="1">OFFSET(Sheet2!N$2,(ROW(M110))*3,0)</f>
        <v>DAMAGE OBSERVED</v>
      </c>
      <c r="N109" t="str">
        <f ca="1">OFFSET(Sheet2!O$2,(ROW(N110))*3,0)</f>
        <v>NO DAMAGE OBSERVED</v>
      </c>
      <c r="O109" t="str">
        <f ca="1">OFFSET(Sheet2!P$2,(ROW(O110))*3,0)</f>
        <v>NO DAMAGE OBSERVED</v>
      </c>
      <c r="P109" t="str">
        <f ca="1">OFFSET(Sheet2!Q$2,(ROW(P110))*3,0)</f>
        <v>IT WAS GOOD</v>
      </c>
      <c r="Q109" t="str">
        <f ca="1">OFFSET(Sheet2!R$2,(ROW(Q110))*3,0)</f>
        <v>NEEDS TO BE CHANGED</v>
      </c>
      <c r="R109" t="str">
        <f ca="1">OFFSET(Sheet2!S$2,(ROW(R110))*3,0)</f>
        <v>IT WAS OK</v>
      </c>
      <c r="S109" t="str">
        <f ca="1">OFFSET(Sheet2!T$2,(ROW(S110))*3,0)</f>
        <v>GOOD</v>
      </c>
      <c r="T109">
        <f ca="1">OFFSET(Sheet2!U$2,(ROW(T110))*3,0)</f>
        <v>0</v>
      </c>
      <c r="U109">
        <f ca="1">OFFSET(Sheet2!V$2,(ROW(U110))*3,0)</f>
        <v>0</v>
      </c>
    </row>
    <row r="110" spans="1:21" x14ac:dyDescent="0.35">
      <c r="A110" s="11">
        <f ca="1">OFFSET(Sheet2!B$2,(ROW(A111))*3,0)</f>
        <v>43848</v>
      </c>
      <c r="B110" s="11">
        <f ca="1">OFFSET(Sheet2!A$2,(ROW(A111))*3,0)</f>
        <v>43848</v>
      </c>
      <c r="C110">
        <f ca="1">OFFSET(Sheet2!C$2,(ROW(C111))*3,0)</f>
        <v>20</v>
      </c>
      <c r="D110" t="str">
        <f ca="1">OFFSET(Sheet2!D$2,(ROW(D111))*3,0)</f>
        <v>South</v>
      </c>
      <c r="E110" t="str">
        <f ca="1">OFFSET(Sheet2!F$2,(ROW(E111))*3,0)</f>
        <v>MUKHWANA MOSES</v>
      </c>
      <c r="F110" t="str">
        <f ca="1">OFFSET(Sheet2!G$2,(ROW(F111))*3,0)</f>
        <v>H2Go</v>
      </c>
      <c r="G110">
        <f ca="1">OFFSET(Sheet2!H$2,(ROW(G111))*3,0)</f>
        <v>0</v>
      </c>
      <c r="H110" t="str">
        <f ca="1">OFFSET(Sheet2!I$2,(ROW(H111))*3,0)</f>
        <v>WEEKLY</v>
      </c>
      <c r="I110">
        <f ca="1">OFFSET(Sheet2!J$2,(ROW(I111))*3,0)</f>
        <v>33</v>
      </c>
      <c r="J110" t="str">
        <f ca="1">OFFSET(Sheet2!K$2,(ROW(J111))*3,0)</f>
        <v>Damage Observed</v>
      </c>
      <c r="K110" t="str">
        <f ca="1">OFFSET(Sheet2!L$2,(ROW(K111))*3,0)</f>
        <v>Okay</v>
      </c>
      <c r="L110" t="str">
        <f ca="1">OFFSET(Sheet2!M$2,(ROW(L111))*3,0)</f>
        <v>NOT VERY BAD</v>
      </c>
      <c r="M110" t="str">
        <f ca="1">OFFSET(Sheet2!N$2,(ROW(M111))*3,0)</f>
        <v>GOOD</v>
      </c>
      <c r="N110" t="str">
        <f ca="1">OFFSET(Sheet2!O$2,(ROW(N111))*3,0)</f>
        <v>NOT BAD</v>
      </c>
      <c r="O110" t="str">
        <f ca="1">OFFSET(Sheet2!P$2,(ROW(O111))*3,0)</f>
        <v>GOOD</v>
      </c>
      <c r="P110" t="str">
        <f ca="1">OFFSET(Sheet2!Q$2,(ROW(P111))*3,0)</f>
        <v>GOOD IN CONDITION</v>
      </c>
      <c r="Q110">
        <f ca="1">OFFSET(Sheet2!R$2,(ROW(Q111))*3,0)</f>
        <v>0</v>
      </c>
      <c r="R110">
        <f ca="1">OFFSET(Sheet2!S$2,(ROW(R111))*3,0)</f>
        <v>0</v>
      </c>
      <c r="S110">
        <f ca="1">OFFSET(Sheet2!T$2,(ROW(S111))*3,0)</f>
        <v>0</v>
      </c>
      <c r="T110">
        <f ca="1">OFFSET(Sheet2!U$2,(ROW(T111))*3,0)</f>
        <v>0</v>
      </c>
      <c r="U110">
        <f ca="1">OFFSET(Sheet2!V$2,(ROW(U111))*3,0)</f>
        <v>0</v>
      </c>
    </row>
    <row r="111" spans="1:21" x14ac:dyDescent="0.35">
      <c r="A111" s="11">
        <f ca="1">OFFSET(Sheet2!B$2,(ROW(A112))*3,0)</f>
        <v>43855</v>
      </c>
      <c r="B111" s="11">
        <f ca="1">OFFSET(Sheet2!A$2,(ROW(A112))*3,0)</f>
        <v>43855</v>
      </c>
      <c r="C111">
        <f ca="1">OFFSET(Sheet2!C$2,(ROW(C112))*3,0)</f>
        <v>20</v>
      </c>
      <c r="D111" t="str">
        <f ca="1">OFFSET(Sheet2!D$2,(ROW(D112))*3,0)</f>
        <v>South</v>
      </c>
      <c r="E111" t="str">
        <f ca="1">OFFSET(Sheet2!F$2,(ROW(E112))*3,0)</f>
        <v>MUKHWANA MOSES</v>
      </c>
      <c r="F111" t="str">
        <f ca="1">OFFSET(Sheet2!G$2,(ROW(F112))*3,0)</f>
        <v>H2Go</v>
      </c>
      <c r="G111">
        <f ca="1">OFFSET(Sheet2!H$2,(ROW(G112))*3,0)</f>
        <v>0</v>
      </c>
      <c r="H111" t="str">
        <f ca="1">OFFSET(Sheet2!I$2,(ROW(H112))*3,0)</f>
        <v>WEEKLY</v>
      </c>
      <c r="I111">
        <f ca="1">OFFSET(Sheet2!J$2,(ROW(I112))*3,0)</f>
        <v>70</v>
      </c>
      <c r="J111" t="str">
        <f ca="1">OFFSET(Sheet2!K$2,(ROW(J112))*3,0)</f>
        <v>Damage Observed</v>
      </c>
      <c r="K111" t="str">
        <f ca="1">OFFSET(Sheet2!L$2,(ROW(K112))*3,0)</f>
        <v>Okay</v>
      </c>
      <c r="L111" t="str">
        <f ca="1">OFFSET(Sheet2!M$2,(ROW(L112))*3,0)</f>
        <v>GOOD</v>
      </c>
      <c r="M111" t="str">
        <f ca="1">OFFSET(Sheet2!N$2,(ROW(M112))*3,0)</f>
        <v>GOOD</v>
      </c>
      <c r="N111" t="str">
        <f ca="1">OFFSET(Sheet2!O$2,(ROW(N112))*3,0)</f>
        <v>SERVICED</v>
      </c>
      <c r="O111" t="str">
        <f ca="1">OFFSET(Sheet2!P$2,(ROW(O112))*3,0)</f>
        <v>GOOD</v>
      </c>
      <c r="P111" t="str">
        <f ca="1">OFFSET(Sheet2!Q$2,(ROW(P112))*3,0)</f>
        <v>NUT WORN OUT</v>
      </c>
      <c r="Q111">
        <f ca="1">OFFSET(Sheet2!R$2,(ROW(Q112))*3,0)</f>
        <v>0</v>
      </c>
      <c r="R111">
        <f ca="1">OFFSET(Sheet2!S$2,(ROW(R112))*3,0)</f>
        <v>0</v>
      </c>
      <c r="S111">
        <f ca="1">OFFSET(Sheet2!T$2,(ROW(S112))*3,0)</f>
        <v>0</v>
      </c>
      <c r="T111">
        <f ca="1">OFFSET(Sheet2!U$2,(ROW(T112))*3,0)</f>
        <v>0</v>
      </c>
      <c r="U111">
        <f ca="1">OFFSET(Sheet2!V$2,(ROW(U112))*3,0)</f>
        <v>0</v>
      </c>
    </row>
    <row r="112" spans="1:21" x14ac:dyDescent="0.35">
      <c r="A112" s="11">
        <f ca="1">OFFSET(Sheet2!B$2,(ROW(A113))*3,0)</f>
        <v>43862</v>
      </c>
      <c r="B112" s="11">
        <f ca="1">OFFSET(Sheet2!A$2,(ROW(A113))*3,0)</f>
        <v>43862</v>
      </c>
      <c r="C112">
        <f ca="1">OFFSET(Sheet2!C$2,(ROW(C113))*3,0)</f>
        <v>20</v>
      </c>
      <c r="D112" t="str">
        <f ca="1">OFFSET(Sheet2!D$2,(ROW(D113))*3,0)</f>
        <v>South</v>
      </c>
      <c r="E112" t="str">
        <f ca="1">OFFSET(Sheet2!F$2,(ROW(E113))*3,0)</f>
        <v>MUKHWANA MOSES</v>
      </c>
      <c r="F112" t="str">
        <f ca="1">OFFSET(Sheet2!G$2,(ROW(F113))*3,0)</f>
        <v>H2Go</v>
      </c>
      <c r="G112">
        <f ca="1">OFFSET(Sheet2!H$2,(ROW(G113))*3,0)</f>
        <v>0</v>
      </c>
      <c r="H112" t="str">
        <f ca="1">OFFSET(Sheet2!I$2,(ROW(H113))*3,0)</f>
        <v>WEEKLY</v>
      </c>
      <c r="I112">
        <f ca="1">OFFSET(Sheet2!J$2,(ROW(I113))*3,0)</f>
        <v>80</v>
      </c>
      <c r="J112" t="str">
        <f ca="1">OFFSET(Sheet2!K$2,(ROW(J113))*3,0)</f>
        <v>Damage Observed</v>
      </c>
      <c r="K112" t="str">
        <f ca="1">OFFSET(Sheet2!L$2,(ROW(K113))*3,0)</f>
        <v>Good</v>
      </c>
      <c r="L112" t="str">
        <f ca="1">OFFSET(Sheet2!M$2,(ROW(L113))*3,0)</f>
        <v>GOOD</v>
      </c>
      <c r="M112" t="str">
        <f ca="1">OFFSET(Sheet2!N$2,(ROW(M113))*3,0)</f>
        <v>SERVICED</v>
      </c>
      <c r="N112" t="str">
        <f ca="1">OFFSET(Sheet2!O$2,(ROW(N113))*3,0)</f>
        <v>GOOD</v>
      </c>
      <c r="O112" t="str">
        <f ca="1">OFFSET(Sheet2!P$2,(ROW(O113))*3,0)</f>
        <v>GOOD</v>
      </c>
      <c r="P112" t="str">
        <f ca="1">OFFSET(Sheet2!Q$2,(ROW(P113))*3,0)</f>
        <v>GOOD</v>
      </c>
      <c r="Q112">
        <f ca="1">OFFSET(Sheet2!R$2,(ROW(Q113))*3,0)</f>
        <v>0</v>
      </c>
      <c r="R112">
        <f ca="1">OFFSET(Sheet2!S$2,(ROW(R113))*3,0)</f>
        <v>0</v>
      </c>
      <c r="S112">
        <f ca="1">OFFSET(Sheet2!T$2,(ROW(S113))*3,0)</f>
        <v>0</v>
      </c>
      <c r="T112">
        <f ca="1">OFFSET(Sheet2!U$2,(ROW(T113))*3,0)</f>
        <v>0</v>
      </c>
      <c r="U112">
        <f ca="1">OFFSET(Sheet2!V$2,(ROW(U113))*3,0)</f>
        <v>0</v>
      </c>
    </row>
    <row r="113" spans="1:21" x14ac:dyDescent="0.35">
      <c r="A113" s="11">
        <f ca="1">OFFSET(Sheet2!B$2,(ROW(A114))*3,0)</f>
        <v>43869</v>
      </c>
      <c r="B113" s="11">
        <f ca="1">OFFSET(Sheet2!A$2,(ROW(A114))*3,0)</f>
        <v>43869</v>
      </c>
      <c r="C113">
        <f ca="1">OFFSET(Sheet2!C$2,(ROW(C114))*3,0)</f>
        <v>20</v>
      </c>
      <c r="D113" t="str">
        <f ca="1">OFFSET(Sheet2!D$2,(ROW(D114))*3,0)</f>
        <v>South</v>
      </c>
      <c r="E113" t="str">
        <f ca="1">OFFSET(Sheet2!F$2,(ROW(E114))*3,0)</f>
        <v>MUKHWANA MOSES</v>
      </c>
      <c r="F113" t="str">
        <f ca="1">OFFSET(Sheet2!G$2,(ROW(F114))*3,0)</f>
        <v>H2Go</v>
      </c>
      <c r="G113">
        <f ca="1">OFFSET(Sheet2!H$2,(ROW(G114))*3,0)</f>
        <v>0</v>
      </c>
      <c r="H113" t="str">
        <f ca="1">OFFSET(Sheet2!I$2,(ROW(H114))*3,0)</f>
        <v>WEEKLY</v>
      </c>
      <c r="I113">
        <f ca="1">OFFSET(Sheet2!J$2,(ROW(I114))*3,0)</f>
        <v>116</v>
      </c>
      <c r="J113" t="str">
        <f ca="1">OFFSET(Sheet2!K$2,(ROW(J114))*3,0)</f>
        <v>Damage Observed</v>
      </c>
      <c r="K113" t="str">
        <f ca="1">OFFSET(Sheet2!L$2,(ROW(K114))*3,0)</f>
        <v>NOT BAD THOUGH USED UP</v>
      </c>
      <c r="L113" t="str">
        <f ca="1">OFFSET(Sheet2!M$2,(ROW(L114))*3,0)</f>
        <v>GOOD</v>
      </c>
      <c r="M113" t="str">
        <f ca="1">OFFSET(Sheet2!N$2,(ROW(M114))*3,0)</f>
        <v>GOOD</v>
      </c>
      <c r="N113" t="str">
        <f ca="1">OFFSET(Sheet2!O$2,(ROW(N114))*3,0)</f>
        <v>GOOD</v>
      </c>
      <c r="O113" t="str">
        <f ca="1">OFFSET(Sheet2!P$2,(ROW(O114))*3,0)</f>
        <v>Clean(no soot)</v>
      </c>
      <c r="P113" t="str">
        <f ca="1">OFFSET(Sheet2!Q$2,(ROW(P114))*3,0)</f>
        <v>GOOD</v>
      </c>
      <c r="Q113">
        <f ca="1">OFFSET(Sheet2!R$2,(ROW(Q114))*3,0)</f>
        <v>0</v>
      </c>
      <c r="R113">
        <f ca="1">OFFSET(Sheet2!S$2,(ROW(R114))*3,0)</f>
        <v>0</v>
      </c>
      <c r="S113">
        <f ca="1">OFFSET(Sheet2!T$2,(ROW(S114))*3,0)</f>
        <v>0</v>
      </c>
      <c r="T113">
        <f ca="1">OFFSET(Sheet2!U$2,(ROW(T114))*3,0)</f>
        <v>0</v>
      </c>
      <c r="U113">
        <f ca="1">OFFSET(Sheet2!V$2,(ROW(U114))*3,0)</f>
        <v>0</v>
      </c>
    </row>
    <row r="114" spans="1:21" x14ac:dyDescent="0.35">
      <c r="A114" s="11">
        <f ca="1">OFFSET(Sheet2!B$2,(ROW(A115))*3,0)</f>
        <v>43876</v>
      </c>
      <c r="B114" s="11">
        <f ca="1">OFFSET(Sheet2!A$2,(ROW(A115))*3,0)</f>
        <v>43876</v>
      </c>
      <c r="C114">
        <f ca="1">OFFSET(Sheet2!C$2,(ROW(C115))*3,0)</f>
        <v>20</v>
      </c>
      <c r="D114" t="str">
        <f ca="1">OFFSET(Sheet2!D$2,(ROW(D115))*3,0)</f>
        <v>South</v>
      </c>
      <c r="E114" t="str">
        <f ca="1">OFFSET(Sheet2!F$2,(ROW(E115))*3,0)</f>
        <v>MUKHWANA MOSES</v>
      </c>
      <c r="F114" t="str">
        <f ca="1">OFFSET(Sheet2!G$2,(ROW(F115))*3,0)</f>
        <v>H2Go</v>
      </c>
      <c r="G114">
        <f ca="1">OFFSET(Sheet2!H$2,(ROW(G115))*3,0)</f>
        <v>0</v>
      </c>
      <c r="H114" t="str">
        <f ca="1">OFFSET(Sheet2!I$2,(ROW(H115))*3,0)</f>
        <v>WEEKLY</v>
      </c>
      <c r="I114">
        <f ca="1">OFFSET(Sheet2!J$2,(ROW(I115))*3,0)</f>
        <v>127</v>
      </c>
      <c r="J114" t="str">
        <f ca="1">OFFSET(Sheet2!K$2,(ROW(J115))*3,0)</f>
        <v>Damage Observed</v>
      </c>
      <c r="K114" t="str">
        <f ca="1">OFFSET(Sheet2!L$2,(ROW(K115))*3,0)</f>
        <v>NOT BAD THOUGH USED UP</v>
      </c>
      <c r="L114" t="str">
        <f ca="1">OFFSET(Sheet2!M$2,(ROW(L115))*3,0)</f>
        <v>GOOD</v>
      </c>
      <c r="M114" t="str">
        <f ca="1">OFFSET(Sheet2!N$2,(ROW(M115))*3,0)</f>
        <v>GOOD</v>
      </c>
      <c r="N114" t="str">
        <f ca="1">OFFSET(Sheet2!O$2,(ROW(N115))*3,0)</f>
        <v xml:space="preserve">Dusty </v>
      </c>
      <c r="O114" t="str">
        <f ca="1">OFFSET(Sheet2!P$2,(ROW(O115))*3,0)</f>
        <v>Clean(no soot)</v>
      </c>
      <c r="P114" t="str">
        <f ca="1">OFFSET(Sheet2!Q$2,(ROW(P115))*3,0)</f>
        <v>GOOD</v>
      </c>
      <c r="Q114">
        <f ca="1">OFFSET(Sheet2!R$2,(ROW(Q115))*3,0)</f>
        <v>0</v>
      </c>
      <c r="R114">
        <f ca="1">OFFSET(Sheet2!S$2,(ROW(R115))*3,0)</f>
        <v>0</v>
      </c>
      <c r="S114">
        <f ca="1">OFFSET(Sheet2!T$2,(ROW(S115))*3,0)</f>
        <v>0</v>
      </c>
      <c r="T114">
        <f ca="1">OFFSET(Sheet2!U$2,(ROW(T115))*3,0)</f>
        <v>0</v>
      </c>
      <c r="U114">
        <f ca="1">OFFSET(Sheet2!V$2,(ROW(U115))*3,0)</f>
        <v>0</v>
      </c>
    </row>
    <row r="115" spans="1:21" x14ac:dyDescent="0.35">
      <c r="A115" s="11">
        <f ca="1">OFFSET(Sheet2!B$2,(ROW(A116))*3,0)</f>
        <v>43885</v>
      </c>
      <c r="B115" s="11">
        <f ca="1">OFFSET(Sheet2!A$2,(ROW(A116))*3,0)</f>
        <v>43885</v>
      </c>
      <c r="C115">
        <f ca="1">OFFSET(Sheet2!C$2,(ROW(C116))*3,0)</f>
        <v>20</v>
      </c>
      <c r="D115" t="str">
        <f ca="1">OFFSET(Sheet2!D$2,(ROW(D116))*3,0)</f>
        <v>South</v>
      </c>
      <c r="E115" t="str">
        <f ca="1">OFFSET(Sheet2!F$2,(ROW(E116))*3,0)</f>
        <v>MUKHWANA MOSES</v>
      </c>
      <c r="F115" t="str">
        <f ca="1">OFFSET(Sheet2!G$2,(ROW(F116))*3,0)</f>
        <v>H2Go</v>
      </c>
      <c r="G115">
        <f ca="1">OFFSET(Sheet2!H$2,(ROW(G116))*3,0)</f>
        <v>0</v>
      </c>
      <c r="H115" t="str">
        <f ca="1">OFFSET(Sheet2!I$2,(ROW(H116))*3,0)</f>
        <v>WEEKLY</v>
      </c>
      <c r="I115">
        <f ca="1">OFFSET(Sheet2!J$2,(ROW(I116))*3,0)</f>
        <v>134</v>
      </c>
      <c r="J115" t="str">
        <f ca="1">OFFSET(Sheet2!K$2,(ROW(J116))*3,0)</f>
        <v>Damage Observed</v>
      </c>
      <c r="K115" t="str">
        <f ca="1">OFFSET(Sheet2!L$2,(ROW(K116))*3,0)</f>
        <v>Very Dirty</v>
      </c>
      <c r="L115" t="str">
        <f ca="1">OFFSET(Sheet2!M$2,(ROW(L116))*3,0)</f>
        <v>Clean</v>
      </c>
      <c r="M115" t="str">
        <f ca="1">OFFSET(Sheet2!N$2,(ROW(M116))*3,0)</f>
        <v>Tight</v>
      </c>
      <c r="N115" t="str">
        <f ca="1">OFFSET(Sheet2!O$2,(ROW(N116))*3,0)</f>
        <v>Okay</v>
      </c>
      <c r="O115" t="str">
        <f ca="1">OFFSET(Sheet2!P$2,(ROW(O116))*3,0)</f>
        <v>Good</v>
      </c>
      <c r="P115" t="str">
        <f ca="1">OFFSET(Sheet2!Q$2,(ROW(P116))*3,0)</f>
        <v>In good Condition</v>
      </c>
      <c r="Q115">
        <f ca="1">OFFSET(Sheet2!R$2,(ROW(Q116))*3,0)</f>
        <v>0</v>
      </c>
      <c r="R115">
        <f ca="1">OFFSET(Sheet2!S$2,(ROW(R116))*3,0)</f>
        <v>0</v>
      </c>
      <c r="S115">
        <f ca="1">OFFSET(Sheet2!T$2,(ROW(S116))*3,0)</f>
        <v>0</v>
      </c>
      <c r="T115">
        <f ca="1">OFFSET(Sheet2!U$2,(ROW(T116))*3,0)</f>
        <v>0</v>
      </c>
      <c r="U115">
        <f ca="1">OFFSET(Sheet2!V$2,(ROW(U116))*3,0)</f>
        <v>0</v>
      </c>
    </row>
    <row r="116" spans="1:21" x14ac:dyDescent="0.35">
      <c r="A116" s="11">
        <f ca="1">OFFSET(Sheet2!B$2,(ROW(A117))*3,0)</f>
        <v>43892</v>
      </c>
      <c r="B116" s="11">
        <f ca="1">OFFSET(Sheet2!A$2,(ROW(A117))*3,0)</f>
        <v>43892</v>
      </c>
      <c r="C116">
        <f ca="1">OFFSET(Sheet2!C$2,(ROW(C117))*3,0)</f>
        <v>20</v>
      </c>
      <c r="D116" t="str">
        <f ca="1">OFFSET(Sheet2!D$2,(ROW(D117))*3,0)</f>
        <v>South</v>
      </c>
      <c r="E116" t="str">
        <f ca="1">OFFSET(Sheet2!F$2,(ROW(E117))*3,0)</f>
        <v>MUKHWANA MOSES</v>
      </c>
      <c r="F116" t="str">
        <f ca="1">OFFSET(Sheet2!G$2,(ROW(F117))*3,0)</f>
        <v>H2GO</v>
      </c>
      <c r="G116">
        <f ca="1">OFFSET(Sheet2!H$2,(ROW(G117))*3,0)</f>
        <v>0</v>
      </c>
      <c r="H116" t="str">
        <f ca="1">OFFSET(Sheet2!I$2,(ROW(H117))*3,0)</f>
        <v>WEEKLY</v>
      </c>
      <c r="I116">
        <f ca="1">OFFSET(Sheet2!J$2,(ROW(I117))*3,0)</f>
        <v>139</v>
      </c>
      <c r="J116" t="str">
        <f ca="1">OFFSET(Sheet2!K$2,(ROW(J117))*3,0)</f>
        <v>Damage Observed</v>
      </c>
      <c r="K116" t="str">
        <f ca="1">OFFSET(Sheet2!L$2,(ROW(K117))*3,0)</f>
        <v>Clean</v>
      </c>
      <c r="L116" t="str">
        <f ca="1">OFFSET(Sheet2!M$2,(ROW(L117))*3,0)</f>
        <v>Very Dirty</v>
      </c>
      <c r="M116" t="str">
        <f ca="1">OFFSET(Sheet2!N$2,(ROW(M117))*3,0)</f>
        <v>Misaligned</v>
      </c>
      <c r="N116" t="str">
        <f ca="1">OFFSET(Sheet2!O$2,(ROW(N117))*3,0)</f>
        <v>Dirty</v>
      </c>
      <c r="O116" t="str">
        <f ca="1">OFFSET(Sheet2!P$2,(ROW(O117))*3,0)</f>
        <v>Needs to be Changed</v>
      </c>
      <c r="P116" t="str">
        <f ca="1">OFFSET(Sheet2!Q$2,(ROW(P117))*3,0)</f>
        <v>In good Condition</v>
      </c>
      <c r="Q116">
        <f ca="1">OFFSET(Sheet2!R$2,(ROW(Q117))*3,0)</f>
        <v>0</v>
      </c>
      <c r="R116">
        <f ca="1">OFFSET(Sheet2!S$2,(ROW(R117))*3,0)</f>
        <v>0</v>
      </c>
      <c r="S116">
        <f ca="1">OFFSET(Sheet2!T$2,(ROW(S117))*3,0)</f>
        <v>0</v>
      </c>
      <c r="T116">
        <f ca="1">OFFSET(Sheet2!U$2,(ROW(T117))*3,0)</f>
        <v>0</v>
      </c>
      <c r="U116">
        <f ca="1">OFFSET(Sheet2!V$2,(ROW(U117))*3,0)</f>
        <v>0</v>
      </c>
    </row>
    <row r="117" spans="1:21" x14ac:dyDescent="0.35">
      <c r="A117" s="11">
        <f ca="1">OFFSET(Sheet2!B$2,(ROW(A118))*3,0)</f>
        <v>43899</v>
      </c>
      <c r="B117" s="11">
        <f ca="1">OFFSET(Sheet2!A$2,(ROW(A118))*3,0)</f>
        <v>43899</v>
      </c>
      <c r="C117">
        <f ca="1">OFFSET(Sheet2!C$2,(ROW(C118))*3,0)</f>
        <v>20</v>
      </c>
      <c r="D117" t="str">
        <f ca="1">OFFSET(Sheet2!D$2,(ROW(D118))*3,0)</f>
        <v>South</v>
      </c>
      <c r="E117" t="str">
        <f ca="1">OFFSET(Sheet2!F$2,(ROW(E118))*3,0)</f>
        <v>MUKHWANA MOSES</v>
      </c>
      <c r="F117" t="str">
        <f ca="1">OFFSET(Sheet2!G$2,(ROW(F118))*3,0)</f>
        <v>H2GO</v>
      </c>
      <c r="G117">
        <f ca="1">OFFSET(Sheet2!H$2,(ROW(G118))*3,0)</f>
        <v>0</v>
      </c>
      <c r="H117" t="str">
        <f ca="1">OFFSET(Sheet2!I$2,(ROW(H118))*3,0)</f>
        <v>WEEKLY</v>
      </c>
      <c r="I117">
        <f ca="1">OFFSET(Sheet2!J$2,(ROW(I118))*3,0)</f>
        <v>173</v>
      </c>
      <c r="J117" t="str">
        <f ca="1">OFFSET(Sheet2!K$2,(ROW(J118))*3,0)</f>
        <v>Damage Observed</v>
      </c>
      <c r="K117" t="str">
        <f ca="1">OFFSET(Sheet2!L$2,(ROW(K118))*3,0)</f>
        <v>Dirty</v>
      </c>
      <c r="L117" t="str">
        <f ca="1">OFFSET(Sheet2!M$2,(ROW(L118))*3,0)</f>
        <v>Okay</v>
      </c>
      <c r="M117" t="str">
        <f ca="1">OFFSET(Sheet2!N$2,(ROW(M118))*3,0)</f>
        <v>Good</v>
      </c>
      <c r="N117" t="str">
        <f ca="1">OFFSET(Sheet2!O$2,(ROW(N118))*3,0)</f>
        <v>Okay</v>
      </c>
      <c r="O117" t="str">
        <f ca="1">OFFSET(Sheet2!P$2,(ROW(O118))*3,0)</f>
        <v>Good</v>
      </c>
      <c r="P117" t="str">
        <f ca="1">OFFSET(Sheet2!Q$2,(ROW(P118))*3,0)</f>
        <v>In good Condition</v>
      </c>
      <c r="Q117">
        <f ca="1">OFFSET(Sheet2!R$2,(ROW(Q118))*3,0)</f>
        <v>0</v>
      </c>
      <c r="R117">
        <f ca="1">OFFSET(Sheet2!S$2,(ROW(R118))*3,0)</f>
        <v>0</v>
      </c>
      <c r="S117">
        <f ca="1">OFFSET(Sheet2!T$2,(ROW(S118))*3,0)</f>
        <v>0</v>
      </c>
      <c r="T117">
        <f ca="1">OFFSET(Sheet2!U$2,(ROW(T118))*3,0)</f>
        <v>0</v>
      </c>
      <c r="U117">
        <f ca="1">OFFSET(Sheet2!V$2,(ROW(U118))*3,0)</f>
        <v>0</v>
      </c>
    </row>
    <row r="118" spans="1:21" x14ac:dyDescent="0.35">
      <c r="A118" s="11">
        <f ca="1">OFFSET(Sheet2!B$2,(ROW(A119))*3,0)</f>
        <v>43841</v>
      </c>
      <c r="B118" s="11">
        <f ca="1">OFFSET(Sheet2!A$2,(ROW(A119))*3,0)</f>
        <v>43841</v>
      </c>
      <c r="C118">
        <f ca="1">OFFSET(Sheet2!C$2,(ROW(C119))*3,0)</f>
        <v>21</v>
      </c>
      <c r="D118" t="str">
        <f ca="1">OFFSET(Sheet2!D$2,(ROW(D119))*3,0)</f>
        <v>South</v>
      </c>
      <c r="E118" t="str">
        <f ca="1">OFFSET(Sheet2!F$2,(ROW(E119))*3,0)</f>
        <v>WAMBEDE MUSA</v>
      </c>
      <c r="F118" t="str">
        <f ca="1">OFFSET(Sheet2!G$2,(ROW(F119))*3,0)</f>
        <v>H2Go</v>
      </c>
      <c r="G118">
        <f ca="1">OFFSET(Sheet2!H$2,(ROW(G119))*3,0)</f>
        <v>0</v>
      </c>
      <c r="H118" t="str">
        <f ca="1">OFFSET(Sheet2!I$2,(ROW(H119))*3,0)</f>
        <v>Comprehensive</v>
      </c>
      <c r="I118">
        <f ca="1">OFFSET(Sheet2!J$2,(ROW(I119))*3,0)</f>
        <v>91</v>
      </c>
      <c r="J118" t="str">
        <f ca="1">OFFSET(Sheet2!K$2,(ROW(J119))*3,0)</f>
        <v>Damage Observed</v>
      </c>
      <c r="K118" t="str">
        <f ca="1">OFFSET(Sheet2!L$2,(ROW(K119))*3,0)</f>
        <v>Okay</v>
      </c>
      <c r="L118" t="str">
        <f ca="1">OFFSET(Sheet2!M$2,(ROW(L119))*3,0)</f>
        <v>PERFECT</v>
      </c>
      <c r="M118" t="str">
        <f ca="1">OFFSET(Sheet2!N$2,(ROW(M119))*3,0)</f>
        <v>GOOD</v>
      </c>
      <c r="N118" t="str">
        <f ca="1">OFFSET(Sheet2!O$2,(ROW(N119))*3,0)</f>
        <v>NOT BAD</v>
      </c>
      <c r="O118" t="str">
        <f ca="1">OFFSET(Sheet2!P$2,(ROW(O119))*3,0)</f>
        <v>IN A GOOD CONDITION</v>
      </c>
      <c r="P118" t="str">
        <f ca="1">OFFSET(Sheet2!Q$2,(ROW(P119))*3,0)</f>
        <v>GOOD</v>
      </c>
      <c r="Q118" t="str">
        <f ca="1">OFFSET(Sheet2!R$2,(ROW(Q119))*3,0)</f>
        <v>PERFECT</v>
      </c>
      <c r="R118" t="str">
        <f ca="1">OFFSET(Sheet2!S$2,(ROW(R119))*3,0)</f>
        <v>WELL MAINTAINED</v>
      </c>
      <c r="S118" t="str">
        <f ca="1">OFFSET(Sheet2!T$2,(ROW(S119))*3,0)</f>
        <v>GOOD</v>
      </c>
      <c r="T118">
        <f ca="1">OFFSET(Sheet2!U$2,(ROW(T119))*3,0)</f>
        <v>0</v>
      </c>
      <c r="U118">
        <f ca="1">OFFSET(Sheet2!V$2,(ROW(U119))*3,0)</f>
        <v>0</v>
      </c>
    </row>
    <row r="119" spans="1:21" x14ac:dyDescent="0.35">
      <c r="A119" s="11">
        <f ca="1">OFFSET(Sheet2!B$2,(ROW(A120))*3,0)</f>
        <v>43848</v>
      </c>
      <c r="B119" s="11">
        <f ca="1">OFFSET(Sheet2!A$2,(ROW(A120))*3,0)</f>
        <v>43848</v>
      </c>
      <c r="C119">
        <f ca="1">OFFSET(Sheet2!C$2,(ROW(C120))*3,0)</f>
        <v>21</v>
      </c>
      <c r="D119" t="str">
        <f ca="1">OFFSET(Sheet2!D$2,(ROW(D120))*3,0)</f>
        <v>South</v>
      </c>
      <c r="E119" t="str">
        <f ca="1">OFFSET(Sheet2!F$2,(ROW(E120))*3,0)</f>
        <v>WAMBEDE MUSA</v>
      </c>
      <c r="F119" t="str">
        <f ca="1">OFFSET(Sheet2!G$2,(ROW(F120))*3,0)</f>
        <v>H2Go</v>
      </c>
      <c r="G119">
        <f ca="1">OFFSET(Sheet2!H$2,(ROW(G120))*3,0)</f>
        <v>0</v>
      </c>
      <c r="H119" t="str">
        <f ca="1">OFFSET(Sheet2!I$2,(ROW(H120))*3,0)</f>
        <v>WEEKLY</v>
      </c>
      <c r="I119">
        <f ca="1">OFFSET(Sheet2!J$2,(ROW(I120))*3,0)</f>
        <v>99</v>
      </c>
      <c r="J119" t="str">
        <f ca="1">OFFSET(Sheet2!K$2,(ROW(J120))*3,0)</f>
        <v>Damage Observed</v>
      </c>
      <c r="K119" t="str">
        <f ca="1">OFFSET(Sheet2!L$2,(ROW(K120))*3,0)</f>
        <v>Good</v>
      </c>
      <c r="L119" t="str">
        <f ca="1">OFFSET(Sheet2!M$2,(ROW(L120))*3,0)</f>
        <v xml:space="preserve">ITS GOOD </v>
      </c>
      <c r="M119" t="str">
        <f ca="1">OFFSET(Sheet2!N$2,(ROW(M120))*3,0)</f>
        <v>NEEDS TIMING OF TAPPETS</v>
      </c>
      <c r="N119" t="str">
        <f ca="1">OFFSET(Sheet2!O$2,(ROW(N120))*3,0)</f>
        <v>GOOD</v>
      </c>
      <c r="O119" t="str">
        <f ca="1">OFFSET(Sheet2!P$2,(ROW(O120))*3,0)</f>
        <v>WORN OUT</v>
      </c>
      <c r="P119" t="str">
        <f ca="1">OFFSET(Sheet2!Q$2,(ROW(P120))*3,0)</f>
        <v>NOT BAD</v>
      </c>
      <c r="Q119">
        <f ca="1">OFFSET(Sheet2!R$2,(ROW(Q120))*3,0)</f>
        <v>0</v>
      </c>
      <c r="R119">
        <f ca="1">OFFSET(Sheet2!S$2,(ROW(R120))*3,0)</f>
        <v>0</v>
      </c>
      <c r="S119">
        <f ca="1">OFFSET(Sheet2!T$2,(ROW(S120))*3,0)</f>
        <v>0</v>
      </c>
      <c r="T119">
        <f ca="1">OFFSET(Sheet2!U$2,(ROW(T120))*3,0)</f>
        <v>0</v>
      </c>
      <c r="U119">
        <f ca="1">OFFSET(Sheet2!V$2,(ROW(U120))*3,0)</f>
        <v>0</v>
      </c>
    </row>
    <row r="120" spans="1:21" x14ac:dyDescent="0.35">
      <c r="A120" s="11">
        <f ca="1">OFFSET(Sheet2!B$2,(ROW(A121))*3,0)</f>
        <v>43855</v>
      </c>
      <c r="B120" s="11">
        <f ca="1">OFFSET(Sheet2!A$2,(ROW(A121))*3,0)</f>
        <v>43855</v>
      </c>
      <c r="C120">
        <f ca="1">OFFSET(Sheet2!C$2,(ROW(C121))*3,0)</f>
        <v>21</v>
      </c>
      <c r="D120" t="str">
        <f ca="1">OFFSET(Sheet2!D$2,(ROW(D121))*3,0)</f>
        <v>South</v>
      </c>
      <c r="E120" t="str">
        <f ca="1">OFFSET(Sheet2!F$2,(ROW(E121))*3,0)</f>
        <v>WAMBEDE MUSA</v>
      </c>
      <c r="F120" t="str">
        <f ca="1">OFFSET(Sheet2!G$2,(ROW(F121))*3,0)</f>
        <v>H2Go</v>
      </c>
      <c r="G120">
        <f ca="1">OFFSET(Sheet2!H$2,(ROW(G121))*3,0)</f>
        <v>0</v>
      </c>
      <c r="H120" t="str">
        <f ca="1">OFFSET(Sheet2!I$2,(ROW(H121))*3,0)</f>
        <v>WEEKLY</v>
      </c>
      <c r="I120">
        <f ca="1">OFFSET(Sheet2!J$2,(ROW(I121))*3,0)</f>
        <v>31</v>
      </c>
      <c r="J120" t="str">
        <f ca="1">OFFSET(Sheet2!K$2,(ROW(J121))*3,0)</f>
        <v>Damage Observed</v>
      </c>
      <c r="K120" t="str">
        <f ca="1">OFFSET(Sheet2!L$2,(ROW(K121))*3,0)</f>
        <v>Okay</v>
      </c>
      <c r="L120" t="str">
        <f ca="1">OFFSET(Sheet2!M$2,(ROW(L121))*3,0)</f>
        <v>SERVICED</v>
      </c>
      <c r="M120" t="str">
        <f ca="1">OFFSET(Sheet2!N$2,(ROW(M121))*3,0)</f>
        <v>SERVICED</v>
      </c>
      <c r="N120" t="str">
        <f ca="1">OFFSET(Sheet2!O$2,(ROW(N121))*3,0)</f>
        <v>GOOD</v>
      </c>
      <c r="O120" t="str">
        <f ca="1">OFFSET(Sheet2!P$2,(ROW(O121))*3,0)</f>
        <v>GOOD</v>
      </c>
      <c r="P120" t="str">
        <f ca="1">OFFSET(Sheet2!Q$2,(ROW(P121))*3,0)</f>
        <v>NUT WORN OUT</v>
      </c>
      <c r="Q120">
        <f ca="1">OFFSET(Sheet2!R$2,(ROW(Q121))*3,0)</f>
        <v>0</v>
      </c>
      <c r="R120">
        <f ca="1">OFFSET(Sheet2!S$2,(ROW(R121))*3,0)</f>
        <v>0</v>
      </c>
      <c r="S120">
        <f ca="1">OFFSET(Sheet2!T$2,(ROW(S121))*3,0)</f>
        <v>0</v>
      </c>
      <c r="T120">
        <f ca="1">OFFSET(Sheet2!U$2,(ROW(T121))*3,0)</f>
        <v>0</v>
      </c>
      <c r="U120">
        <f ca="1">OFFSET(Sheet2!V$2,(ROW(U121))*3,0)</f>
        <v>0</v>
      </c>
    </row>
    <row r="121" spans="1:21" x14ac:dyDescent="0.35">
      <c r="A121" s="11">
        <f ca="1">OFFSET(Sheet2!B$2,(ROW(A122))*3,0)</f>
        <v>43862</v>
      </c>
      <c r="B121" s="11">
        <f ca="1">OFFSET(Sheet2!A$2,(ROW(A122))*3,0)</f>
        <v>43862</v>
      </c>
      <c r="C121">
        <f ca="1">OFFSET(Sheet2!C$2,(ROW(C122))*3,0)</f>
        <v>21</v>
      </c>
      <c r="D121" t="str">
        <f ca="1">OFFSET(Sheet2!D$2,(ROW(D122))*3,0)</f>
        <v>South</v>
      </c>
      <c r="E121" t="str">
        <f ca="1">OFFSET(Sheet2!F$2,(ROW(E122))*3,0)</f>
        <v>WAMBEDE MUSA</v>
      </c>
      <c r="F121" t="str">
        <f ca="1">OFFSET(Sheet2!G$2,(ROW(F122))*3,0)</f>
        <v>H2Go</v>
      </c>
      <c r="G121">
        <f ca="1">OFFSET(Sheet2!H$2,(ROW(G122))*3,0)</f>
        <v>0</v>
      </c>
      <c r="H121" t="str">
        <f ca="1">OFFSET(Sheet2!I$2,(ROW(H122))*3,0)</f>
        <v>WEEKLY</v>
      </c>
      <c r="I121">
        <f ca="1">OFFSET(Sheet2!J$2,(ROW(I122))*3,0)</f>
        <v>81</v>
      </c>
      <c r="J121" t="str">
        <f ca="1">OFFSET(Sheet2!K$2,(ROW(J122))*3,0)</f>
        <v>Damage Observed</v>
      </c>
      <c r="K121" t="str">
        <f ca="1">OFFSET(Sheet2!L$2,(ROW(K122))*3,0)</f>
        <v>Okay</v>
      </c>
      <c r="L121" t="str">
        <f ca="1">OFFSET(Sheet2!M$2,(ROW(L122))*3,0)</f>
        <v>GOOD</v>
      </c>
      <c r="M121" t="str">
        <f ca="1">OFFSET(Sheet2!N$2,(ROW(M122))*3,0)</f>
        <v>GOOD</v>
      </c>
      <c r="N121" t="str">
        <f ca="1">OFFSET(Sheet2!O$2,(ROW(N122))*3,0)</f>
        <v>GOOD</v>
      </c>
      <c r="O121" t="str">
        <f ca="1">OFFSET(Sheet2!P$2,(ROW(O122))*3,0)</f>
        <v>GOOD</v>
      </c>
      <c r="P121" t="str">
        <f ca="1">OFFSET(Sheet2!Q$2,(ROW(P122))*3,0)</f>
        <v>NUT WORN OUT</v>
      </c>
      <c r="Q121">
        <f ca="1">OFFSET(Sheet2!R$2,(ROW(Q122))*3,0)</f>
        <v>0</v>
      </c>
      <c r="R121">
        <f ca="1">OFFSET(Sheet2!S$2,(ROW(R122))*3,0)</f>
        <v>0</v>
      </c>
      <c r="S121">
        <f ca="1">OFFSET(Sheet2!T$2,(ROW(S122))*3,0)</f>
        <v>0</v>
      </c>
      <c r="T121">
        <f ca="1">OFFSET(Sheet2!U$2,(ROW(T122))*3,0)</f>
        <v>0</v>
      </c>
      <c r="U121">
        <f ca="1">OFFSET(Sheet2!V$2,(ROW(U122))*3,0)</f>
        <v>0</v>
      </c>
    </row>
    <row r="122" spans="1:21" x14ac:dyDescent="0.35">
      <c r="A122" s="11">
        <f ca="1">OFFSET(Sheet2!B$2,(ROW(A123))*3,0)</f>
        <v>43869</v>
      </c>
      <c r="B122" s="11">
        <f ca="1">OFFSET(Sheet2!A$2,(ROW(A123))*3,0)</f>
        <v>43869</v>
      </c>
      <c r="C122">
        <f ca="1">OFFSET(Sheet2!C$2,(ROW(C123))*3,0)</f>
        <v>21</v>
      </c>
      <c r="D122" t="str">
        <f ca="1">OFFSET(Sheet2!D$2,(ROW(D123))*3,0)</f>
        <v>South</v>
      </c>
      <c r="E122" t="str">
        <f ca="1">OFFSET(Sheet2!F$2,(ROW(E123))*3,0)</f>
        <v>WAMBEDE MUSA</v>
      </c>
      <c r="F122" t="str">
        <f ca="1">OFFSET(Sheet2!G$2,(ROW(F123))*3,0)</f>
        <v>H2Go</v>
      </c>
      <c r="G122">
        <f ca="1">OFFSET(Sheet2!H$2,(ROW(G123))*3,0)</f>
        <v>0</v>
      </c>
      <c r="H122" t="str">
        <f ca="1">OFFSET(Sheet2!I$2,(ROW(H123))*3,0)</f>
        <v>WEEKLY</v>
      </c>
      <c r="I122">
        <f ca="1">OFFSET(Sheet2!J$2,(ROW(I123))*3,0)</f>
        <v>199</v>
      </c>
      <c r="J122" t="str">
        <f ca="1">OFFSET(Sheet2!K$2,(ROW(J123))*3,0)</f>
        <v>Damage Observed</v>
      </c>
      <c r="K122" t="str">
        <f ca="1">OFFSET(Sheet2!L$2,(ROW(K123))*3,0)</f>
        <v>NOT BAD THOUGH USED UP</v>
      </c>
      <c r="L122" t="str">
        <f ca="1">OFFSET(Sheet2!M$2,(ROW(L123))*3,0)</f>
        <v>GOOD</v>
      </c>
      <c r="M122" t="str">
        <f ca="1">OFFSET(Sheet2!N$2,(ROW(M123))*3,0)</f>
        <v>GOOD</v>
      </c>
      <c r="N122" t="str">
        <f ca="1">OFFSET(Sheet2!O$2,(ROW(N123))*3,0)</f>
        <v>GOOD</v>
      </c>
      <c r="O122" t="str">
        <f ca="1">OFFSET(Sheet2!P$2,(ROW(O123))*3,0)</f>
        <v>Clean(no soot)</v>
      </c>
      <c r="P122" t="str">
        <f ca="1">OFFSET(Sheet2!Q$2,(ROW(P123))*3,0)</f>
        <v>GOOD</v>
      </c>
      <c r="Q122">
        <f ca="1">OFFSET(Sheet2!R$2,(ROW(Q123))*3,0)</f>
        <v>0</v>
      </c>
      <c r="R122">
        <f ca="1">OFFSET(Sheet2!S$2,(ROW(R123))*3,0)</f>
        <v>0</v>
      </c>
      <c r="S122">
        <f ca="1">OFFSET(Sheet2!T$2,(ROW(S123))*3,0)</f>
        <v>0</v>
      </c>
      <c r="T122">
        <f ca="1">OFFSET(Sheet2!U$2,(ROW(T123))*3,0)</f>
        <v>0</v>
      </c>
      <c r="U122">
        <f ca="1">OFFSET(Sheet2!V$2,(ROW(U123))*3,0)</f>
        <v>0</v>
      </c>
    </row>
    <row r="123" spans="1:21" x14ac:dyDescent="0.35">
      <c r="A123" s="11">
        <f ca="1">OFFSET(Sheet2!B$2,(ROW(A124))*3,0)</f>
        <v>43876</v>
      </c>
      <c r="B123" s="11">
        <f ca="1">OFFSET(Sheet2!A$2,(ROW(A124))*3,0)</f>
        <v>43876</v>
      </c>
      <c r="C123">
        <f ca="1">OFFSET(Sheet2!C$2,(ROW(C124))*3,0)</f>
        <v>21</v>
      </c>
      <c r="D123" t="str">
        <f ca="1">OFFSET(Sheet2!D$2,(ROW(D124))*3,0)</f>
        <v>South</v>
      </c>
      <c r="E123" t="str">
        <f ca="1">OFFSET(Sheet2!F$2,(ROW(E124))*3,0)</f>
        <v>WAMBEDE MUSA</v>
      </c>
      <c r="F123" t="str">
        <f ca="1">OFFSET(Sheet2!G$2,(ROW(F124))*3,0)</f>
        <v>H2Go</v>
      </c>
      <c r="G123">
        <f ca="1">OFFSET(Sheet2!H$2,(ROW(G124))*3,0)</f>
        <v>0</v>
      </c>
      <c r="H123" t="str">
        <f ca="1">OFFSET(Sheet2!I$2,(ROW(H124))*3,0)</f>
        <v>WEEKLY</v>
      </c>
      <c r="I123">
        <f ca="1">OFFSET(Sheet2!J$2,(ROW(I124))*3,0)</f>
        <v>129</v>
      </c>
      <c r="J123" t="str">
        <f ca="1">OFFSET(Sheet2!K$2,(ROW(J124))*3,0)</f>
        <v>Damage Observed</v>
      </c>
      <c r="K123" t="str">
        <f ca="1">OFFSET(Sheet2!L$2,(ROW(K124))*3,0)</f>
        <v>NOT BAD THOUGH USED UP</v>
      </c>
      <c r="L123" t="str">
        <f ca="1">OFFSET(Sheet2!M$2,(ROW(L124))*3,0)</f>
        <v>GOOD</v>
      </c>
      <c r="M123" t="str">
        <f ca="1">OFFSET(Sheet2!N$2,(ROW(M124))*3,0)</f>
        <v>GOOD</v>
      </c>
      <c r="N123" t="str">
        <f ca="1">OFFSET(Sheet2!O$2,(ROW(N124))*3,0)</f>
        <v>CLEAN</v>
      </c>
      <c r="O123" t="str">
        <f ca="1">OFFSET(Sheet2!P$2,(ROW(O124))*3,0)</f>
        <v>Clean(no soot)</v>
      </c>
      <c r="P123" t="str">
        <f ca="1">OFFSET(Sheet2!Q$2,(ROW(P124))*3,0)</f>
        <v>GOOD</v>
      </c>
      <c r="Q123">
        <f ca="1">OFFSET(Sheet2!R$2,(ROW(Q124))*3,0)</f>
        <v>0</v>
      </c>
      <c r="R123">
        <f ca="1">OFFSET(Sheet2!S$2,(ROW(R124))*3,0)</f>
        <v>0</v>
      </c>
      <c r="S123">
        <f ca="1">OFFSET(Sheet2!T$2,(ROW(S124))*3,0)</f>
        <v>0</v>
      </c>
      <c r="T123">
        <f ca="1">OFFSET(Sheet2!U$2,(ROW(T124))*3,0)</f>
        <v>0</v>
      </c>
      <c r="U123">
        <f ca="1">OFFSET(Sheet2!V$2,(ROW(U124))*3,0)</f>
        <v>0</v>
      </c>
    </row>
    <row r="124" spans="1:21" x14ac:dyDescent="0.35">
      <c r="A124" s="11">
        <f ca="1">OFFSET(Sheet2!B$2,(ROW(A125))*3,0)</f>
        <v>43885</v>
      </c>
      <c r="B124" s="11">
        <f ca="1">OFFSET(Sheet2!A$2,(ROW(A125))*3,0)</f>
        <v>43885</v>
      </c>
      <c r="C124">
        <f ca="1">OFFSET(Sheet2!C$2,(ROW(C125))*3,0)</f>
        <v>21</v>
      </c>
      <c r="D124" t="str">
        <f ca="1">OFFSET(Sheet2!D$2,(ROW(D125))*3,0)</f>
        <v>South</v>
      </c>
      <c r="E124" t="str">
        <f ca="1">OFFSET(Sheet2!F$2,(ROW(E125))*3,0)</f>
        <v>WAMBEDE MUSA</v>
      </c>
      <c r="F124" t="str">
        <f ca="1">OFFSET(Sheet2!G$2,(ROW(F125))*3,0)</f>
        <v>H2Go</v>
      </c>
      <c r="G124">
        <f ca="1">OFFSET(Sheet2!H$2,(ROW(G125))*3,0)</f>
        <v>0</v>
      </c>
      <c r="H124" t="str">
        <f ca="1">OFFSET(Sheet2!I$2,(ROW(H125))*3,0)</f>
        <v>WEEKLY</v>
      </c>
      <c r="I124">
        <f ca="1">OFFSET(Sheet2!J$2,(ROW(I125))*3,0)</f>
        <v>115</v>
      </c>
      <c r="J124" t="str">
        <f ca="1">OFFSET(Sheet2!K$2,(ROW(J125))*3,0)</f>
        <v>Damage Observed</v>
      </c>
      <c r="K124" t="str">
        <f ca="1">OFFSET(Sheet2!L$2,(ROW(K125))*3,0)</f>
        <v>Dirty</v>
      </c>
      <c r="L124" t="str">
        <f ca="1">OFFSET(Sheet2!M$2,(ROW(L125))*3,0)</f>
        <v>Okay</v>
      </c>
      <c r="M124" t="str">
        <f ca="1">OFFSET(Sheet2!N$2,(ROW(M125))*3,0)</f>
        <v>Misaligned</v>
      </c>
      <c r="N124" t="str">
        <f ca="1">OFFSET(Sheet2!O$2,(ROW(N125))*3,0)</f>
        <v>Okay</v>
      </c>
      <c r="O124" t="str">
        <f ca="1">OFFSET(Sheet2!P$2,(ROW(O125))*3,0)</f>
        <v>Good</v>
      </c>
      <c r="P124" t="str">
        <f ca="1">OFFSET(Sheet2!Q$2,(ROW(P125))*3,0)</f>
        <v>Nut and washer showing wear</v>
      </c>
      <c r="Q124">
        <f ca="1">OFFSET(Sheet2!R$2,(ROW(Q125))*3,0)</f>
        <v>0</v>
      </c>
      <c r="R124">
        <f ca="1">OFFSET(Sheet2!S$2,(ROW(R125))*3,0)</f>
        <v>0</v>
      </c>
      <c r="S124">
        <f ca="1">OFFSET(Sheet2!T$2,(ROW(S125))*3,0)</f>
        <v>0</v>
      </c>
      <c r="T124">
        <f ca="1">OFFSET(Sheet2!U$2,(ROW(T125))*3,0)</f>
        <v>0</v>
      </c>
      <c r="U124">
        <f ca="1">OFFSET(Sheet2!V$2,(ROW(U125))*3,0)</f>
        <v>0</v>
      </c>
    </row>
    <row r="125" spans="1:21" x14ac:dyDescent="0.35">
      <c r="A125" s="11">
        <f ca="1">OFFSET(Sheet2!B$2,(ROW(A126))*3,0)</f>
        <v>43892</v>
      </c>
      <c r="B125" s="11">
        <f ca="1">OFFSET(Sheet2!A$2,(ROW(A126))*3,0)</f>
        <v>43892</v>
      </c>
      <c r="C125">
        <f ca="1">OFFSET(Sheet2!C$2,(ROW(C126))*3,0)</f>
        <v>21</v>
      </c>
      <c r="D125" t="str">
        <f ca="1">OFFSET(Sheet2!D$2,(ROW(D126))*3,0)</f>
        <v>South</v>
      </c>
      <c r="E125" t="str">
        <f ca="1">OFFSET(Sheet2!F$2,(ROW(E126))*3,0)</f>
        <v>WAMBEDE MUSA</v>
      </c>
      <c r="F125" t="str">
        <f ca="1">OFFSET(Sheet2!G$2,(ROW(F126))*3,0)</f>
        <v>H2GO</v>
      </c>
      <c r="G125">
        <f ca="1">OFFSET(Sheet2!H$2,(ROW(G126))*3,0)</f>
        <v>0</v>
      </c>
      <c r="H125" t="str">
        <f ca="1">OFFSET(Sheet2!I$2,(ROW(H126))*3,0)</f>
        <v>WEEKLY</v>
      </c>
      <c r="I125">
        <f ca="1">OFFSET(Sheet2!J$2,(ROW(I126))*3,0)</f>
        <v>103</v>
      </c>
      <c r="J125" t="str">
        <f ca="1">OFFSET(Sheet2!K$2,(ROW(J126))*3,0)</f>
        <v>Damage Observed</v>
      </c>
      <c r="K125" t="str">
        <f ca="1">OFFSET(Sheet2!L$2,(ROW(K126))*3,0)</f>
        <v>Okay</v>
      </c>
      <c r="L125" t="str">
        <f ca="1">OFFSET(Sheet2!M$2,(ROW(L126))*3,0)</f>
        <v>Very Dirty</v>
      </c>
      <c r="M125" t="str">
        <f ca="1">OFFSET(Sheet2!N$2,(ROW(M126))*3,0)</f>
        <v>Loose</v>
      </c>
      <c r="N125" t="str">
        <f ca="1">OFFSET(Sheet2!O$2,(ROW(N126))*3,0)</f>
        <v>Clean</v>
      </c>
      <c r="O125" t="str">
        <f ca="1">OFFSET(Sheet2!P$2,(ROW(O126))*3,0)</f>
        <v>Good</v>
      </c>
      <c r="P125" t="str">
        <f ca="1">OFFSET(Sheet2!Q$2,(ROW(P126))*3,0)</f>
        <v>Nut and washer showing wear</v>
      </c>
      <c r="Q125">
        <f ca="1">OFFSET(Sheet2!R$2,(ROW(Q126))*3,0)</f>
        <v>0</v>
      </c>
      <c r="R125">
        <f ca="1">OFFSET(Sheet2!S$2,(ROW(R126))*3,0)</f>
        <v>0</v>
      </c>
      <c r="S125">
        <f ca="1">OFFSET(Sheet2!T$2,(ROW(S126))*3,0)</f>
        <v>0</v>
      </c>
      <c r="T125">
        <f ca="1">OFFSET(Sheet2!U$2,(ROW(T126))*3,0)</f>
        <v>0</v>
      </c>
      <c r="U125">
        <f ca="1">OFFSET(Sheet2!V$2,(ROW(U126))*3,0)</f>
        <v>0</v>
      </c>
    </row>
    <row r="126" spans="1:21" x14ac:dyDescent="0.35">
      <c r="A126" s="11">
        <f ca="1">OFFSET(Sheet2!B$2,(ROW(A127))*3,0)</f>
        <v>43899</v>
      </c>
      <c r="B126" s="11">
        <f ca="1">OFFSET(Sheet2!A$2,(ROW(A127))*3,0)</f>
        <v>43899</v>
      </c>
      <c r="C126">
        <f ca="1">OFFSET(Sheet2!C$2,(ROW(C127))*3,0)</f>
        <v>21</v>
      </c>
      <c r="D126" t="str">
        <f ca="1">OFFSET(Sheet2!D$2,(ROW(D127))*3,0)</f>
        <v>South</v>
      </c>
      <c r="E126" t="str">
        <f ca="1">OFFSET(Sheet2!F$2,(ROW(E127))*3,0)</f>
        <v>WAMBEDE MUSA</v>
      </c>
      <c r="F126" t="str">
        <f ca="1">OFFSET(Sheet2!G$2,(ROW(F127))*3,0)</f>
        <v>H2GO</v>
      </c>
      <c r="G126">
        <f ca="1">OFFSET(Sheet2!H$2,(ROW(G127))*3,0)</f>
        <v>0</v>
      </c>
      <c r="H126" t="str">
        <f ca="1">OFFSET(Sheet2!I$2,(ROW(H127))*3,0)</f>
        <v>WEEKLY</v>
      </c>
      <c r="I126">
        <f ca="1">OFFSET(Sheet2!J$2,(ROW(I127))*3,0)</f>
        <v>172</v>
      </c>
      <c r="J126" t="str">
        <f ca="1">OFFSET(Sheet2!K$2,(ROW(J127))*3,0)</f>
        <v>Damage Observed</v>
      </c>
      <c r="K126" t="str">
        <f ca="1">OFFSET(Sheet2!L$2,(ROW(K127))*3,0)</f>
        <v>Okay</v>
      </c>
      <c r="L126" t="str">
        <f ca="1">OFFSET(Sheet2!M$2,(ROW(L127))*3,0)</f>
        <v>Okay</v>
      </c>
      <c r="M126" t="str">
        <f ca="1">OFFSET(Sheet2!N$2,(ROW(M127))*3,0)</f>
        <v>Good</v>
      </c>
      <c r="N126" t="str">
        <f ca="1">OFFSET(Sheet2!O$2,(ROW(N127))*3,0)</f>
        <v>Dirty</v>
      </c>
      <c r="O126" t="str">
        <f ca="1">OFFSET(Sheet2!P$2,(ROW(O127))*3,0)</f>
        <v>Good</v>
      </c>
      <c r="P126" t="str">
        <f ca="1">OFFSET(Sheet2!Q$2,(ROW(P127))*3,0)</f>
        <v>In good Condition</v>
      </c>
      <c r="Q126">
        <f ca="1">OFFSET(Sheet2!R$2,(ROW(Q127))*3,0)</f>
        <v>0</v>
      </c>
      <c r="R126">
        <f ca="1">OFFSET(Sheet2!S$2,(ROW(R127))*3,0)</f>
        <v>0</v>
      </c>
      <c r="S126">
        <f ca="1">OFFSET(Sheet2!T$2,(ROW(S127))*3,0)</f>
        <v>0</v>
      </c>
      <c r="T126">
        <f ca="1">OFFSET(Sheet2!U$2,(ROW(T127))*3,0)</f>
        <v>0</v>
      </c>
      <c r="U126">
        <f ca="1">OFFSET(Sheet2!V$2,(ROW(U127))*3,0)</f>
        <v>0</v>
      </c>
    </row>
    <row r="127" spans="1:21" x14ac:dyDescent="0.35">
      <c r="A127" s="11">
        <f ca="1">OFFSET(Sheet2!B$2,(ROW(A128))*3,0)</f>
        <v>43841</v>
      </c>
      <c r="B127" s="11">
        <f ca="1">OFFSET(Sheet2!A$2,(ROW(A128))*3,0)</f>
        <v>43841</v>
      </c>
      <c r="C127">
        <f ca="1">OFFSET(Sheet2!C$2,(ROW(C128))*3,0)</f>
        <v>22</v>
      </c>
      <c r="D127" t="str">
        <f ca="1">OFFSET(Sheet2!D$2,(ROW(D128))*3,0)</f>
        <v>South</v>
      </c>
      <c r="E127" t="str">
        <f ca="1">OFFSET(Sheet2!F$2,(ROW(E128))*3,0)</f>
        <v>WANINDA PAUL</v>
      </c>
      <c r="F127" t="str">
        <f ca="1">OFFSET(Sheet2!G$2,(ROW(F128))*3,0)</f>
        <v>H2Go</v>
      </c>
      <c r="G127">
        <f ca="1">OFFSET(Sheet2!H$2,(ROW(G128))*3,0)</f>
        <v>0</v>
      </c>
      <c r="H127" t="str">
        <f ca="1">OFFSET(Sheet2!I$2,(ROW(H128))*3,0)</f>
        <v>Comprehensive</v>
      </c>
      <c r="I127">
        <f ca="1">OFFSET(Sheet2!J$2,(ROW(I128))*3,0)</f>
        <v>94</v>
      </c>
      <c r="J127" t="str">
        <f ca="1">OFFSET(Sheet2!K$2,(ROW(J128))*3,0)</f>
        <v>Damage Observed</v>
      </c>
      <c r="K127" t="str">
        <f ca="1">OFFSET(Sheet2!L$2,(ROW(K128))*3,0)</f>
        <v>Okay</v>
      </c>
      <c r="L127" t="str">
        <f ca="1">OFFSET(Sheet2!M$2,(ROW(L128))*3,0)</f>
        <v>good</v>
      </c>
      <c r="M127" t="str">
        <f ca="1">OFFSET(Sheet2!N$2,(ROW(M128))*3,0)</f>
        <v>MISSED TIMING</v>
      </c>
      <c r="N127" t="str">
        <f ca="1">OFFSET(Sheet2!O$2,(ROW(N128))*3,0)</f>
        <v>STILL GOOD</v>
      </c>
      <c r="O127" t="str">
        <f ca="1">OFFSET(Sheet2!P$2,(ROW(O128))*3,0)</f>
        <v>IN A GOOD CONDITION</v>
      </c>
      <c r="P127" t="str">
        <f ca="1">OFFSET(Sheet2!Q$2,(ROW(P128))*3,0)</f>
        <v>WELL SERVICED</v>
      </c>
      <c r="Q127" t="str">
        <f ca="1">OFFSET(Sheet2!R$2,(ROW(Q128))*3,0)</f>
        <v>FUNCTIONING WELL</v>
      </c>
      <c r="R127" t="str">
        <f ca="1">OFFSET(Sheet2!S$2,(ROW(R128))*3,0)</f>
        <v>NORMAL</v>
      </c>
      <c r="S127" t="str">
        <f ca="1">OFFSET(Sheet2!T$2,(ROW(S128))*3,0)</f>
        <v>NORMAL</v>
      </c>
      <c r="T127">
        <f ca="1">OFFSET(Sheet2!U$2,(ROW(T128))*3,0)</f>
        <v>0</v>
      </c>
      <c r="U127">
        <f ca="1">OFFSET(Sheet2!V$2,(ROW(U128))*3,0)</f>
        <v>0</v>
      </c>
    </row>
    <row r="128" spans="1:21" x14ac:dyDescent="0.35">
      <c r="A128" s="11">
        <f ca="1">OFFSET(Sheet2!B$2,(ROW(A129))*3,0)</f>
        <v>43848</v>
      </c>
      <c r="B128" s="11">
        <f ca="1">OFFSET(Sheet2!A$2,(ROW(A129))*3,0)</f>
        <v>43848</v>
      </c>
      <c r="C128">
        <f ca="1">OFFSET(Sheet2!C$2,(ROW(C129))*3,0)</f>
        <v>22</v>
      </c>
      <c r="D128" t="str">
        <f ca="1">OFFSET(Sheet2!D$2,(ROW(D129))*3,0)</f>
        <v>South</v>
      </c>
      <c r="E128" t="str">
        <f ca="1">OFFSET(Sheet2!F$2,(ROW(E129))*3,0)</f>
        <v>WANINDA PAUL</v>
      </c>
      <c r="F128" t="str">
        <f ca="1">OFFSET(Sheet2!G$2,(ROW(F129))*3,0)</f>
        <v>H2Go</v>
      </c>
      <c r="G128">
        <f ca="1">OFFSET(Sheet2!H$2,(ROW(G129))*3,0)</f>
        <v>0</v>
      </c>
      <c r="H128" t="str">
        <f ca="1">OFFSET(Sheet2!I$2,(ROW(H129))*3,0)</f>
        <v>WEEKLY</v>
      </c>
      <c r="I128">
        <f ca="1">OFFSET(Sheet2!J$2,(ROW(I129))*3,0)</f>
        <v>100</v>
      </c>
      <c r="J128" t="str">
        <f ca="1">OFFSET(Sheet2!K$2,(ROW(J129))*3,0)</f>
        <v>Damage Observed</v>
      </c>
      <c r="K128" t="str">
        <f ca="1">OFFSET(Sheet2!L$2,(ROW(K129))*3,0)</f>
        <v>Okay</v>
      </c>
      <c r="L128" t="str">
        <f ca="1">OFFSET(Sheet2!M$2,(ROW(L129))*3,0)</f>
        <v>VERY BAD</v>
      </c>
      <c r="M128" t="str">
        <f ca="1">OFFSET(Sheet2!N$2,(ROW(M129))*3,0)</f>
        <v>GOOD</v>
      </c>
      <c r="N128" t="str">
        <f ca="1">OFFSET(Sheet2!O$2,(ROW(N129))*3,0)</f>
        <v>GOOD</v>
      </c>
      <c r="O128" t="str">
        <f ca="1">OFFSET(Sheet2!P$2,(ROW(O129))*3,0)</f>
        <v>GOOD</v>
      </c>
      <c r="P128" t="str">
        <f ca="1">OFFSET(Sheet2!Q$2,(ROW(P129))*3,0)</f>
        <v>SERVICED VERY WELL</v>
      </c>
      <c r="Q128">
        <f ca="1">OFFSET(Sheet2!R$2,(ROW(Q129))*3,0)</f>
        <v>0</v>
      </c>
      <c r="R128">
        <f ca="1">OFFSET(Sheet2!S$2,(ROW(R129))*3,0)</f>
        <v>0</v>
      </c>
      <c r="S128">
        <f ca="1">OFFSET(Sheet2!T$2,(ROW(S129))*3,0)</f>
        <v>0</v>
      </c>
      <c r="T128">
        <f ca="1">OFFSET(Sheet2!U$2,(ROW(T129))*3,0)</f>
        <v>0</v>
      </c>
      <c r="U128">
        <f ca="1">OFFSET(Sheet2!V$2,(ROW(U129))*3,0)</f>
        <v>0</v>
      </c>
    </row>
    <row r="129" spans="1:21" x14ac:dyDescent="0.35">
      <c r="A129" s="11">
        <f ca="1">OFFSET(Sheet2!B$2,(ROW(A130))*3,0)</f>
        <v>43855</v>
      </c>
      <c r="B129" s="11">
        <f ca="1">OFFSET(Sheet2!A$2,(ROW(A130))*3,0)</f>
        <v>43855</v>
      </c>
      <c r="C129">
        <f ca="1">OFFSET(Sheet2!C$2,(ROW(C130))*3,0)</f>
        <v>22</v>
      </c>
      <c r="D129" t="str">
        <f ca="1">OFFSET(Sheet2!D$2,(ROW(D130))*3,0)</f>
        <v>South</v>
      </c>
      <c r="E129" t="str">
        <f ca="1">OFFSET(Sheet2!F$2,(ROW(E130))*3,0)</f>
        <v>WANINDA PAUL</v>
      </c>
      <c r="F129" t="str">
        <f ca="1">OFFSET(Sheet2!G$2,(ROW(F130))*3,0)</f>
        <v>H2Go</v>
      </c>
      <c r="G129">
        <f ca="1">OFFSET(Sheet2!H$2,(ROW(G130))*3,0)</f>
        <v>0</v>
      </c>
      <c r="H129" t="str">
        <f ca="1">OFFSET(Sheet2!I$2,(ROW(H130))*3,0)</f>
        <v>WEEKLY</v>
      </c>
      <c r="I129">
        <f ca="1">OFFSET(Sheet2!J$2,(ROW(I130))*3,0)</f>
        <v>66</v>
      </c>
      <c r="J129" t="str">
        <f ca="1">OFFSET(Sheet2!K$2,(ROW(J130))*3,0)</f>
        <v>Damage Observed</v>
      </c>
      <c r="K129" t="str">
        <f ca="1">OFFSET(Sheet2!L$2,(ROW(K130))*3,0)</f>
        <v>Okay</v>
      </c>
      <c r="L129" t="str">
        <f ca="1">OFFSET(Sheet2!M$2,(ROW(L130))*3,0)</f>
        <v>SERVICED</v>
      </c>
      <c r="M129" t="str">
        <f ca="1">OFFSET(Sheet2!N$2,(ROW(M130))*3,0)</f>
        <v>GOOD</v>
      </c>
      <c r="N129" t="str">
        <f ca="1">OFFSET(Sheet2!O$2,(ROW(N130))*3,0)</f>
        <v>GOOD</v>
      </c>
      <c r="O129" t="str">
        <f ca="1">OFFSET(Sheet2!P$2,(ROW(O130))*3,0)</f>
        <v>GOOD</v>
      </c>
      <c r="P129" t="str">
        <f ca="1">OFFSET(Sheet2!Q$2,(ROW(P130))*3,0)</f>
        <v>NUT WORN OUT</v>
      </c>
      <c r="Q129">
        <f ca="1">OFFSET(Sheet2!R$2,(ROW(Q130))*3,0)</f>
        <v>0</v>
      </c>
      <c r="R129">
        <f ca="1">OFFSET(Sheet2!S$2,(ROW(R130))*3,0)</f>
        <v>0</v>
      </c>
      <c r="S129">
        <f ca="1">OFFSET(Sheet2!T$2,(ROW(S130))*3,0)</f>
        <v>0</v>
      </c>
      <c r="T129">
        <f ca="1">OFFSET(Sheet2!U$2,(ROW(T130))*3,0)</f>
        <v>0</v>
      </c>
      <c r="U129">
        <f ca="1">OFFSET(Sheet2!V$2,(ROW(U130))*3,0)</f>
        <v>0</v>
      </c>
    </row>
    <row r="130" spans="1:21" x14ac:dyDescent="0.35">
      <c r="A130" s="11">
        <f ca="1">OFFSET(Sheet2!B$2,(ROW(A131))*3,0)</f>
        <v>43862</v>
      </c>
      <c r="B130" s="11">
        <f ca="1">OFFSET(Sheet2!A$2,(ROW(A131))*3,0)</f>
        <v>43862</v>
      </c>
      <c r="C130">
        <f ca="1">OFFSET(Sheet2!C$2,(ROW(C131))*3,0)</f>
        <v>22</v>
      </c>
      <c r="D130" t="str">
        <f ca="1">OFFSET(Sheet2!D$2,(ROW(D131))*3,0)</f>
        <v>South</v>
      </c>
      <c r="E130" t="str">
        <f ca="1">OFFSET(Sheet2!F$2,(ROW(E131))*3,0)</f>
        <v>WANINDA PAUL</v>
      </c>
      <c r="F130" t="str">
        <f ca="1">OFFSET(Sheet2!G$2,(ROW(F131))*3,0)</f>
        <v>H2Go</v>
      </c>
      <c r="G130">
        <f ca="1">OFFSET(Sheet2!H$2,(ROW(G131))*3,0)</f>
        <v>0</v>
      </c>
      <c r="H130" t="str">
        <f ca="1">OFFSET(Sheet2!I$2,(ROW(H131))*3,0)</f>
        <v>WEEKLY</v>
      </c>
      <c r="I130">
        <f ca="1">OFFSET(Sheet2!J$2,(ROW(I131))*3,0)</f>
        <v>87</v>
      </c>
      <c r="J130" t="str">
        <f ca="1">OFFSET(Sheet2!K$2,(ROW(J131))*3,0)</f>
        <v>Damage Observed</v>
      </c>
      <c r="K130" t="str">
        <f ca="1">OFFSET(Sheet2!L$2,(ROW(K131))*3,0)</f>
        <v>Okay</v>
      </c>
      <c r="L130" t="str">
        <f ca="1">OFFSET(Sheet2!M$2,(ROW(L131))*3,0)</f>
        <v>GOOD</v>
      </c>
      <c r="M130" t="str">
        <f ca="1">OFFSET(Sheet2!N$2,(ROW(M131))*3,0)</f>
        <v>GOOD</v>
      </c>
      <c r="N130" t="str">
        <f ca="1">OFFSET(Sheet2!O$2,(ROW(N131))*3,0)</f>
        <v>GOOD</v>
      </c>
      <c r="O130" t="str">
        <f ca="1">OFFSET(Sheet2!P$2,(ROW(O131))*3,0)</f>
        <v>GOOD</v>
      </c>
      <c r="P130" t="str">
        <f ca="1">OFFSET(Sheet2!Q$2,(ROW(P131))*3,0)</f>
        <v>WASHER AND NUT NEED REPLACEMENT(WORN OUT)</v>
      </c>
      <c r="Q130">
        <f ca="1">OFFSET(Sheet2!R$2,(ROW(Q131))*3,0)</f>
        <v>0</v>
      </c>
      <c r="R130">
        <f ca="1">OFFSET(Sheet2!S$2,(ROW(R131))*3,0)</f>
        <v>0</v>
      </c>
      <c r="S130">
        <f ca="1">OFFSET(Sheet2!T$2,(ROW(S131))*3,0)</f>
        <v>0</v>
      </c>
      <c r="T130">
        <f ca="1">OFFSET(Sheet2!U$2,(ROW(T131))*3,0)</f>
        <v>0</v>
      </c>
      <c r="U130">
        <f ca="1">OFFSET(Sheet2!V$2,(ROW(U131))*3,0)</f>
        <v>0</v>
      </c>
    </row>
    <row r="131" spans="1:21" x14ac:dyDescent="0.35">
      <c r="A131" s="11">
        <f ca="1">OFFSET(Sheet2!B$2,(ROW(A132))*3,0)</f>
        <v>43869</v>
      </c>
      <c r="B131" s="11">
        <f ca="1">OFFSET(Sheet2!A$2,(ROW(A132))*3,0)</f>
        <v>43869</v>
      </c>
      <c r="C131">
        <f ca="1">OFFSET(Sheet2!C$2,(ROW(C132))*3,0)</f>
        <v>22</v>
      </c>
      <c r="D131" t="str">
        <f ca="1">OFFSET(Sheet2!D$2,(ROW(D132))*3,0)</f>
        <v>South</v>
      </c>
      <c r="E131" t="str">
        <f ca="1">OFFSET(Sheet2!F$2,(ROW(E132))*3,0)</f>
        <v>WANINDA PAUL</v>
      </c>
      <c r="F131" t="str">
        <f ca="1">OFFSET(Sheet2!G$2,(ROW(F132))*3,0)</f>
        <v>H2Go</v>
      </c>
      <c r="G131">
        <f ca="1">OFFSET(Sheet2!H$2,(ROW(G132))*3,0)</f>
        <v>0</v>
      </c>
      <c r="H131" t="str">
        <f ca="1">OFFSET(Sheet2!I$2,(ROW(H132))*3,0)</f>
        <v>WEEKLY</v>
      </c>
      <c r="I131">
        <f ca="1">OFFSET(Sheet2!J$2,(ROW(I132))*3,0)</f>
        <v>195</v>
      </c>
      <c r="J131" t="str">
        <f ca="1">OFFSET(Sheet2!K$2,(ROW(J132))*3,0)</f>
        <v>Damage Observed</v>
      </c>
      <c r="K131" t="str">
        <f ca="1">OFFSET(Sheet2!L$2,(ROW(K132))*3,0)</f>
        <v>NOT BAD THOUGH USED UP</v>
      </c>
      <c r="L131" t="str">
        <f ca="1">OFFSET(Sheet2!M$2,(ROW(L132))*3,0)</f>
        <v>GOOD</v>
      </c>
      <c r="M131" t="str">
        <f ca="1">OFFSET(Sheet2!N$2,(ROW(M132))*3,0)</f>
        <v>GOOD</v>
      </c>
      <c r="N131" t="str">
        <f ca="1">OFFSET(Sheet2!O$2,(ROW(N132))*3,0)</f>
        <v>GOOD</v>
      </c>
      <c r="O131" t="str">
        <f ca="1">OFFSET(Sheet2!P$2,(ROW(O132))*3,0)</f>
        <v>Clean(no soot)</v>
      </c>
      <c r="P131" t="str">
        <f ca="1">OFFSET(Sheet2!Q$2,(ROW(P132))*3,0)</f>
        <v>well serviced</v>
      </c>
      <c r="Q131">
        <f ca="1">OFFSET(Sheet2!R$2,(ROW(Q132))*3,0)</f>
        <v>0</v>
      </c>
      <c r="R131">
        <f ca="1">OFFSET(Sheet2!S$2,(ROW(R132))*3,0)</f>
        <v>0</v>
      </c>
      <c r="S131">
        <f ca="1">OFFSET(Sheet2!T$2,(ROW(S132))*3,0)</f>
        <v>0</v>
      </c>
      <c r="T131">
        <f ca="1">OFFSET(Sheet2!U$2,(ROW(T132))*3,0)</f>
        <v>0</v>
      </c>
      <c r="U131">
        <f ca="1">OFFSET(Sheet2!V$2,(ROW(U132))*3,0)</f>
        <v>0</v>
      </c>
    </row>
    <row r="132" spans="1:21" x14ac:dyDescent="0.35">
      <c r="A132" s="11">
        <f ca="1">OFFSET(Sheet2!B$2,(ROW(A133))*3,0)</f>
        <v>43876</v>
      </c>
      <c r="B132" s="11">
        <f ca="1">OFFSET(Sheet2!A$2,(ROW(A133))*3,0)</f>
        <v>43876</v>
      </c>
      <c r="C132">
        <f ca="1">OFFSET(Sheet2!C$2,(ROW(C133))*3,0)</f>
        <v>22</v>
      </c>
      <c r="D132" t="str">
        <f ca="1">OFFSET(Sheet2!D$2,(ROW(D133))*3,0)</f>
        <v>South</v>
      </c>
      <c r="E132" t="str">
        <f ca="1">OFFSET(Sheet2!F$2,(ROW(E133))*3,0)</f>
        <v>WANINDA PAUL</v>
      </c>
      <c r="F132" t="str">
        <f ca="1">OFFSET(Sheet2!G$2,(ROW(F133))*3,0)</f>
        <v>H2Go</v>
      </c>
      <c r="G132">
        <f ca="1">OFFSET(Sheet2!H$2,(ROW(G133))*3,0)</f>
        <v>0</v>
      </c>
      <c r="H132" t="str">
        <f ca="1">OFFSET(Sheet2!I$2,(ROW(H133))*3,0)</f>
        <v>WEEKLY</v>
      </c>
      <c r="I132">
        <f ca="1">OFFSET(Sheet2!J$2,(ROW(I133))*3,0)</f>
        <v>124</v>
      </c>
      <c r="J132" t="str">
        <f ca="1">OFFSET(Sheet2!K$2,(ROW(J133))*3,0)</f>
        <v>Damage Observed</v>
      </c>
      <c r="K132" t="str">
        <f ca="1">OFFSET(Sheet2!L$2,(ROW(K133))*3,0)</f>
        <v>NOT BAD THOUGH USED UP</v>
      </c>
      <c r="L132" t="str">
        <f ca="1">OFFSET(Sheet2!M$2,(ROW(L133))*3,0)</f>
        <v>GOOD</v>
      </c>
      <c r="M132" t="str">
        <f ca="1">OFFSET(Sheet2!N$2,(ROW(M133))*3,0)</f>
        <v>GOOD</v>
      </c>
      <c r="N132" t="str">
        <f ca="1">OFFSET(Sheet2!O$2,(ROW(N133))*3,0)</f>
        <v>GOOD</v>
      </c>
      <c r="O132" t="str">
        <f ca="1">OFFSET(Sheet2!P$2,(ROW(O133))*3,0)</f>
        <v>Clean(no soot)</v>
      </c>
      <c r="P132" t="str">
        <f ca="1">OFFSET(Sheet2!Q$2,(ROW(P133))*3,0)</f>
        <v>GOOD</v>
      </c>
      <c r="Q132">
        <f ca="1">OFFSET(Sheet2!R$2,(ROW(Q133))*3,0)</f>
        <v>0</v>
      </c>
      <c r="R132">
        <f ca="1">OFFSET(Sheet2!S$2,(ROW(R133))*3,0)</f>
        <v>0</v>
      </c>
      <c r="S132">
        <f ca="1">OFFSET(Sheet2!T$2,(ROW(S133))*3,0)</f>
        <v>0</v>
      </c>
      <c r="T132">
        <f ca="1">OFFSET(Sheet2!U$2,(ROW(T133))*3,0)</f>
        <v>0</v>
      </c>
      <c r="U132">
        <f ca="1">OFFSET(Sheet2!V$2,(ROW(U133))*3,0)</f>
        <v>0</v>
      </c>
    </row>
    <row r="133" spans="1:21" x14ac:dyDescent="0.35">
      <c r="A133" s="11">
        <f ca="1">OFFSET(Sheet2!B$2,(ROW(A134))*3,0)</f>
        <v>43885</v>
      </c>
      <c r="B133" s="11">
        <f ca="1">OFFSET(Sheet2!A$2,(ROW(A134))*3,0)</f>
        <v>43885</v>
      </c>
      <c r="C133">
        <f ca="1">OFFSET(Sheet2!C$2,(ROW(C134))*3,0)</f>
        <v>22</v>
      </c>
      <c r="D133" t="str">
        <f ca="1">OFFSET(Sheet2!D$2,(ROW(D134))*3,0)</f>
        <v>South</v>
      </c>
      <c r="E133" t="str">
        <f ca="1">OFFSET(Sheet2!F$2,(ROW(E134))*3,0)</f>
        <v>WANINDA PAUL</v>
      </c>
      <c r="F133" t="str">
        <f ca="1">OFFSET(Sheet2!G$2,(ROW(F134))*3,0)</f>
        <v>H2Go</v>
      </c>
      <c r="G133">
        <f ca="1">OFFSET(Sheet2!H$2,(ROW(G134))*3,0)</f>
        <v>0</v>
      </c>
      <c r="H133" t="str">
        <f ca="1">OFFSET(Sheet2!I$2,(ROW(H134))*3,0)</f>
        <v>WEEKLY</v>
      </c>
      <c r="I133">
        <f ca="1">OFFSET(Sheet2!J$2,(ROW(I134))*3,0)</f>
        <v>113</v>
      </c>
      <c r="J133" t="str">
        <f ca="1">OFFSET(Sheet2!K$2,(ROW(J134))*3,0)</f>
        <v>Damage Observed</v>
      </c>
      <c r="K133" t="str">
        <f ca="1">OFFSET(Sheet2!L$2,(ROW(K134))*3,0)</f>
        <v>Dirty</v>
      </c>
      <c r="L133" t="str">
        <f ca="1">OFFSET(Sheet2!M$2,(ROW(L134))*3,0)</f>
        <v>Clean</v>
      </c>
      <c r="M133" t="str">
        <f ca="1">OFFSET(Sheet2!N$2,(ROW(M134))*3,0)</f>
        <v>Loose</v>
      </c>
      <c r="N133" t="str">
        <f ca="1">OFFSET(Sheet2!O$2,(ROW(N134))*3,0)</f>
        <v>Clean</v>
      </c>
      <c r="O133" t="str">
        <f ca="1">OFFSET(Sheet2!P$2,(ROW(O134))*3,0)</f>
        <v>Good</v>
      </c>
      <c r="P133" t="str">
        <f ca="1">OFFSET(Sheet2!Q$2,(ROW(P134))*3,0)</f>
        <v>In good Condition</v>
      </c>
      <c r="Q133">
        <f ca="1">OFFSET(Sheet2!R$2,(ROW(Q134))*3,0)</f>
        <v>0</v>
      </c>
      <c r="R133">
        <f ca="1">OFFSET(Sheet2!S$2,(ROW(R134))*3,0)</f>
        <v>0</v>
      </c>
      <c r="S133">
        <f ca="1">OFFSET(Sheet2!T$2,(ROW(S134))*3,0)</f>
        <v>0</v>
      </c>
      <c r="T133">
        <f ca="1">OFFSET(Sheet2!U$2,(ROW(T134))*3,0)</f>
        <v>0</v>
      </c>
      <c r="U133">
        <f ca="1">OFFSET(Sheet2!V$2,(ROW(U134))*3,0)</f>
        <v>0</v>
      </c>
    </row>
    <row r="134" spans="1:21" x14ac:dyDescent="0.35">
      <c r="A134" s="11">
        <f ca="1">OFFSET(Sheet2!B$2,(ROW(A135))*3,0)</f>
        <v>43892</v>
      </c>
      <c r="B134" s="11">
        <f ca="1">OFFSET(Sheet2!A$2,(ROW(A135))*3,0)</f>
        <v>43892</v>
      </c>
      <c r="C134">
        <f ca="1">OFFSET(Sheet2!C$2,(ROW(C135))*3,0)</f>
        <v>22</v>
      </c>
      <c r="D134" t="str">
        <f ca="1">OFFSET(Sheet2!D$2,(ROW(D135))*3,0)</f>
        <v>South</v>
      </c>
      <c r="E134" t="str">
        <f ca="1">OFFSET(Sheet2!F$2,(ROW(E135))*3,0)</f>
        <v>WANINDA PAUL</v>
      </c>
      <c r="F134" t="str">
        <f ca="1">OFFSET(Sheet2!G$2,(ROW(F135))*3,0)</f>
        <v>H2GO</v>
      </c>
      <c r="G134">
        <f ca="1">OFFSET(Sheet2!H$2,(ROW(G135))*3,0)</f>
        <v>0</v>
      </c>
      <c r="H134" t="str">
        <f ca="1">OFFSET(Sheet2!I$2,(ROW(H135))*3,0)</f>
        <v>WEEKLY</v>
      </c>
      <c r="I134">
        <f ca="1">OFFSET(Sheet2!J$2,(ROW(I135))*3,0)</f>
        <v>106</v>
      </c>
      <c r="J134" t="str">
        <f ca="1">OFFSET(Sheet2!K$2,(ROW(J135))*3,0)</f>
        <v>Damage Observed</v>
      </c>
      <c r="K134" t="str">
        <f ca="1">OFFSET(Sheet2!L$2,(ROW(K135))*3,0)</f>
        <v>Okay</v>
      </c>
      <c r="L134" t="str">
        <f ca="1">OFFSET(Sheet2!M$2,(ROW(L135))*3,0)</f>
        <v>Clean</v>
      </c>
      <c r="M134" t="str">
        <f ca="1">OFFSET(Sheet2!N$2,(ROW(M135))*3,0)</f>
        <v>Misaligned</v>
      </c>
      <c r="N134" t="str">
        <f ca="1">OFFSET(Sheet2!O$2,(ROW(N135))*3,0)</f>
        <v>Dirty</v>
      </c>
      <c r="O134" t="str">
        <f ca="1">OFFSET(Sheet2!P$2,(ROW(O135))*3,0)</f>
        <v>Good</v>
      </c>
      <c r="P134" t="str">
        <f ca="1">OFFSET(Sheet2!Q$2,(ROW(P135))*3,0)</f>
        <v>In good Condition</v>
      </c>
      <c r="Q134">
        <f ca="1">OFFSET(Sheet2!R$2,(ROW(Q135))*3,0)</f>
        <v>0</v>
      </c>
      <c r="R134">
        <f ca="1">OFFSET(Sheet2!S$2,(ROW(R135))*3,0)</f>
        <v>0</v>
      </c>
      <c r="S134">
        <f ca="1">OFFSET(Sheet2!T$2,(ROW(S135))*3,0)</f>
        <v>0</v>
      </c>
      <c r="T134">
        <f ca="1">OFFSET(Sheet2!U$2,(ROW(T135))*3,0)</f>
        <v>0</v>
      </c>
      <c r="U134">
        <f ca="1">OFFSET(Sheet2!V$2,(ROW(U135))*3,0)</f>
        <v>0</v>
      </c>
    </row>
    <row r="135" spans="1:21" x14ac:dyDescent="0.35">
      <c r="A135" s="11">
        <f ca="1">OFFSET(Sheet2!B$2,(ROW(A136))*3,0)</f>
        <v>43899</v>
      </c>
      <c r="B135" s="11">
        <f ca="1">OFFSET(Sheet2!A$2,(ROW(A136))*3,0)</f>
        <v>43899</v>
      </c>
      <c r="C135">
        <f ca="1">OFFSET(Sheet2!C$2,(ROW(C136))*3,0)</f>
        <v>22</v>
      </c>
      <c r="D135" t="str">
        <f ca="1">OFFSET(Sheet2!D$2,(ROW(D136))*3,0)</f>
        <v>South</v>
      </c>
      <c r="E135" t="str">
        <f ca="1">OFFSET(Sheet2!F$2,(ROW(E136))*3,0)</f>
        <v>WANINDA PAUL</v>
      </c>
      <c r="F135" t="str">
        <f ca="1">OFFSET(Sheet2!G$2,(ROW(F136))*3,0)</f>
        <v>H2GO</v>
      </c>
      <c r="G135">
        <f ca="1">OFFSET(Sheet2!H$2,(ROW(G136))*3,0)</f>
        <v>0</v>
      </c>
      <c r="H135" t="str">
        <f ca="1">OFFSET(Sheet2!I$2,(ROW(H136))*3,0)</f>
        <v>WEEKLY</v>
      </c>
      <c r="I135">
        <f ca="1">OFFSET(Sheet2!J$2,(ROW(I136))*3,0)</f>
        <v>180</v>
      </c>
      <c r="J135" t="str">
        <f ca="1">OFFSET(Sheet2!K$2,(ROW(J136))*3,0)</f>
        <v>Damage Observed</v>
      </c>
      <c r="K135" t="str">
        <f ca="1">OFFSET(Sheet2!L$2,(ROW(K136))*3,0)</f>
        <v>Very Dirty</v>
      </c>
      <c r="L135" t="str">
        <f ca="1">OFFSET(Sheet2!M$2,(ROW(L136))*3,0)</f>
        <v>Clean</v>
      </c>
      <c r="M135" t="str">
        <f ca="1">OFFSET(Sheet2!N$2,(ROW(M136))*3,0)</f>
        <v>Misaligned</v>
      </c>
      <c r="N135" t="str">
        <f ca="1">OFFSET(Sheet2!O$2,(ROW(N136))*3,0)</f>
        <v>Dirty</v>
      </c>
      <c r="O135" t="str">
        <f ca="1">OFFSET(Sheet2!P$2,(ROW(O136))*3,0)</f>
        <v>Good</v>
      </c>
      <c r="P135" t="str">
        <f ca="1">OFFSET(Sheet2!Q$2,(ROW(P136))*3,0)</f>
        <v>In good Condition</v>
      </c>
      <c r="Q135">
        <f ca="1">OFFSET(Sheet2!R$2,(ROW(Q136))*3,0)</f>
        <v>0</v>
      </c>
      <c r="R135">
        <f ca="1">OFFSET(Sheet2!S$2,(ROW(R136))*3,0)</f>
        <v>0</v>
      </c>
      <c r="S135">
        <f ca="1">OFFSET(Sheet2!T$2,(ROW(S136))*3,0)</f>
        <v>0</v>
      </c>
      <c r="T135">
        <f ca="1">OFFSET(Sheet2!U$2,(ROW(T136))*3,0)</f>
        <v>0</v>
      </c>
      <c r="U135">
        <f ca="1">OFFSET(Sheet2!V$2,(ROW(U136))*3,0)</f>
        <v>0</v>
      </c>
    </row>
    <row r="136" spans="1:21" x14ac:dyDescent="0.35">
      <c r="A136" s="11">
        <f ca="1">OFFSET(Sheet2!B$2,(ROW(A137))*3,0)</f>
        <v>43841</v>
      </c>
      <c r="B136" s="11">
        <f ca="1">OFFSET(Sheet2!A$2,(ROW(A137))*3,0)</f>
        <v>43841</v>
      </c>
      <c r="C136">
        <f ca="1">OFFSET(Sheet2!C$2,(ROW(C137))*3,0)</f>
        <v>23</v>
      </c>
      <c r="D136" t="str">
        <f ca="1">OFFSET(Sheet2!D$2,(ROW(D137))*3,0)</f>
        <v>South</v>
      </c>
      <c r="E136" t="str">
        <f ca="1">OFFSET(Sheet2!F$2,(ROW(E137))*3,0)</f>
        <v>WAFUMBO ROGERS</v>
      </c>
      <c r="F136" t="str">
        <f ca="1">OFFSET(Sheet2!G$2,(ROW(F137))*3,0)</f>
        <v>H2Go</v>
      </c>
      <c r="G136">
        <f ca="1">OFFSET(Sheet2!H$2,(ROW(G137))*3,0)</f>
        <v>0</v>
      </c>
      <c r="H136" t="str">
        <f ca="1">OFFSET(Sheet2!I$2,(ROW(H137))*3,0)</f>
        <v>Comprehensive</v>
      </c>
      <c r="I136">
        <f ca="1">OFFSET(Sheet2!J$2,(ROW(I137))*3,0)</f>
        <v>97</v>
      </c>
      <c r="J136" t="str">
        <f ca="1">OFFSET(Sheet2!K$2,(ROW(J137))*3,0)</f>
        <v>Damage Observed</v>
      </c>
      <c r="K136" t="str">
        <f ca="1">OFFSET(Sheet2!L$2,(ROW(K137))*3,0)</f>
        <v>Okay</v>
      </c>
      <c r="L136" t="str">
        <f ca="1">OFFSET(Sheet2!M$2,(ROW(L137))*3,0)</f>
        <v>PERFECT</v>
      </c>
      <c r="M136" t="str">
        <f ca="1">OFFSET(Sheet2!N$2,(ROW(M137))*3,0)</f>
        <v>needs to be setted</v>
      </c>
      <c r="N136" t="str">
        <f ca="1">OFFSET(Sheet2!O$2,(ROW(N137))*3,0)</f>
        <v>GOOD</v>
      </c>
      <c r="O136" t="str">
        <f ca="1">OFFSET(Sheet2!P$2,(ROW(O137))*3,0)</f>
        <v>Good conditions</v>
      </c>
      <c r="P136" t="str">
        <f ca="1">OFFSET(Sheet2!Q$2,(ROW(P137))*3,0)</f>
        <v>WELL SERVICED</v>
      </c>
      <c r="Q136" t="str">
        <f ca="1">OFFSET(Sheet2!R$2,(ROW(Q137))*3,0)</f>
        <v>NOT IN A GOOD CONDITION</v>
      </c>
      <c r="R136" t="str">
        <f ca="1">OFFSET(Sheet2!S$2,(ROW(R137))*3,0)</f>
        <v>GOOD</v>
      </c>
      <c r="S136" t="str">
        <f ca="1">OFFSET(Sheet2!T$2,(ROW(S137))*3,0)</f>
        <v>GOOD</v>
      </c>
      <c r="T136">
        <f ca="1">OFFSET(Sheet2!U$2,(ROW(T137))*3,0)</f>
        <v>0</v>
      </c>
      <c r="U136">
        <f ca="1">OFFSET(Sheet2!V$2,(ROW(U137))*3,0)</f>
        <v>0</v>
      </c>
    </row>
    <row r="137" spans="1:21" x14ac:dyDescent="0.35">
      <c r="A137" s="11">
        <f ca="1">OFFSET(Sheet2!B$2,(ROW(A138))*3,0)</f>
        <v>43848</v>
      </c>
      <c r="B137" s="11">
        <f ca="1">OFFSET(Sheet2!A$2,(ROW(A138))*3,0)</f>
        <v>43848</v>
      </c>
      <c r="C137">
        <f ca="1">OFFSET(Sheet2!C$2,(ROW(C138))*3,0)</f>
        <v>23</v>
      </c>
      <c r="D137" t="str">
        <f ca="1">OFFSET(Sheet2!D$2,(ROW(D138))*3,0)</f>
        <v>South</v>
      </c>
      <c r="E137" t="str">
        <f ca="1">OFFSET(Sheet2!F$2,(ROW(E138))*3,0)</f>
        <v>WAFUMBO ROGERS</v>
      </c>
      <c r="F137" t="str">
        <f ca="1">OFFSET(Sheet2!G$2,(ROW(F138))*3,0)</f>
        <v>H2Go</v>
      </c>
      <c r="G137">
        <f ca="1">OFFSET(Sheet2!H$2,(ROW(G138))*3,0)</f>
        <v>0</v>
      </c>
      <c r="H137" t="str">
        <f ca="1">OFFSET(Sheet2!I$2,(ROW(H138))*3,0)</f>
        <v>WEEKLY</v>
      </c>
      <c r="I137">
        <f ca="1">OFFSET(Sheet2!J$2,(ROW(I138))*3,0)</f>
        <v>32</v>
      </c>
      <c r="J137" t="str">
        <f ca="1">OFFSET(Sheet2!K$2,(ROW(J138))*3,0)</f>
        <v>Damage Observed</v>
      </c>
      <c r="K137" t="str">
        <f ca="1">OFFSET(Sheet2!L$2,(ROW(K138))*3,0)</f>
        <v>Very dirty</v>
      </c>
      <c r="L137" t="str">
        <f ca="1">OFFSET(Sheet2!M$2,(ROW(L138))*3,0)</f>
        <v>VERY BAD IN CONDITION</v>
      </c>
      <c r="M137" t="str">
        <f ca="1">OFFSET(Sheet2!N$2,(ROW(M138))*3,0)</f>
        <v>GOOD</v>
      </c>
      <c r="N137" t="str">
        <f ca="1">OFFSET(Sheet2!O$2,(ROW(N138))*3,0)</f>
        <v>GOO</v>
      </c>
      <c r="O137" t="str">
        <f ca="1">OFFSET(Sheet2!P$2,(ROW(O138))*3,0)</f>
        <v>GOOD</v>
      </c>
      <c r="P137" t="str">
        <f ca="1">OFFSET(Sheet2!Q$2,(ROW(P138))*3,0)</f>
        <v>SERVICED VERY WELL</v>
      </c>
      <c r="Q137">
        <f ca="1">OFFSET(Sheet2!R$2,(ROW(Q138))*3,0)</f>
        <v>0</v>
      </c>
      <c r="R137">
        <f ca="1">OFFSET(Sheet2!S$2,(ROW(R138))*3,0)</f>
        <v>0</v>
      </c>
      <c r="S137">
        <f ca="1">OFFSET(Sheet2!T$2,(ROW(S138))*3,0)</f>
        <v>0</v>
      </c>
      <c r="T137">
        <f ca="1">OFFSET(Sheet2!U$2,(ROW(T138))*3,0)</f>
        <v>0</v>
      </c>
      <c r="U137">
        <f ca="1">OFFSET(Sheet2!V$2,(ROW(U138))*3,0)</f>
        <v>0</v>
      </c>
    </row>
    <row r="138" spans="1:21" x14ac:dyDescent="0.35">
      <c r="A138" s="11">
        <f ca="1">OFFSET(Sheet2!B$2,(ROW(A139))*3,0)</f>
        <v>43862</v>
      </c>
      <c r="B138" s="11">
        <f ca="1">OFFSET(Sheet2!A$2,(ROW(A139))*3,0)</f>
        <v>43862</v>
      </c>
      <c r="C138">
        <f ca="1">OFFSET(Sheet2!C$2,(ROW(C139))*3,0)</f>
        <v>23</v>
      </c>
      <c r="D138" t="str">
        <f ca="1">OFFSET(Sheet2!D$2,(ROW(D139))*3,0)</f>
        <v>South</v>
      </c>
      <c r="E138" t="str">
        <f ca="1">OFFSET(Sheet2!F$2,(ROW(E139))*3,0)</f>
        <v>WAFUMBO ROGERS</v>
      </c>
      <c r="F138" t="str">
        <f ca="1">OFFSET(Sheet2!G$2,(ROW(F139))*3,0)</f>
        <v>H2GO</v>
      </c>
      <c r="G138">
        <f ca="1">OFFSET(Sheet2!H$2,(ROW(G139))*3,0)</f>
        <v>0</v>
      </c>
      <c r="H138" t="str">
        <f ca="1">OFFSET(Sheet2!I$2,(ROW(H139))*3,0)</f>
        <v>WEEKLY</v>
      </c>
      <c r="I138">
        <f ca="1">OFFSET(Sheet2!J$2,(ROW(I139))*3,0)</f>
        <v>74</v>
      </c>
      <c r="J138" t="str">
        <f ca="1">OFFSET(Sheet2!K$2,(ROW(J139))*3,0)</f>
        <v>Damage Observed</v>
      </c>
      <c r="K138" t="str">
        <f ca="1">OFFSET(Sheet2!L$2,(ROW(K139))*3,0)</f>
        <v>Very dirty</v>
      </c>
      <c r="L138" t="str">
        <f ca="1">OFFSET(Sheet2!M$2,(ROW(L139))*3,0)</f>
        <v>GOOD</v>
      </c>
      <c r="M138" t="str">
        <f ca="1">OFFSET(Sheet2!N$2,(ROW(M139))*3,0)</f>
        <v>GOOD</v>
      </c>
      <c r="N138" t="str">
        <f ca="1">OFFSET(Sheet2!O$2,(ROW(N139))*3,0)</f>
        <v>GOOD</v>
      </c>
      <c r="O138" t="str">
        <f ca="1">OFFSET(Sheet2!P$2,(ROW(O139))*3,0)</f>
        <v>GOOD IN CONDITION</v>
      </c>
      <c r="P138" t="str">
        <f ca="1">OFFSET(Sheet2!Q$2,(ROW(P139))*3,0)</f>
        <v>NOT BAD</v>
      </c>
      <c r="Q138">
        <f ca="1">OFFSET(Sheet2!R$2,(ROW(Q139))*3,0)</f>
        <v>0</v>
      </c>
      <c r="R138">
        <f ca="1">OFFSET(Sheet2!S$2,(ROW(R139))*3,0)</f>
        <v>0</v>
      </c>
      <c r="S138">
        <f ca="1">OFFSET(Sheet2!T$2,(ROW(S139))*3,0)</f>
        <v>0</v>
      </c>
      <c r="T138">
        <f ca="1">OFFSET(Sheet2!U$2,(ROW(T139))*3,0)</f>
        <v>0</v>
      </c>
      <c r="U138">
        <f ca="1">OFFSET(Sheet2!V$2,(ROW(U139))*3,0)</f>
        <v>0</v>
      </c>
    </row>
    <row r="139" spans="1:21" x14ac:dyDescent="0.35">
      <c r="A139" s="11">
        <f ca="1">OFFSET(Sheet2!B$2,(ROW(A140))*3,0)</f>
        <v>43869</v>
      </c>
      <c r="B139" s="11">
        <f ca="1">OFFSET(Sheet2!A$2,(ROW(A140))*3,0)</f>
        <v>43869</v>
      </c>
      <c r="C139">
        <f ca="1">OFFSET(Sheet2!C$2,(ROW(C140))*3,0)</f>
        <v>23</v>
      </c>
      <c r="D139" t="str">
        <f ca="1">OFFSET(Sheet2!D$2,(ROW(D140))*3,0)</f>
        <v>South</v>
      </c>
      <c r="E139" t="str">
        <f ca="1">OFFSET(Sheet2!F$2,(ROW(E140))*3,0)</f>
        <v>WAFUMBO ROGERS</v>
      </c>
      <c r="F139" t="str">
        <f ca="1">OFFSET(Sheet2!G$2,(ROW(F140))*3,0)</f>
        <v>H2Go</v>
      </c>
      <c r="G139">
        <f ca="1">OFFSET(Sheet2!H$2,(ROW(G140))*3,0)</f>
        <v>0</v>
      </c>
      <c r="H139" t="str">
        <f ca="1">OFFSET(Sheet2!I$2,(ROW(H140))*3,0)</f>
        <v>WEEKLY</v>
      </c>
      <c r="I139">
        <f ca="1">OFFSET(Sheet2!J$2,(ROW(I140))*3,0)</f>
        <v>197</v>
      </c>
      <c r="J139" t="str">
        <f ca="1">OFFSET(Sheet2!K$2,(ROW(J140))*3,0)</f>
        <v>Damage Observed</v>
      </c>
      <c r="K139" t="str">
        <f ca="1">OFFSET(Sheet2!L$2,(ROW(K140))*3,0)</f>
        <v>NOT BAD THOUGH USED UP</v>
      </c>
      <c r="L139" t="str">
        <f ca="1">OFFSET(Sheet2!M$2,(ROW(L140))*3,0)</f>
        <v>GOOD</v>
      </c>
      <c r="M139" t="str">
        <f ca="1">OFFSET(Sheet2!N$2,(ROW(M140))*3,0)</f>
        <v>GOOD</v>
      </c>
      <c r="N139" t="str">
        <f ca="1">OFFSET(Sheet2!O$2,(ROW(N140))*3,0)</f>
        <v>GOOD</v>
      </c>
      <c r="O139" t="str">
        <f ca="1">OFFSET(Sheet2!P$2,(ROW(O140))*3,0)</f>
        <v>Clean(no soot)</v>
      </c>
      <c r="P139" t="str">
        <f ca="1">OFFSET(Sheet2!Q$2,(ROW(P140))*3,0)</f>
        <v xml:space="preserve">GOOD </v>
      </c>
      <c r="Q139" t="str">
        <f ca="1">OFFSET(Sheet2!R$2,(ROW(Q140))*3,0)</f>
        <v>Needs to be Changed</v>
      </c>
      <c r="R139">
        <f ca="1">OFFSET(Sheet2!S$2,(ROW(R140))*3,0)</f>
        <v>0</v>
      </c>
      <c r="S139">
        <f ca="1">OFFSET(Sheet2!T$2,(ROW(S140))*3,0)</f>
        <v>0</v>
      </c>
      <c r="T139">
        <f ca="1">OFFSET(Sheet2!U$2,(ROW(T140))*3,0)</f>
        <v>0</v>
      </c>
      <c r="U139">
        <f ca="1">OFFSET(Sheet2!V$2,(ROW(U140))*3,0)</f>
        <v>0</v>
      </c>
    </row>
    <row r="140" spans="1:21" x14ac:dyDescent="0.35">
      <c r="A140" s="11">
        <f ca="1">OFFSET(Sheet2!B$2,(ROW(A141))*3,0)</f>
        <v>43876</v>
      </c>
      <c r="B140" s="11">
        <f ca="1">OFFSET(Sheet2!A$2,(ROW(A141))*3,0)</f>
        <v>43876</v>
      </c>
      <c r="C140">
        <f ca="1">OFFSET(Sheet2!C$2,(ROW(C141))*3,0)</f>
        <v>23</v>
      </c>
      <c r="D140" t="str">
        <f ca="1">OFFSET(Sheet2!D$2,(ROW(D141))*3,0)</f>
        <v>South</v>
      </c>
      <c r="E140" t="str">
        <f ca="1">OFFSET(Sheet2!F$2,(ROW(E141))*3,0)</f>
        <v>WAFUMBO ROGERS</v>
      </c>
      <c r="F140" t="str">
        <f ca="1">OFFSET(Sheet2!G$2,(ROW(F141))*3,0)</f>
        <v>H2Go</v>
      </c>
      <c r="G140">
        <f ca="1">OFFSET(Sheet2!H$2,(ROW(G141))*3,0)</f>
        <v>0</v>
      </c>
      <c r="H140" t="str">
        <f ca="1">OFFSET(Sheet2!I$2,(ROW(H141))*3,0)</f>
        <v>WEEKLY</v>
      </c>
      <c r="I140">
        <f ca="1">OFFSET(Sheet2!J$2,(ROW(I141))*3,0)</f>
        <v>121</v>
      </c>
      <c r="J140" t="str">
        <f ca="1">OFFSET(Sheet2!K$2,(ROW(J141))*3,0)</f>
        <v>Damage Observed</v>
      </c>
      <c r="K140" t="str">
        <f ca="1">OFFSET(Sheet2!L$2,(ROW(K141))*3,0)</f>
        <v>NOT BAD THOUGH USED UP</v>
      </c>
      <c r="L140" t="str">
        <f ca="1">OFFSET(Sheet2!M$2,(ROW(L141))*3,0)</f>
        <v>GOOD</v>
      </c>
      <c r="M140" t="str">
        <f ca="1">OFFSET(Sheet2!N$2,(ROW(M141))*3,0)</f>
        <v>Loose</v>
      </c>
      <c r="N140" t="str">
        <f ca="1">OFFSET(Sheet2!O$2,(ROW(N141))*3,0)</f>
        <v>CLEAN</v>
      </c>
      <c r="O140" t="str">
        <f ca="1">OFFSET(Sheet2!P$2,(ROW(O141))*3,0)</f>
        <v>Clean(no soot)</v>
      </c>
      <c r="P140" t="str">
        <f ca="1">OFFSET(Sheet2!Q$2,(ROW(P141))*3,0)</f>
        <v>GOOD</v>
      </c>
      <c r="Q140">
        <f ca="1">OFFSET(Sheet2!R$2,(ROW(Q141))*3,0)</f>
        <v>0</v>
      </c>
      <c r="R140">
        <f ca="1">OFFSET(Sheet2!S$2,(ROW(R141))*3,0)</f>
        <v>0</v>
      </c>
      <c r="S140">
        <f ca="1">OFFSET(Sheet2!T$2,(ROW(S141))*3,0)</f>
        <v>0</v>
      </c>
      <c r="T140">
        <f ca="1">OFFSET(Sheet2!U$2,(ROW(T141))*3,0)</f>
        <v>0</v>
      </c>
      <c r="U140">
        <f ca="1">OFFSET(Sheet2!V$2,(ROW(U141))*3,0)</f>
        <v>0</v>
      </c>
    </row>
    <row r="141" spans="1:21" x14ac:dyDescent="0.35">
      <c r="A141" s="11">
        <f ca="1">OFFSET(Sheet2!B$2,(ROW(A142))*3,0)</f>
        <v>43885</v>
      </c>
      <c r="B141" s="11">
        <f ca="1">OFFSET(Sheet2!A$2,(ROW(A142))*3,0)</f>
        <v>43885</v>
      </c>
      <c r="C141">
        <f ca="1">OFFSET(Sheet2!C$2,(ROW(C142))*3,0)</f>
        <v>23</v>
      </c>
      <c r="D141" t="str">
        <f ca="1">OFFSET(Sheet2!D$2,(ROW(D142))*3,0)</f>
        <v>South</v>
      </c>
      <c r="E141" t="str">
        <f ca="1">OFFSET(Sheet2!F$2,(ROW(E142))*3,0)</f>
        <v>WAFUMBO ROGERS</v>
      </c>
      <c r="F141" t="str">
        <f ca="1">OFFSET(Sheet2!G$2,(ROW(F142))*3,0)</f>
        <v>H2GO</v>
      </c>
      <c r="G141">
        <f ca="1">OFFSET(Sheet2!H$2,(ROW(G142))*3,0)</f>
        <v>0</v>
      </c>
      <c r="H141" t="str">
        <f ca="1">OFFSET(Sheet2!I$2,(ROW(H142))*3,0)</f>
        <v>WEEKLY</v>
      </c>
      <c r="I141">
        <f ca="1">OFFSET(Sheet2!J$2,(ROW(I142))*3,0)</f>
        <v>147</v>
      </c>
      <c r="J141" t="str">
        <f ca="1">OFFSET(Sheet2!K$2,(ROW(J142))*3,0)</f>
        <v>Damage Observed</v>
      </c>
      <c r="K141" t="str">
        <f ca="1">OFFSET(Sheet2!L$2,(ROW(K142))*3,0)</f>
        <v>Dirty</v>
      </c>
      <c r="L141" t="str">
        <f ca="1">OFFSET(Sheet2!M$2,(ROW(L142))*3,0)</f>
        <v>Okay</v>
      </c>
      <c r="M141" t="str">
        <f ca="1">OFFSET(Sheet2!N$2,(ROW(M142))*3,0)</f>
        <v>Tight</v>
      </c>
      <c r="N141" t="str">
        <f ca="1">OFFSET(Sheet2!O$2,(ROW(N142))*3,0)</f>
        <v>Clean</v>
      </c>
      <c r="O141" t="str">
        <f ca="1">OFFSET(Sheet2!P$2,(ROW(O142))*3,0)</f>
        <v>Good</v>
      </c>
      <c r="P141" t="str">
        <f ca="1">OFFSET(Sheet2!Q$2,(ROW(P142))*3,0)</f>
        <v>In good Condition</v>
      </c>
      <c r="Q141">
        <f ca="1">OFFSET(Sheet2!R$2,(ROW(Q142))*3,0)</f>
        <v>0</v>
      </c>
      <c r="R141">
        <f ca="1">OFFSET(Sheet2!S$2,(ROW(R142))*3,0)</f>
        <v>0</v>
      </c>
      <c r="S141">
        <f ca="1">OFFSET(Sheet2!T$2,(ROW(S142))*3,0)</f>
        <v>0</v>
      </c>
      <c r="T141">
        <f ca="1">OFFSET(Sheet2!U$2,(ROW(T142))*3,0)</f>
        <v>0</v>
      </c>
      <c r="U141">
        <f ca="1">OFFSET(Sheet2!V$2,(ROW(U142))*3,0)</f>
        <v>0</v>
      </c>
    </row>
    <row r="142" spans="1:21" x14ac:dyDescent="0.35">
      <c r="A142" s="11">
        <f ca="1">OFFSET(Sheet2!B$2,(ROW(A143))*3,0)</f>
        <v>43855</v>
      </c>
      <c r="B142" s="11">
        <f ca="1">OFFSET(Sheet2!A$2,(ROW(A143))*3,0)</f>
        <v>43855</v>
      </c>
      <c r="C142">
        <f ca="1">OFFSET(Sheet2!C$2,(ROW(C143))*3,0)</f>
        <v>23</v>
      </c>
      <c r="D142" t="str">
        <f ca="1">OFFSET(Sheet2!D$2,(ROW(D143))*3,0)</f>
        <v>South</v>
      </c>
      <c r="E142" t="str">
        <f ca="1">OFFSET(Sheet2!F$2,(ROW(E143))*3,0)</f>
        <v>WAFUMBO ROGERS</v>
      </c>
      <c r="F142" t="str">
        <f ca="1">OFFSET(Sheet2!G$2,(ROW(F143))*3,0)</f>
        <v>H2GO</v>
      </c>
      <c r="G142">
        <f ca="1">OFFSET(Sheet2!H$2,(ROW(G143))*3,0)</f>
        <v>0</v>
      </c>
      <c r="H142" t="str">
        <f ca="1">OFFSET(Sheet2!I$2,(ROW(H143))*3,0)</f>
        <v>WEEKLY</v>
      </c>
      <c r="I142">
        <f ca="1">OFFSET(Sheet2!J$2,(ROW(I143))*3,0)</f>
        <v>79</v>
      </c>
      <c r="J142" t="str">
        <f ca="1">OFFSET(Sheet2!K$2,(ROW(J143))*3,0)</f>
        <v>Damage Observed</v>
      </c>
      <c r="K142" t="str">
        <f ca="1">OFFSET(Sheet2!L$2,(ROW(K143))*3,0)</f>
        <v>NOT GOOD</v>
      </c>
      <c r="L142" t="str">
        <f ca="1">OFFSET(Sheet2!M$2,(ROW(L143))*3,0)</f>
        <v>GOOD</v>
      </c>
      <c r="M142" t="str">
        <f ca="1">OFFSET(Sheet2!N$2,(ROW(M143))*3,0)</f>
        <v>NOT SET</v>
      </c>
      <c r="N142" t="str">
        <f ca="1">OFFSET(Sheet2!O$2,(ROW(N143))*3,0)</f>
        <v>CLEAN</v>
      </c>
      <c r="O142" t="str">
        <f ca="1">OFFSET(Sheet2!P$2,(ROW(O143))*3,0)</f>
        <v>DIRTY</v>
      </c>
      <c r="P142" t="str">
        <f ca="1">OFFSET(Sheet2!Q$2,(ROW(P143))*3,0)</f>
        <v>NUT STILL GOOD</v>
      </c>
      <c r="Q142">
        <f ca="1">OFFSET(Sheet2!R$2,(ROW(Q143))*3,0)</f>
        <v>0</v>
      </c>
      <c r="R142">
        <f ca="1">OFFSET(Sheet2!S$2,(ROW(R143))*3,0)</f>
        <v>0</v>
      </c>
      <c r="S142">
        <f ca="1">OFFSET(Sheet2!T$2,(ROW(S143))*3,0)</f>
        <v>0</v>
      </c>
      <c r="T142">
        <f ca="1">OFFSET(Sheet2!U$2,(ROW(T143))*3,0)</f>
        <v>0</v>
      </c>
      <c r="U142">
        <f ca="1">OFFSET(Sheet2!V$2,(ROW(U143))*3,0)</f>
        <v>0</v>
      </c>
    </row>
    <row r="143" spans="1:21" x14ac:dyDescent="0.35">
      <c r="A143" s="11">
        <f ca="1">OFFSET(Sheet2!B$2,(ROW(A144))*3,0)</f>
        <v>43892</v>
      </c>
      <c r="B143" s="11">
        <f ca="1">OFFSET(Sheet2!A$2,(ROW(A144))*3,0)</f>
        <v>43892</v>
      </c>
      <c r="C143">
        <f ca="1">OFFSET(Sheet2!C$2,(ROW(C144))*3,0)</f>
        <v>23</v>
      </c>
      <c r="D143" t="str">
        <f ca="1">OFFSET(Sheet2!D$2,(ROW(D144))*3,0)</f>
        <v>South</v>
      </c>
      <c r="E143" t="str">
        <f ca="1">OFFSET(Sheet2!F$2,(ROW(E144))*3,0)</f>
        <v>WAFUMBO ROGERS</v>
      </c>
      <c r="F143" t="str">
        <f ca="1">OFFSET(Sheet2!G$2,(ROW(F144))*3,0)</f>
        <v>H2GO</v>
      </c>
      <c r="G143">
        <f ca="1">OFFSET(Sheet2!H$2,(ROW(G144))*3,0)</f>
        <v>0</v>
      </c>
      <c r="H143" t="str">
        <f ca="1">OFFSET(Sheet2!I$2,(ROW(H144))*3,0)</f>
        <v>WEEKLY</v>
      </c>
      <c r="I143">
        <f ca="1">OFFSET(Sheet2!J$2,(ROW(I144))*3,0)</f>
        <v>104</v>
      </c>
      <c r="J143" t="str">
        <f ca="1">OFFSET(Sheet2!K$2,(ROW(J144))*3,0)</f>
        <v>Damage Observed</v>
      </c>
      <c r="K143" t="str">
        <f ca="1">OFFSET(Sheet2!L$2,(ROW(K144))*3,0)</f>
        <v>Very Dirty</v>
      </c>
      <c r="L143" t="str">
        <f ca="1">OFFSET(Sheet2!M$2,(ROW(L144))*3,0)</f>
        <v>Dirty</v>
      </c>
      <c r="M143" t="str">
        <f ca="1">OFFSET(Sheet2!N$2,(ROW(M144))*3,0)</f>
        <v>Misaligned</v>
      </c>
      <c r="N143" t="str">
        <f ca="1">OFFSET(Sheet2!O$2,(ROW(N144))*3,0)</f>
        <v>Clean</v>
      </c>
      <c r="O143" t="str">
        <f ca="1">OFFSET(Sheet2!P$2,(ROW(O144))*3,0)</f>
        <v>Good</v>
      </c>
      <c r="P143" t="str">
        <f ca="1">OFFSET(Sheet2!Q$2,(ROW(P144))*3,0)</f>
        <v>Nut and washer worn out</v>
      </c>
      <c r="Q143">
        <f ca="1">OFFSET(Sheet2!R$2,(ROW(Q144))*3,0)</f>
        <v>0</v>
      </c>
      <c r="R143">
        <f ca="1">OFFSET(Sheet2!S$2,(ROW(R144))*3,0)</f>
        <v>0</v>
      </c>
      <c r="S143">
        <f ca="1">OFFSET(Sheet2!T$2,(ROW(S144))*3,0)</f>
        <v>0</v>
      </c>
      <c r="T143">
        <f ca="1">OFFSET(Sheet2!U$2,(ROW(T144))*3,0)</f>
        <v>0</v>
      </c>
      <c r="U143">
        <f ca="1">OFFSET(Sheet2!V$2,(ROW(U144))*3,0)</f>
        <v>0</v>
      </c>
    </row>
    <row r="144" spans="1:21" x14ac:dyDescent="0.35">
      <c r="A144" s="11">
        <f ca="1">OFFSET(Sheet2!B$2,(ROW(A145))*3,0)</f>
        <v>43899</v>
      </c>
      <c r="B144" s="11">
        <f ca="1">OFFSET(Sheet2!A$2,(ROW(A145))*3,0)</f>
        <v>43899</v>
      </c>
      <c r="C144">
        <f ca="1">OFFSET(Sheet2!C$2,(ROW(C145))*3,0)</f>
        <v>23</v>
      </c>
      <c r="D144" t="str">
        <f ca="1">OFFSET(Sheet2!D$2,(ROW(D145))*3,0)</f>
        <v>South</v>
      </c>
      <c r="E144" t="str">
        <f ca="1">OFFSET(Sheet2!F$2,(ROW(E145))*3,0)</f>
        <v>WAFUMBO ROGERS</v>
      </c>
      <c r="F144" t="str">
        <f ca="1">OFFSET(Sheet2!G$2,(ROW(F145))*3,0)</f>
        <v>H2GO</v>
      </c>
      <c r="G144">
        <f ca="1">OFFSET(Sheet2!H$2,(ROW(G145))*3,0)</f>
        <v>0</v>
      </c>
      <c r="H144" t="str">
        <f ca="1">OFFSET(Sheet2!I$2,(ROW(H145))*3,0)</f>
        <v>WEEKLY</v>
      </c>
      <c r="I144">
        <f ca="1">OFFSET(Sheet2!J$2,(ROW(I145))*3,0)</f>
        <v>152</v>
      </c>
      <c r="J144" t="str">
        <f ca="1">OFFSET(Sheet2!K$2,(ROW(J145))*3,0)</f>
        <v>Damage Observed</v>
      </c>
      <c r="K144" t="str">
        <f ca="1">OFFSET(Sheet2!L$2,(ROW(K145))*3,0)</f>
        <v>Okay</v>
      </c>
      <c r="L144" t="str">
        <f ca="1">OFFSET(Sheet2!M$2,(ROW(L145))*3,0)</f>
        <v>Okay</v>
      </c>
      <c r="M144" t="str">
        <f ca="1">OFFSET(Sheet2!N$2,(ROW(M145))*3,0)</f>
        <v>Good</v>
      </c>
      <c r="N144" t="str">
        <f ca="1">OFFSET(Sheet2!O$2,(ROW(N145))*3,0)</f>
        <v>Okay</v>
      </c>
      <c r="O144" t="str">
        <f ca="1">OFFSET(Sheet2!P$2,(ROW(O145))*3,0)</f>
        <v>Good</v>
      </c>
      <c r="P144" t="str">
        <f ca="1">OFFSET(Sheet2!Q$2,(ROW(P145))*3,0)</f>
        <v>In good Condition</v>
      </c>
      <c r="Q144">
        <f ca="1">OFFSET(Sheet2!R$2,(ROW(Q145))*3,0)</f>
        <v>0</v>
      </c>
      <c r="R144">
        <f ca="1">OFFSET(Sheet2!S$2,(ROW(R145))*3,0)</f>
        <v>0</v>
      </c>
      <c r="S144">
        <f ca="1">OFFSET(Sheet2!T$2,(ROW(S145))*3,0)</f>
        <v>0</v>
      </c>
      <c r="T144">
        <f ca="1">OFFSET(Sheet2!U$2,(ROW(T145))*3,0)</f>
        <v>0</v>
      </c>
      <c r="U144">
        <f ca="1">OFFSET(Sheet2!V$2,(ROW(U145))*3,0)</f>
        <v>0</v>
      </c>
    </row>
    <row r="145" spans="1:21" x14ac:dyDescent="0.35">
      <c r="A145" s="11" t="str">
        <f ca="1">OFFSET(Sheet2!B$2,(ROW(A146))*3,0)</f>
        <v>23/1/2020</v>
      </c>
      <c r="B145" s="11">
        <f ca="1">OFFSET(Sheet2!A$2,(ROW(A146))*3,0)</f>
        <v>43853</v>
      </c>
      <c r="C145">
        <f ca="1">OFFSET(Sheet2!C$2,(ROW(C146))*3,0)</f>
        <v>24</v>
      </c>
      <c r="D145" t="str">
        <f ca="1">OFFSET(Sheet2!D$2,(ROW(D146))*3,0)</f>
        <v>North</v>
      </c>
      <c r="E145" t="str">
        <f ca="1">OFFSET(Sheet2!F$2,(ROW(E146))*3,0)</f>
        <v>Kuyiga Benard</v>
      </c>
      <c r="F145" t="str">
        <f ca="1">OFFSET(Sheet2!G$2,(ROW(F146))*3,0)</f>
        <v>H2Go</v>
      </c>
      <c r="G145">
        <f ca="1">OFFSET(Sheet2!H$2,(ROW(G146))*3,0)</f>
        <v>0</v>
      </c>
      <c r="H145" t="str">
        <f ca="1">OFFSET(Sheet2!I$2,(ROW(H146))*3,0)</f>
        <v>Comprehensive</v>
      </c>
      <c r="I145">
        <f ca="1">OFFSET(Sheet2!J$2,(ROW(I146))*3,0)</f>
        <v>43</v>
      </c>
      <c r="J145" t="str">
        <f ca="1">OFFSET(Sheet2!K$2,(ROW(J146))*3,0)</f>
        <v>Damage Observed</v>
      </c>
      <c r="K145" t="str">
        <f ca="1">OFFSET(Sheet2!L$2,(ROW(K146))*3,0)</f>
        <v>Dirty</v>
      </c>
      <c r="L145" t="str">
        <f ca="1">OFFSET(Sheet2!M$2,(ROW(L146))*3,0)</f>
        <v>Dirty</v>
      </c>
      <c r="M145" t="str">
        <f ca="1">OFFSET(Sheet2!N$2,(ROW(M146))*3,0)</f>
        <v>In good conditions</v>
      </c>
      <c r="N145" t="str">
        <f ca="1">OFFSET(Sheet2!O$2,(ROW(N146))*3,0)</f>
        <v>Dirty</v>
      </c>
      <c r="O145" t="str">
        <f ca="1">OFFSET(Sheet2!P$2,(ROW(O146))*3,0)</f>
        <v>Functins normally</v>
      </c>
      <c r="P145" t="str">
        <f ca="1">OFFSET(Sheet2!Q$2,(ROW(P146))*3,0)</f>
        <v>Looks good</v>
      </c>
      <c r="Q145" t="str">
        <f ca="1">OFFSET(Sheet2!R$2,(ROW(Q146))*3,0)</f>
        <v>Still sounding good</v>
      </c>
      <c r="R145" t="str">
        <f ca="1">OFFSET(Sheet2!S$2,(ROW(R146))*3,0)</f>
        <v>Nothing observed</v>
      </c>
      <c r="S145" t="str">
        <f ca="1">OFFSET(Sheet2!T$2,(ROW(S146))*3,0)</f>
        <v>Clean</v>
      </c>
      <c r="T145">
        <f ca="1">OFFSET(Sheet2!U$2,(ROW(T146))*3,0)</f>
        <v>0</v>
      </c>
      <c r="U145">
        <f ca="1">OFFSET(Sheet2!V$2,(ROW(U146))*3,0)</f>
        <v>0</v>
      </c>
    </row>
    <row r="146" spans="1:21" x14ac:dyDescent="0.35">
      <c r="A146" s="11" t="str">
        <f ca="1">OFFSET(Sheet2!B$2,(ROW(A147))*3,0)</f>
        <v>31/1/2020</v>
      </c>
      <c r="B146" s="11">
        <f ca="1">OFFSET(Sheet2!A$2,(ROW(A147))*3,0)</f>
        <v>43861</v>
      </c>
      <c r="C146">
        <f ca="1">OFFSET(Sheet2!C$2,(ROW(C147))*3,0)</f>
        <v>24</v>
      </c>
      <c r="D146" t="str">
        <f ca="1">OFFSET(Sheet2!D$2,(ROW(D147))*3,0)</f>
        <v>North</v>
      </c>
      <c r="E146" t="str">
        <f ca="1">OFFSET(Sheet2!F$2,(ROW(E147))*3,0)</f>
        <v>Kuyiga Benard</v>
      </c>
      <c r="F146" t="str">
        <f ca="1">OFFSET(Sheet2!G$2,(ROW(F147))*3,0)</f>
        <v>H2Go</v>
      </c>
      <c r="G146">
        <f ca="1">OFFSET(Sheet2!H$2,(ROW(G147))*3,0)</f>
        <v>0</v>
      </c>
      <c r="H146" t="str">
        <f ca="1">OFFSET(Sheet2!I$2,(ROW(H147))*3,0)</f>
        <v>weekly</v>
      </c>
      <c r="I146">
        <f ca="1">OFFSET(Sheet2!J$2,(ROW(I147))*3,0)</f>
        <v>266</v>
      </c>
      <c r="J146" t="str">
        <f ca="1">OFFSET(Sheet2!K$2,(ROW(J147))*3,0)</f>
        <v>Damage Observed</v>
      </c>
      <c r="K146" t="str">
        <f ca="1">OFFSET(Sheet2!L$2,(ROW(K147))*3,0)</f>
        <v>Very dirty</v>
      </c>
      <c r="L146" t="str">
        <f ca="1">OFFSET(Sheet2!M$2,(ROW(L147))*3,0)</f>
        <v>Dirty</v>
      </c>
      <c r="M146" t="str">
        <f ca="1">OFFSET(Sheet2!N$2,(ROW(M147))*3,0)</f>
        <v>Well set</v>
      </c>
      <c r="N146" t="str">
        <f ca="1">OFFSET(Sheet2!O$2,(ROW(N147))*3,0)</f>
        <v xml:space="preserve">Dusty </v>
      </c>
      <c r="O146" t="str">
        <f ca="1">OFFSET(Sheet2!P$2,(ROW(O147))*3,0)</f>
        <v>It is clear</v>
      </c>
      <c r="P146" t="str">
        <f ca="1">OFFSET(Sheet2!Q$2,(ROW(P147))*3,0)</f>
        <v>Nut is damaged</v>
      </c>
      <c r="Q146" t="str">
        <f ca="1">OFFSET(Sheet2!R$2,(ROW(Q147))*3,0)</f>
        <v>Its okay</v>
      </c>
      <c r="R146" t="str">
        <f ca="1">OFFSET(Sheet2!S$2,(ROW(R147))*3,0)</f>
        <v>Still functioning well</v>
      </c>
      <c r="S146" t="str">
        <f ca="1">OFFSET(Sheet2!T$2,(ROW(S147))*3,0)</f>
        <v xml:space="preserve">Normal </v>
      </c>
      <c r="T146">
        <f ca="1">OFFSET(Sheet2!U$2,(ROW(T147))*3,0)</f>
        <v>0</v>
      </c>
      <c r="U146">
        <f ca="1">OFFSET(Sheet2!V$2,(ROW(U147))*3,0)</f>
        <v>0</v>
      </c>
    </row>
    <row r="147" spans="1:21" x14ac:dyDescent="0.35">
      <c r="A147" s="11">
        <f ca="1">OFFSET(Sheet2!B$2,(ROW(A148))*3,0)</f>
        <v>43868</v>
      </c>
      <c r="B147" s="11">
        <f ca="1">OFFSET(Sheet2!A$2,(ROW(A148))*3,0)</f>
        <v>43868</v>
      </c>
      <c r="C147">
        <f ca="1">OFFSET(Sheet2!C$2,(ROW(C148))*3,0)</f>
        <v>24</v>
      </c>
      <c r="D147" t="str">
        <f ca="1">OFFSET(Sheet2!D$2,(ROW(D148))*3,0)</f>
        <v>North</v>
      </c>
      <c r="E147" t="str">
        <f ca="1">OFFSET(Sheet2!F$2,(ROW(E148))*3,0)</f>
        <v>Kuyiga Benard</v>
      </c>
      <c r="F147" t="str">
        <f ca="1">OFFSET(Sheet2!G$2,(ROW(F148))*3,0)</f>
        <v>H2Go</v>
      </c>
      <c r="G147">
        <f ca="1">OFFSET(Sheet2!H$2,(ROW(G148))*3,0)</f>
        <v>0</v>
      </c>
      <c r="H147" t="str">
        <f ca="1">OFFSET(Sheet2!I$2,(ROW(H148))*3,0)</f>
        <v>WEEKLY</v>
      </c>
      <c r="I147">
        <f ca="1">OFFSET(Sheet2!J$2,(ROW(I148))*3,0)</f>
        <v>283</v>
      </c>
      <c r="J147" t="str">
        <f ca="1">OFFSET(Sheet2!K$2,(ROW(J148))*3,0)</f>
        <v>Damage Observed</v>
      </c>
      <c r="K147" t="str">
        <f ca="1">OFFSET(Sheet2!L$2,(ROW(K148))*3,0)</f>
        <v>Oil is dusted, reduced</v>
      </c>
      <c r="L147" t="str">
        <f ca="1">OFFSET(Sheet2!M$2,(ROW(L148))*3,0)</f>
        <v>It is clear</v>
      </c>
      <c r="M147" t="str">
        <f ca="1">OFFSET(Sheet2!N$2,(ROW(M148))*3,0)</f>
        <v>Normal</v>
      </c>
      <c r="N147" t="str">
        <f ca="1">OFFSET(Sheet2!O$2,(ROW(N148))*3,0)</f>
        <v>Clear</v>
      </c>
      <c r="O147" t="str">
        <f ca="1">OFFSET(Sheet2!P$2,(ROW(O148))*3,0)</f>
        <v>It is okay</v>
      </c>
      <c r="P147" t="str">
        <f ca="1">OFFSET(Sheet2!Q$2,(ROW(P148))*3,0)</f>
        <v>They are okay</v>
      </c>
      <c r="Q147" t="str">
        <f ca="1">OFFSET(Sheet2!R$2,(ROW(Q148))*3,0)</f>
        <v>Functioning well</v>
      </c>
      <c r="R147" t="str">
        <f ca="1">OFFSET(Sheet2!S$2,(ROW(R148))*3,0)</f>
        <v>Normal state</v>
      </c>
      <c r="S147" t="str">
        <f ca="1">OFFSET(Sheet2!T$2,(ROW(S148))*3,0)</f>
        <v>Checked in normal state</v>
      </c>
      <c r="T147">
        <f ca="1">OFFSET(Sheet2!U$2,(ROW(T148))*3,0)</f>
        <v>0</v>
      </c>
      <c r="U147">
        <f ca="1">OFFSET(Sheet2!V$2,(ROW(U148))*3,0)</f>
        <v>0</v>
      </c>
    </row>
    <row r="148" spans="1:21" x14ac:dyDescent="0.35">
      <c r="A148" s="11">
        <f ca="1">OFFSET(Sheet2!B$2,(ROW(A149))*3,0)</f>
        <v>43875</v>
      </c>
      <c r="B148" s="11">
        <f ca="1">OFFSET(Sheet2!A$2,(ROW(A149))*3,0)</f>
        <v>43875</v>
      </c>
      <c r="C148">
        <f ca="1">OFFSET(Sheet2!C$2,(ROW(C149))*3,0)</f>
        <v>24</v>
      </c>
      <c r="D148" t="str">
        <f ca="1">OFFSET(Sheet2!D$2,(ROW(D149))*3,0)</f>
        <v>North</v>
      </c>
      <c r="E148" t="str">
        <f ca="1">OFFSET(Sheet2!F$2,(ROW(E149))*3,0)</f>
        <v>Kuyiga Benard</v>
      </c>
      <c r="F148" t="str">
        <f ca="1">OFFSET(Sheet2!G$2,(ROW(F149))*3,0)</f>
        <v>H2Go</v>
      </c>
      <c r="G148">
        <f ca="1">OFFSET(Sheet2!H$2,(ROW(G149))*3,0)</f>
        <v>0</v>
      </c>
      <c r="H148" t="str">
        <f ca="1">OFFSET(Sheet2!I$2,(ROW(H149))*3,0)</f>
        <v>WEEKLY</v>
      </c>
      <c r="I148">
        <f ca="1">OFFSET(Sheet2!J$2,(ROW(I149))*3,0)</f>
        <v>299</v>
      </c>
      <c r="J148" t="str">
        <f ca="1">OFFSET(Sheet2!K$2,(ROW(J149))*3,0)</f>
        <v>Damage Observed</v>
      </c>
      <c r="K148" t="str">
        <f ca="1">OFFSET(Sheet2!L$2,(ROW(K149))*3,0)</f>
        <v>Very Dirty</v>
      </c>
      <c r="L148" t="str">
        <f ca="1">OFFSET(Sheet2!M$2,(ROW(L149))*3,0)</f>
        <v>Dirty</v>
      </c>
      <c r="M148" t="str">
        <f ca="1">OFFSET(Sheet2!N$2,(ROW(M149))*3,0)</f>
        <v>Good</v>
      </c>
      <c r="N148" t="str">
        <f ca="1">OFFSET(Sheet2!O$2,(ROW(N149))*3,0)</f>
        <v>Okay</v>
      </c>
      <c r="O148" t="str">
        <f ca="1">OFFSET(Sheet2!P$2,(ROW(O149))*3,0)</f>
        <v>Good</v>
      </c>
      <c r="P148" t="str">
        <f ca="1">OFFSET(Sheet2!Q$2,(ROW(P149))*3,0)</f>
        <v>In good Condition</v>
      </c>
      <c r="Q148">
        <f ca="1">OFFSET(Sheet2!R$2,(ROW(Q149))*3,0)</f>
        <v>0</v>
      </c>
      <c r="R148">
        <f ca="1">OFFSET(Sheet2!S$2,(ROW(R149))*3,0)</f>
        <v>0</v>
      </c>
      <c r="S148">
        <f ca="1">OFFSET(Sheet2!T$2,(ROW(S149))*3,0)</f>
        <v>0</v>
      </c>
      <c r="T148">
        <f ca="1">OFFSET(Sheet2!U$2,(ROW(T149))*3,0)</f>
        <v>0</v>
      </c>
      <c r="U148">
        <f ca="1">OFFSET(Sheet2!V$2,(ROW(U149))*3,0)</f>
        <v>0</v>
      </c>
    </row>
    <row r="149" spans="1:21" x14ac:dyDescent="0.35">
      <c r="A149" s="11">
        <f ca="1">OFFSET(Sheet2!B$2,(ROW(A150))*3,0)</f>
        <v>43898</v>
      </c>
      <c r="B149" s="11">
        <f ca="1">OFFSET(Sheet2!A$2,(ROW(A150))*3,0)</f>
        <v>43898</v>
      </c>
      <c r="C149">
        <f ca="1">OFFSET(Sheet2!C$2,(ROW(C150))*3,0)</f>
        <v>24</v>
      </c>
      <c r="D149" t="str">
        <f ca="1">OFFSET(Sheet2!D$2,(ROW(D150))*3,0)</f>
        <v>North</v>
      </c>
      <c r="E149" t="str">
        <f ca="1">OFFSET(Sheet2!F$2,(ROW(E150))*3,0)</f>
        <v>Kuyiga Benard</v>
      </c>
      <c r="F149" t="str">
        <f ca="1">OFFSET(Sheet2!G$2,(ROW(F150))*3,0)</f>
        <v>H2Go</v>
      </c>
      <c r="G149">
        <f ca="1">OFFSET(Sheet2!H$2,(ROW(G150))*3,0)</f>
        <v>0</v>
      </c>
      <c r="H149" t="str">
        <f ca="1">OFFSET(Sheet2!I$2,(ROW(H150))*3,0)</f>
        <v>WEEKLY</v>
      </c>
      <c r="I149">
        <f ca="1">OFFSET(Sheet2!J$2,(ROW(I150))*3,0)</f>
        <v>202</v>
      </c>
      <c r="J149" t="str">
        <f ca="1">OFFSET(Sheet2!K$2,(ROW(J150))*3,0)</f>
        <v>Damage Observed</v>
      </c>
      <c r="K149" t="str">
        <f ca="1">OFFSET(Sheet2!L$2,(ROW(K150))*3,0)</f>
        <v>Dirty</v>
      </c>
      <c r="L149" t="str">
        <f ca="1">OFFSET(Sheet2!M$2,(ROW(L150))*3,0)</f>
        <v>Dirty</v>
      </c>
      <c r="M149" t="str">
        <f ca="1">OFFSET(Sheet2!N$2,(ROW(M150))*3,0)</f>
        <v>Good</v>
      </c>
      <c r="N149" t="str">
        <f ca="1">OFFSET(Sheet2!O$2,(ROW(N150))*3,0)</f>
        <v>Dirty</v>
      </c>
      <c r="O149" t="str">
        <f ca="1">OFFSET(Sheet2!P$2,(ROW(O150))*3,0)</f>
        <v>Good</v>
      </c>
      <c r="P149" t="str">
        <f ca="1">OFFSET(Sheet2!Q$2,(ROW(P150))*3,0)</f>
        <v>In good Condition</v>
      </c>
      <c r="Q149">
        <f ca="1">OFFSET(Sheet2!R$2,(ROW(Q150))*3,0)</f>
        <v>0</v>
      </c>
      <c r="R149">
        <f ca="1">OFFSET(Sheet2!S$2,(ROW(R150))*3,0)</f>
        <v>0</v>
      </c>
      <c r="S149">
        <f ca="1">OFFSET(Sheet2!T$2,(ROW(S150))*3,0)</f>
        <v>0</v>
      </c>
      <c r="T149">
        <f ca="1">OFFSET(Sheet2!U$2,(ROW(T150))*3,0)</f>
        <v>0</v>
      </c>
      <c r="U149">
        <f ca="1">OFFSET(Sheet2!V$2,(ROW(U150))*3,0)</f>
        <v>0</v>
      </c>
    </row>
    <row r="150" spans="1:21" x14ac:dyDescent="0.35">
      <c r="A150" s="11" t="str">
        <f ca="1">OFFSET(Sheet2!B$2,(ROW(A151))*3,0)</f>
        <v>24/1/2020</v>
      </c>
      <c r="B150" s="11">
        <f ca="1">OFFSET(Sheet2!A$2,(ROW(A151))*3,0)</f>
        <v>43854</v>
      </c>
      <c r="C150">
        <f ca="1">OFFSET(Sheet2!C$2,(ROW(C151))*3,0)</f>
        <v>26</v>
      </c>
      <c r="D150" t="str">
        <f ca="1">OFFSET(Sheet2!D$2,(ROW(D151))*3,0)</f>
        <v>North</v>
      </c>
      <c r="E150" t="str">
        <f ca="1">OFFSET(Sheet2!F$2,(ROW(E151))*3,0)</f>
        <v>Wetuma charles</v>
      </c>
      <c r="F150" t="str">
        <f ca="1">OFFSET(Sheet2!G$2,(ROW(F151))*3,0)</f>
        <v>H2Go</v>
      </c>
      <c r="G150">
        <f ca="1">OFFSET(Sheet2!H$2,(ROW(G151))*3,0)</f>
        <v>0</v>
      </c>
      <c r="H150" t="str">
        <f ca="1">OFFSET(Sheet2!I$2,(ROW(H151))*3,0)</f>
        <v>weekly</v>
      </c>
      <c r="I150">
        <f ca="1">OFFSET(Sheet2!J$2,(ROW(I151))*3,0)</f>
        <v>45</v>
      </c>
      <c r="J150" t="str">
        <f ca="1">OFFSET(Sheet2!K$2,(ROW(J151))*3,0)</f>
        <v>Damage Observed</v>
      </c>
      <c r="K150" t="str">
        <f ca="1">OFFSET(Sheet2!L$2,(ROW(K151))*3,0)</f>
        <v>Dirty</v>
      </c>
      <c r="L150" t="str">
        <f ca="1">OFFSET(Sheet2!M$2,(ROW(L151))*3,0)</f>
        <v>Has no problem</v>
      </c>
      <c r="M150" t="str">
        <f ca="1">OFFSET(Sheet2!N$2,(ROW(M151))*3,0)</f>
        <v>Clear</v>
      </c>
      <c r="N150" t="str">
        <f ca="1">OFFSET(Sheet2!O$2,(ROW(N151))*3,0)</f>
        <v>clear</v>
      </c>
      <c r="O150" t="str">
        <f ca="1">OFFSET(Sheet2!P$2,(ROW(O151))*3,0)</f>
        <v>Has no problem</v>
      </c>
      <c r="P150" t="str">
        <f ca="1">OFFSET(Sheet2!Q$2,(ROW(P151))*3,0)</f>
        <v>Damaged</v>
      </c>
      <c r="Q150">
        <f ca="1">OFFSET(Sheet2!R$2,(ROW(Q151))*3,0)</f>
        <v>0</v>
      </c>
      <c r="R150">
        <f ca="1">OFFSET(Sheet2!S$2,(ROW(R151))*3,0)</f>
        <v>0</v>
      </c>
      <c r="S150">
        <f ca="1">OFFSET(Sheet2!T$2,(ROW(S151))*3,0)</f>
        <v>0</v>
      </c>
      <c r="T150">
        <f ca="1">OFFSET(Sheet2!U$2,(ROW(T151))*3,0)</f>
        <v>0</v>
      </c>
      <c r="U150">
        <f ca="1">OFFSET(Sheet2!V$2,(ROW(U151))*3,0)</f>
        <v>0</v>
      </c>
    </row>
    <row r="151" spans="1:21" x14ac:dyDescent="0.35">
      <c r="A151" s="11" t="str">
        <f ca="1">OFFSET(Sheet2!B$2,(ROW(A152))*3,0)</f>
        <v>31/1/2020</v>
      </c>
      <c r="B151" s="11">
        <f ca="1">OFFSET(Sheet2!A$2,(ROW(A152))*3,0)</f>
        <v>43861</v>
      </c>
      <c r="C151">
        <f ca="1">OFFSET(Sheet2!C$2,(ROW(C152))*3,0)</f>
        <v>26</v>
      </c>
      <c r="D151" t="str">
        <f ca="1">OFFSET(Sheet2!D$2,(ROW(D152))*3,0)</f>
        <v>North</v>
      </c>
      <c r="E151" t="str">
        <f ca="1">OFFSET(Sheet2!F$2,(ROW(E152))*3,0)</f>
        <v>Wetuma charles</v>
      </c>
      <c r="F151" t="str">
        <f ca="1">OFFSET(Sheet2!G$2,(ROW(F152))*3,0)</f>
        <v>H2Go</v>
      </c>
      <c r="G151">
        <f ca="1">OFFSET(Sheet2!H$2,(ROW(G152))*3,0)</f>
        <v>0</v>
      </c>
      <c r="H151" t="str">
        <f ca="1">OFFSET(Sheet2!I$2,(ROW(H152))*3,0)</f>
        <v>weekly</v>
      </c>
      <c r="I151">
        <f ca="1">OFFSET(Sheet2!J$2,(ROW(I152))*3,0)</f>
        <v>58</v>
      </c>
      <c r="J151" t="str">
        <f ca="1">OFFSET(Sheet2!K$2,(ROW(J152))*3,0)</f>
        <v>Damage Observed</v>
      </c>
      <c r="K151" t="str">
        <f ca="1">OFFSET(Sheet2!L$2,(ROW(K152))*3,0)</f>
        <v>Okay</v>
      </c>
      <c r="L151" t="str">
        <f ca="1">OFFSET(Sheet2!M$2,(ROW(L152))*3,0)</f>
        <v>Still functioning well</v>
      </c>
      <c r="M151" t="str">
        <f ca="1">OFFSET(Sheet2!N$2,(ROW(M152))*3,0)</f>
        <v>Well set</v>
      </c>
      <c r="N151" t="str">
        <f ca="1">OFFSET(Sheet2!O$2,(ROW(N152))*3,0)</f>
        <v xml:space="preserve">Dusty </v>
      </c>
      <c r="O151" t="str">
        <f ca="1">OFFSET(Sheet2!P$2,(ROW(O152))*3,0)</f>
        <v>Still working well</v>
      </c>
      <c r="P151" t="str">
        <f ca="1">OFFSET(Sheet2!Q$2,(ROW(P152))*3,0)</f>
        <v>Still good</v>
      </c>
      <c r="Q151" t="str">
        <f ca="1">OFFSET(Sheet2!R$2,(ROW(Q152))*3,0)</f>
        <v>Still functioning well</v>
      </c>
      <c r="R151" t="str">
        <f ca="1">OFFSET(Sheet2!S$2,(ROW(R152))*3,0)</f>
        <v xml:space="preserve">Still good </v>
      </c>
      <c r="S151" t="str">
        <f ca="1">OFFSET(Sheet2!T$2,(ROW(S152))*3,0)</f>
        <v>Good conditions</v>
      </c>
      <c r="T151">
        <f ca="1">OFFSET(Sheet2!U$2,(ROW(T152))*3,0)</f>
        <v>0</v>
      </c>
      <c r="U151">
        <f ca="1">OFFSET(Sheet2!V$2,(ROW(U152))*3,0)</f>
        <v>0</v>
      </c>
    </row>
    <row r="152" spans="1:21" x14ac:dyDescent="0.35">
      <c r="A152" s="11">
        <f ca="1">OFFSET(Sheet2!B$2,(ROW(A153))*3,0)</f>
        <v>43868</v>
      </c>
      <c r="B152" s="11">
        <f ca="1">OFFSET(Sheet2!A$2,(ROW(A153))*3,0)</f>
        <v>43868</v>
      </c>
      <c r="C152">
        <f ca="1">OFFSET(Sheet2!C$2,(ROW(C153))*3,0)</f>
        <v>26</v>
      </c>
      <c r="D152" t="str">
        <f ca="1">OFFSET(Sheet2!D$2,(ROW(D153))*3,0)</f>
        <v>North</v>
      </c>
      <c r="E152" t="str">
        <f ca="1">OFFSET(Sheet2!F$2,(ROW(E153))*3,0)</f>
        <v>wetuma charlse</v>
      </c>
      <c r="F152" t="str">
        <f ca="1">OFFSET(Sheet2!G$2,(ROW(F153))*3,0)</f>
        <v>H2GO</v>
      </c>
      <c r="G152">
        <f ca="1">OFFSET(Sheet2!H$2,(ROW(G153))*3,0)</f>
        <v>0</v>
      </c>
      <c r="H152" t="str">
        <f ca="1">OFFSET(Sheet2!I$2,(ROW(H153))*3,0)</f>
        <v>WEEKLY</v>
      </c>
      <c r="I152">
        <f ca="1">OFFSET(Sheet2!J$2,(ROW(I153))*3,0)</f>
        <v>285</v>
      </c>
      <c r="J152" t="str">
        <f ca="1">OFFSET(Sheet2!K$2,(ROW(J153))*3,0)</f>
        <v>Damage Observed</v>
      </c>
      <c r="K152" t="str">
        <f ca="1">OFFSET(Sheet2!L$2,(ROW(K153))*3,0)</f>
        <v>Oil has dust</v>
      </c>
      <c r="L152" t="str">
        <f ca="1">OFFSET(Sheet2!M$2,(ROW(L153))*3,0)</f>
        <v>It is normal</v>
      </c>
      <c r="M152" t="str">
        <f ca="1">OFFSET(Sheet2!N$2,(ROW(M153))*3,0)</f>
        <v>Normal</v>
      </c>
      <c r="N152" t="str">
        <f ca="1">OFFSET(Sheet2!O$2,(ROW(N153))*3,0)</f>
        <v>It has dust</v>
      </c>
      <c r="O152" t="str">
        <f ca="1">OFFSET(Sheet2!P$2,(ROW(O153))*3,0)</f>
        <v>It is okay</v>
      </c>
      <c r="P152" t="str">
        <f ca="1">OFFSET(Sheet2!Q$2,(ROW(P153))*3,0)</f>
        <v>They are good</v>
      </c>
      <c r="Q152" t="str">
        <f ca="1">OFFSET(Sheet2!R$2,(ROW(Q153))*3,0)</f>
        <v>Functioning well</v>
      </c>
      <c r="R152" t="str">
        <f ca="1">OFFSET(Sheet2!S$2,(ROW(R153))*3,0)</f>
        <v>Still opperating well</v>
      </c>
      <c r="S152" t="str">
        <f ca="1">OFFSET(Sheet2!T$2,(ROW(S153))*3,0)</f>
        <v>Still functioning well</v>
      </c>
      <c r="T152">
        <f ca="1">OFFSET(Sheet2!U$2,(ROW(T153))*3,0)</f>
        <v>0</v>
      </c>
      <c r="U152">
        <f ca="1">OFFSET(Sheet2!V$2,(ROW(U153))*3,0)</f>
        <v>0</v>
      </c>
    </row>
    <row r="153" spans="1:21" x14ac:dyDescent="0.35">
      <c r="A153" s="11">
        <f ca="1">OFFSET(Sheet2!B$2,(ROW(A154))*3,0)</f>
        <v>43876</v>
      </c>
      <c r="B153" s="11">
        <f ca="1">OFFSET(Sheet2!A$2,(ROW(A154))*3,0)</f>
        <v>43876</v>
      </c>
      <c r="C153">
        <f ca="1">OFFSET(Sheet2!C$2,(ROW(C154))*3,0)</f>
        <v>26</v>
      </c>
      <c r="D153" t="str">
        <f ca="1">OFFSET(Sheet2!D$2,(ROW(D154))*3,0)</f>
        <v>North</v>
      </c>
      <c r="E153" t="str">
        <f ca="1">OFFSET(Sheet2!F$2,(ROW(E154))*3,0)</f>
        <v>WETUMA CHARLES</v>
      </c>
      <c r="F153" t="str">
        <f ca="1">OFFSET(Sheet2!G$2,(ROW(F154))*3,0)</f>
        <v>H2Go</v>
      </c>
      <c r="G153">
        <f ca="1">OFFSET(Sheet2!H$2,(ROW(G154))*3,0)</f>
        <v>0</v>
      </c>
      <c r="H153" t="str">
        <f ca="1">OFFSET(Sheet2!I$2,(ROW(H154))*3,0)</f>
        <v>WEEKLY</v>
      </c>
      <c r="I153">
        <f ca="1">OFFSET(Sheet2!J$2,(ROW(I154))*3,0)</f>
        <v>295</v>
      </c>
      <c r="J153" t="str">
        <f ca="1">OFFSET(Sheet2!K$2,(ROW(J154))*3,0)</f>
        <v>Damage Observed</v>
      </c>
      <c r="K153" t="str">
        <f ca="1">OFFSET(Sheet2!L$2,(ROW(K154))*3,0)</f>
        <v>Dirty</v>
      </c>
      <c r="L153" t="str">
        <f ca="1">OFFSET(Sheet2!M$2,(ROW(L154))*3,0)</f>
        <v>Okay</v>
      </c>
      <c r="M153" t="str">
        <f ca="1">OFFSET(Sheet2!N$2,(ROW(M154))*3,0)</f>
        <v>Good</v>
      </c>
      <c r="N153" t="str">
        <f ca="1">OFFSET(Sheet2!O$2,(ROW(N154))*3,0)</f>
        <v>Okay</v>
      </c>
      <c r="O153" t="str">
        <f ca="1">OFFSET(Sheet2!P$2,(ROW(O154))*3,0)</f>
        <v>Good</v>
      </c>
      <c r="P153" t="str">
        <f ca="1">OFFSET(Sheet2!Q$2,(ROW(P154))*3,0)</f>
        <v>Nut and washer showing wear</v>
      </c>
      <c r="Q153">
        <f ca="1">OFFSET(Sheet2!R$2,(ROW(Q154))*3,0)</f>
        <v>0</v>
      </c>
      <c r="R153">
        <f ca="1">OFFSET(Sheet2!S$2,(ROW(R154))*3,0)</f>
        <v>0</v>
      </c>
      <c r="S153">
        <f ca="1">OFFSET(Sheet2!T$2,(ROW(S154))*3,0)</f>
        <v>0</v>
      </c>
      <c r="T153">
        <f ca="1">OFFSET(Sheet2!U$2,(ROW(T154))*3,0)</f>
        <v>0</v>
      </c>
      <c r="U153">
        <f ca="1">OFFSET(Sheet2!V$2,(ROW(U154))*3,0)</f>
        <v>0</v>
      </c>
    </row>
    <row r="154" spans="1:21" x14ac:dyDescent="0.35">
      <c r="A154" s="11">
        <f ca="1">OFFSET(Sheet2!B$2,(ROW(A155))*3,0)</f>
        <v>43883</v>
      </c>
      <c r="B154" s="11">
        <f ca="1">OFFSET(Sheet2!A$2,(ROW(A155))*3,0)</f>
        <v>43883</v>
      </c>
      <c r="C154">
        <f ca="1">OFFSET(Sheet2!C$2,(ROW(C155))*3,0)</f>
        <v>26</v>
      </c>
      <c r="D154" t="str">
        <f ca="1">OFFSET(Sheet2!D$2,(ROW(D155))*3,0)</f>
        <v>North</v>
      </c>
      <c r="E154" t="str">
        <f ca="1">OFFSET(Sheet2!F$2,(ROW(E155))*3,0)</f>
        <v>Wetuma charles</v>
      </c>
      <c r="F154" t="str">
        <f ca="1">OFFSET(Sheet2!G$2,(ROW(F155))*3,0)</f>
        <v>H2Go</v>
      </c>
      <c r="G154">
        <f ca="1">OFFSET(Sheet2!H$2,(ROW(G155))*3,0)</f>
        <v>0</v>
      </c>
      <c r="H154" t="str">
        <f ca="1">OFFSET(Sheet2!I$2,(ROW(H155))*3,0)</f>
        <v>WEEKLY</v>
      </c>
      <c r="I154">
        <f ca="1">OFFSET(Sheet2!J$2,(ROW(I155))*3,0)</f>
        <v>221</v>
      </c>
      <c r="J154" t="str">
        <f ca="1">OFFSET(Sheet2!K$2,(ROW(J155))*3,0)</f>
        <v>Damage Observed</v>
      </c>
      <c r="K154" t="str">
        <f ca="1">OFFSET(Sheet2!L$2,(ROW(K155))*3,0)</f>
        <v>Okay</v>
      </c>
      <c r="L154" t="str">
        <f ca="1">OFFSET(Sheet2!M$2,(ROW(L155))*3,0)</f>
        <v>Very Dirty</v>
      </c>
      <c r="M154" t="str">
        <f ca="1">OFFSET(Sheet2!N$2,(ROW(M155))*3,0)</f>
        <v>Good</v>
      </c>
      <c r="N154" t="str">
        <f ca="1">OFFSET(Sheet2!O$2,(ROW(N155))*3,0)</f>
        <v>Dirty</v>
      </c>
      <c r="O154" t="str">
        <f ca="1">OFFSET(Sheet2!P$2,(ROW(O155))*3,0)</f>
        <v>Good</v>
      </c>
      <c r="P154" t="str">
        <f ca="1">OFFSET(Sheet2!Q$2,(ROW(P155))*3,0)</f>
        <v>In good Condition</v>
      </c>
      <c r="Q154">
        <f ca="1">OFFSET(Sheet2!R$2,(ROW(Q155))*3,0)</f>
        <v>0</v>
      </c>
      <c r="R154">
        <f ca="1">OFFSET(Sheet2!S$2,(ROW(R155))*3,0)</f>
        <v>0</v>
      </c>
      <c r="S154">
        <f ca="1">OFFSET(Sheet2!T$2,(ROW(S155))*3,0)</f>
        <v>0</v>
      </c>
      <c r="T154">
        <f ca="1">OFFSET(Sheet2!U$2,(ROW(T155))*3,0)</f>
        <v>0</v>
      </c>
      <c r="U154">
        <f ca="1">OFFSET(Sheet2!V$2,(ROW(U155))*3,0)</f>
        <v>0</v>
      </c>
    </row>
    <row r="155" spans="1:21" x14ac:dyDescent="0.35">
      <c r="A155" s="11">
        <f ca="1">OFFSET(Sheet2!B$2,(ROW(A156))*3,0)</f>
        <v>43892</v>
      </c>
      <c r="B155" s="11">
        <f ca="1">OFFSET(Sheet2!A$2,(ROW(A156))*3,0)</f>
        <v>43892</v>
      </c>
      <c r="C155">
        <f ca="1">OFFSET(Sheet2!C$2,(ROW(C156))*3,0)</f>
        <v>26</v>
      </c>
      <c r="D155" t="str">
        <f ca="1">OFFSET(Sheet2!D$2,(ROW(D156))*3,0)</f>
        <v>North</v>
      </c>
      <c r="E155" t="str">
        <f ca="1">OFFSET(Sheet2!F$2,(ROW(E156))*3,0)</f>
        <v>Wetuma charles</v>
      </c>
      <c r="F155" t="str">
        <f ca="1">OFFSET(Sheet2!G$2,(ROW(F156))*3,0)</f>
        <v>H2Go</v>
      </c>
      <c r="G155">
        <f ca="1">OFFSET(Sheet2!H$2,(ROW(G156))*3,0)</f>
        <v>0</v>
      </c>
      <c r="H155" t="str">
        <f ca="1">OFFSET(Sheet2!I$2,(ROW(H156))*3,0)</f>
        <v>WEEKLY</v>
      </c>
      <c r="I155">
        <f ca="1">OFFSET(Sheet2!J$2,(ROW(I156))*3,0)</f>
        <v>203</v>
      </c>
      <c r="J155" t="str">
        <f ca="1">OFFSET(Sheet2!K$2,(ROW(J156))*3,0)</f>
        <v>Damage Observed</v>
      </c>
      <c r="K155" t="str">
        <f ca="1">OFFSET(Sheet2!L$2,(ROW(K156))*3,0)</f>
        <v>Dirty</v>
      </c>
      <c r="L155" t="str">
        <f ca="1">OFFSET(Sheet2!M$2,(ROW(L156))*3,0)</f>
        <v>Okay</v>
      </c>
      <c r="M155" t="str">
        <f ca="1">OFFSET(Sheet2!N$2,(ROW(M156))*3,0)</f>
        <v>Good</v>
      </c>
      <c r="N155" t="str">
        <f ca="1">OFFSET(Sheet2!O$2,(ROW(N156))*3,0)</f>
        <v>Okay</v>
      </c>
      <c r="O155" t="str">
        <f ca="1">OFFSET(Sheet2!P$2,(ROW(O156))*3,0)</f>
        <v>Good</v>
      </c>
      <c r="P155" t="str">
        <f ca="1">OFFSET(Sheet2!Q$2,(ROW(P156))*3,0)</f>
        <v>In good Condition</v>
      </c>
      <c r="Q155">
        <f ca="1">OFFSET(Sheet2!R$2,(ROW(Q156))*3,0)</f>
        <v>0</v>
      </c>
      <c r="R155">
        <f ca="1">OFFSET(Sheet2!S$2,(ROW(R156))*3,0)</f>
        <v>0</v>
      </c>
      <c r="S155">
        <f ca="1">OFFSET(Sheet2!T$2,(ROW(S156))*3,0)</f>
        <v>0</v>
      </c>
      <c r="T155">
        <f ca="1">OFFSET(Sheet2!U$2,(ROW(T156))*3,0)</f>
        <v>0</v>
      </c>
      <c r="U155">
        <f ca="1">OFFSET(Sheet2!V$2,(ROW(U156))*3,0)</f>
        <v>0</v>
      </c>
    </row>
    <row r="156" spans="1:21" x14ac:dyDescent="0.35">
      <c r="A156" s="11" t="str">
        <f ca="1">OFFSET(Sheet2!B$2,(ROW(A157))*3,0)</f>
        <v>17/1/2020</v>
      </c>
      <c r="B156" s="11">
        <f ca="1">OFFSET(Sheet2!A$2,(ROW(A157))*3,0)</f>
        <v>43847</v>
      </c>
      <c r="C156">
        <f ca="1">OFFSET(Sheet2!C$2,(ROW(C157))*3,0)</f>
        <v>27</v>
      </c>
      <c r="D156" t="str">
        <f ca="1">OFFSET(Sheet2!D$2,(ROW(D157))*3,0)</f>
        <v>North</v>
      </c>
      <c r="E156" t="str">
        <f ca="1">OFFSET(Sheet2!F$2,(ROW(E157))*3,0)</f>
        <v>Womaungo Justine</v>
      </c>
      <c r="F156" t="str">
        <f ca="1">OFFSET(Sheet2!G$2,(ROW(F157))*3,0)</f>
        <v>H2Go</v>
      </c>
      <c r="G156">
        <f ca="1">OFFSET(Sheet2!H$2,(ROW(G157))*3,0)</f>
        <v>0</v>
      </c>
      <c r="H156" t="str">
        <f ca="1">OFFSET(Sheet2!I$2,(ROW(H157))*3,0)</f>
        <v>weekly</v>
      </c>
      <c r="I156">
        <f ca="1">OFFSET(Sheet2!J$2,(ROW(I157))*3,0)</f>
        <v>24</v>
      </c>
      <c r="J156" t="str">
        <f ca="1">OFFSET(Sheet2!K$2,(ROW(J157))*3,0)</f>
        <v>Damage Observed</v>
      </c>
      <c r="K156" t="str">
        <f ca="1">OFFSET(Sheet2!L$2,(ROW(K157))*3,0)</f>
        <v>Dirty</v>
      </c>
      <c r="L156" t="str">
        <f ca="1">OFFSET(Sheet2!M$2,(ROW(L157))*3,0)</f>
        <v>Dirty</v>
      </c>
      <c r="M156" t="str">
        <f ca="1">OFFSET(Sheet2!N$2,(ROW(M157))*3,0)</f>
        <v>Well set no damage</v>
      </c>
      <c r="N156" t="str">
        <f ca="1">OFFSET(Sheet2!O$2,(ROW(N157))*3,0)</f>
        <v>Very dusty but still okay</v>
      </c>
      <c r="O156" t="str">
        <f ca="1">OFFSET(Sheet2!P$2,(ROW(O157))*3,0)</f>
        <v>Has no defect</v>
      </c>
      <c r="P156" t="str">
        <f ca="1">OFFSET(Sheet2!Q$2,(ROW(P157))*3,0)</f>
        <v>Nut worn out/eaten up</v>
      </c>
      <c r="Q156">
        <f ca="1">OFFSET(Sheet2!R$2,(ROW(Q157))*3,0)</f>
        <v>0</v>
      </c>
      <c r="R156">
        <f ca="1">OFFSET(Sheet2!S$2,(ROW(R157))*3,0)</f>
        <v>0</v>
      </c>
      <c r="S156">
        <f ca="1">OFFSET(Sheet2!T$2,(ROW(S157))*3,0)</f>
        <v>0</v>
      </c>
      <c r="T156">
        <f ca="1">OFFSET(Sheet2!U$2,(ROW(T157))*3,0)</f>
        <v>0</v>
      </c>
      <c r="U156">
        <f ca="1">OFFSET(Sheet2!V$2,(ROW(U157))*3,0)</f>
        <v>0</v>
      </c>
    </row>
    <row r="157" spans="1:21" x14ac:dyDescent="0.35">
      <c r="A157" s="11" t="str">
        <f ca="1">OFFSET(Sheet2!B$2,(ROW(A158))*3,0)</f>
        <v>24/1/12020</v>
      </c>
      <c r="B157" s="11">
        <f ca="1">OFFSET(Sheet2!A$2,(ROW(A158))*3,0)</f>
        <v>43854</v>
      </c>
      <c r="C157">
        <f ca="1">OFFSET(Sheet2!C$2,(ROW(C158))*3,0)</f>
        <v>27</v>
      </c>
      <c r="D157" t="str">
        <f ca="1">OFFSET(Sheet2!D$2,(ROW(D158))*3,0)</f>
        <v>North</v>
      </c>
      <c r="E157" t="str">
        <f ca="1">OFFSET(Sheet2!F$2,(ROW(E158))*3,0)</f>
        <v>Womaungo Justine</v>
      </c>
      <c r="F157" t="str">
        <f ca="1">OFFSET(Sheet2!G$2,(ROW(F158))*3,0)</f>
        <v>H2Go</v>
      </c>
      <c r="G157">
        <f ca="1">OFFSET(Sheet2!H$2,(ROW(G158))*3,0)</f>
        <v>0</v>
      </c>
      <c r="H157" t="str">
        <f ca="1">OFFSET(Sheet2!I$2,(ROW(H158))*3,0)</f>
        <v>weekly</v>
      </c>
      <c r="I157">
        <f ca="1">OFFSET(Sheet2!J$2,(ROW(I158))*3,0)</f>
        <v>13</v>
      </c>
      <c r="J157" t="str">
        <f ca="1">OFFSET(Sheet2!K$2,(ROW(J158))*3,0)</f>
        <v>Damage Observed</v>
      </c>
      <c r="K157" t="str">
        <f ca="1">OFFSET(Sheet2!L$2,(ROW(K158))*3,0)</f>
        <v>Dirty</v>
      </c>
      <c r="L157" t="str">
        <f ca="1">OFFSET(Sheet2!M$2,(ROW(L158))*3,0)</f>
        <v>Still good</v>
      </c>
      <c r="M157" t="str">
        <f ca="1">OFFSET(Sheet2!N$2,(ROW(M158))*3,0)</f>
        <v>clear</v>
      </c>
      <c r="N157" t="str">
        <f ca="1">OFFSET(Sheet2!O$2,(ROW(N158))*3,0)</f>
        <v>okay</v>
      </c>
      <c r="O157" t="str">
        <f ca="1">OFFSET(Sheet2!P$2,(ROW(O158))*3,0)</f>
        <v>Good conditions</v>
      </c>
      <c r="P157" t="str">
        <f ca="1">OFFSET(Sheet2!Q$2,(ROW(P158))*3,0)</f>
        <v>well functioning</v>
      </c>
      <c r="Q157">
        <f ca="1">OFFSET(Sheet2!R$2,(ROW(Q158))*3,0)</f>
        <v>0</v>
      </c>
      <c r="R157">
        <f ca="1">OFFSET(Sheet2!S$2,(ROW(R158))*3,0)</f>
        <v>0</v>
      </c>
      <c r="S157">
        <f ca="1">OFFSET(Sheet2!T$2,(ROW(S158))*3,0)</f>
        <v>0</v>
      </c>
      <c r="T157">
        <f ca="1">OFFSET(Sheet2!U$2,(ROW(T158))*3,0)</f>
        <v>0</v>
      </c>
      <c r="U157">
        <f ca="1">OFFSET(Sheet2!V$2,(ROW(U158))*3,0)</f>
        <v>0</v>
      </c>
    </row>
    <row r="158" spans="1:21" x14ac:dyDescent="0.35">
      <c r="A158" s="11" t="str">
        <f ca="1">OFFSET(Sheet2!B$2,(ROW(A159))*3,0)</f>
        <v>31/1/2020</v>
      </c>
      <c r="B158" s="11">
        <f ca="1">OFFSET(Sheet2!A$2,(ROW(A159))*3,0)</f>
        <v>43861</v>
      </c>
      <c r="C158">
        <f ca="1">OFFSET(Sheet2!C$2,(ROW(C159))*3,0)</f>
        <v>27</v>
      </c>
      <c r="D158" t="str">
        <f ca="1">OFFSET(Sheet2!D$2,(ROW(D159))*3,0)</f>
        <v>North</v>
      </c>
      <c r="E158" t="str">
        <f ca="1">OFFSET(Sheet2!F$2,(ROW(E159))*3,0)</f>
        <v>Womaungo Justine</v>
      </c>
      <c r="F158" t="str">
        <f ca="1">OFFSET(Sheet2!G$2,(ROW(F159))*3,0)</f>
        <v>H2Go</v>
      </c>
      <c r="G158">
        <f ca="1">OFFSET(Sheet2!H$2,(ROW(G159))*3,0)</f>
        <v>0</v>
      </c>
      <c r="H158" t="str">
        <f ca="1">OFFSET(Sheet2!I$2,(ROW(H159))*3,0)</f>
        <v>weekly</v>
      </c>
      <c r="I158">
        <f ca="1">OFFSET(Sheet2!J$2,(ROW(I159))*3,0)</f>
        <v>56</v>
      </c>
      <c r="J158" t="str">
        <f ca="1">OFFSET(Sheet2!K$2,(ROW(J159))*3,0)</f>
        <v>Damage Observed</v>
      </c>
      <c r="K158" t="str">
        <f ca="1">OFFSET(Sheet2!L$2,(ROW(K159))*3,0)</f>
        <v>Okay</v>
      </c>
      <c r="L158" t="str">
        <f ca="1">OFFSET(Sheet2!M$2,(ROW(L159))*3,0)</f>
        <v>Still okay</v>
      </c>
      <c r="M158" t="str">
        <f ca="1">OFFSET(Sheet2!N$2,(ROW(M159))*3,0)</f>
        <v>Good conditions</v>
      </c>
      <c r="N158" t="str">
        <f ca="1">OFFSET(Sheet2!O$2,(ROW(N159))*3,0)</f>
        <v>Still working well</v>
      </c>
      <c r="O158" t="str">
        <f ca="1">OFFSET(Sheet2!P$2,(ROW(O159))*3,0)</f>
        <v>Functins normally</v>
      </c>
      <c r="P158" t="str">
        <f ca="1">OFFSET(Sheet2!Q$2,(ROW(P159))*3,0)</f>
        <v>Functioning well</v>
      </c>
      <c r="Q158" t="str">
        <f ca="1">OFFSET(Sheet2!R$2,(ROW(Q159))*3,0)</f>
        <v>Still functioning well</v>
      </c>
      <c r="R158" t="str">
        <f ca="1">OFFSET(Sheet2!S$2,(ROW(R159))*3,0)</f>
        <v>Normal</v>
      </c>
      <c r="S158" t="str">
        <f ca="1">OFFSET(Sheet2!T$2,(ROW(S159))*3,0)</f>
        <v>functioning well</v>
      </c>
      <c r="T158">
        <f ca="1">OFFSET(Sheet2!U$2,(ROW(T159))*3,0)</f>
        <v>0</v>
      </c>
      <c r="U158">
        <f ca="1">OFFSET(Sheet2!V$2,(ROW(U159))*3,0)</f>
        <v>0</v>
      </c>
    </row>
    <row r="159" spans="1:21" x14ac:dyDescent="0.35">
      <c r="A159" s="11">
        <f ca="1">OFFSET(Sheet2!B$2,(ROW(A160))*3,0)</f>
        <v>43868</v>
      </c>
      <c r="B159" s="11">
        <f ca="1">OFFSET(Sheet2!A$2,(ROW(A160))*3,0)</f>
        <v>43868</v>
      </c>
      <c r="C159">
        <f ca="1">OFFSET(Sheet2!C$2,(ROW(C160))*3,0)</f>
        <v>27</v>
      </c>
      <c r="D159" t="str">
        <f ca="1">OFFSET(Sheet2!D$2,(ROW(D160))*3,0)</f>
        <v>North</v>
      </c>
      <c r="E159" t="str">
        <f ca="1">OFFSET(Sheet2!F$2,(ROW(E160))*3,0)</f>
        <v>WOMAUNGO JUSTINE</v>
      </c>
      <c r="F159" t="str">
        <f ca="1">OFFSET(Sheet2!G$2,(ROW(F160))*3,0)</f>
        <v>H2Go</v>
      </c>
      <c r="G159">
        <f ca="1">OFFSET(Sheet2!H$2,(ROW(G160))*3,0)</f>
        <v>0</v>
      </c>
      <c r="H159" t="str">
        <f ca="1">OFFSET(Sheet2!I$2,(ROW(H160))*3,0)</f>
        <v>WEEKLY</v>
      </c>
      <c r="I159">
        <f ca="1">OFFSET(Sheet2!J$2,(ROW(I160))*3,0)</f>
        <v>288</v>
      </c>
      <c r="J159" t="str">
        <f ca="1">OFFSET(Sheet2!K$2,(ROW(J160))*3,0)</f>
        <v>Damage Observed</v>
      </c>
      <c r="K159" t="str">
        <f ca="1">OFFSET(Sheet2!L$2,(ROW(K160))*3,0)</f>
        <v>It has come down to a level of being a litre and it has some particles</v>
      </c>
      <c r="L159" t="str">
        <f ca="1">OFFSET(Sheet2!M$2,(ROW(L160))*3,0)</f>
        <v>It works properly</v>
      </c>
      <c r="M159" t="str">
        <f ca="1">OFFSET(Sheet2!N$2,(ROW(M160))*3,0)</f>
        <v>It is good</v>
      </c>
      <c r="N159" t="str">
        <f ca="1">OFFSET(Sheet2!O$2,(ROW(N160))*3,0)</f>
        <v>It is dirty</v>
      </c>
      <c r="O159" t="str">
        <f ca="1">OFFSET(Sheet2!P$2,(ROW(O160))*3,0)</f>
        <v>It is still working</v>
      </c>
      <c r="P159" t="str">
        <f ca="1">OFFSET(Sheet2!Q$2,(ROW(P160))*3,0)</f>
        <v>It is still good</v>
      </c>
      <c r="Q159">
        <f ca="1">OFFSET(Sheet2!R$2,(ROW(Q160))*3,0)</f>
        <v>0</v>
      </c>
      <c r="R159">
        <f ca="1">OFFSET(Sheet2!S$2,(ROW(R160))*3,0)</f>
        <v>0</v>
      </c>
      <c r="S159">
        <f ca="1">OFFSET(Sheet2!T$2,(ROW(S160))*3,0)</f>
        <v>0</v>
      </c>
      <c r="T159">
        <f ca="1">OFFSET(Sheet2!U$2,(ROW(T160))*3,0)</f>
        <v>0</v>
      </c>
      <c r="U159">
        <f ca="1">OFFSET(Sheet2!V$2,(ROW(U160))*3,0)</f>
        <v>0</v>
      </c>
    </row>
    <row r="160" spans="1:21" x14ac:dyDescent="0.35">
      <c r="A160" s="11">
        <f ca="1">OFFSET(Sheet2!B$2,(ROW(A161))*3,0)</f>
        <v>43875</v>
      </c>
      <c r="B160" s="11">
        <f ca="1">OFFSET(Sheet2!A$2,(ROW(A161))*3,0)</f>
        <v>43875</v>
      </c>
      <c r="C160">
        <f ca="1">OFFSET(Sheet2!C$2,(ROW(C161))*3,0)</f>
        <v>27</v>
      </c>
      <c r="D160" t="str">
        <f ca="1">OFFSET(Sheet2!D$2,(ROW(D161))*3,0)</f>
        <v>North</v>
      </c>
      <c r="E160" t="str">
        <f ca="1">OFFSET(Sheet2!F$2,(ROW(E161))*3,0)</f>
        <v>womaungo justine</v>
      </c>
      <c r="F160" t="str">
        <f ca="1">OFFSET(Sheet2!G$2,(ROW(F161))*3,0)</f>
        <v>H2Go</v>
      </c>
      <c r="G160">
        <f ca="1">OFFSET(Sheet2!H$2,(ROW(G161))*3,0)</f>
        <v>0</v>
      </c>
      <c r="H160" t="str">
        <f ca="1">OFFSET(Sheet2!I$2,(ROW(H161))*3,0)</f>
        <v>WEEKLY</v>
      </c>
      <c r="I160">
        <f ca="1">OFFSET(Sheet2!J$2,(ROW(I161))*3,0)</f>
        <v>295</v>
      </c>
      <c r="J160" t="str">
        <f ca="1">OFFSET(Sheet2!K$2,(ROW(J161))*3,0)</f>
        <v>Damage Observed</v>
      </c>
      <c r="K160" t="str">
        <f ca="1">OFFSET(Sheet2!L$2,(ROW(K161))*3,0)</f>
        <v>Very Dirty</v>
      </c>
      <c r="L160" t="str">
        <f ca="1">OFFSET(Sheet2!M$2,(ROW(L161))*3,0)</f>
        <v>Okay</v>
      </c>
      <c r="M160" t="str">
        <f ca="1">OFFSET(Sheet2!N$2,(ROW(M161))*3,0)</f>
        <v>Good</v>
      </c>
      <c r="N160" t="str">
        <f ca="1">OFFSET(Sheet2!O$2,(ROW(N161))*3,0)</f>
        <v>Okay</v>
      </c>
      <c r="O160" t="str">
        <f ca="1">OFFSET(Sheet2!P$2,(ROW(O161))*3,0)</f>
        <v>Good</v>
      </c>
      <c r="P160" t="str">
        <f ca="1">OFFSET(Sheet2!Q$2,(ROW(P161))*3,0)</f>
        <v>Nut and washer showing wear</v>
      </c>
      <c r="Q160">
        <f ca="1">OFFSET(Sheet2!R$2,(ROW(Q161))*3,0)</f>
        <v>0</v>
      </c>
      <c r="R160">
        <f ca="1">OFFSET(Sheet2!S$2,(ROW(R161))*3,0)</f>
        <v>0</v>
      </c>
      <c r="S160">
        <f ca="1">OFFSET(Sheet2!T$2,(ROW(S161))*3,0)</f>
        <v>0</v>
      </c>
      <c r="T160">
        <f ca="1">OFFSET(Sheet2!U$2,(ROW(T161))*3,0)</f>
        <v>0</v>
      </c>
      <c r="U160">
        <f ca="1">OFFSET(Sheet2!V$2,(ROW(U161))*3,0)</f>
        <v>0</v>
      </c>
    </row>
    <row r="161" spans="1:21" x14ac:dyDescent="0.35">
      <c r="A161" s="11">
        <f ca="1">OFFSET(Sheet2!B$2,(ROW(A162))*3,0)</f>
        <v>43884</v>
      </c>
      <c r="B161" s="11">
        <f ca="1">OFFSET(Sheet2!A$2,(ROW(A162))*3,0)</f>
        <v>43884</v>
      </c>
      <c r="C161">
        <f ca="1">OFFSET(Sheet2!C$2,(ROW(C162))*3,0)</f>
        <v>27</v>
      </c>
      <c r="D161" t="str">
        <f ca="1">OFFSET(Sheet2!D$2,(ROW(D162))*3,0)</f>
        <v>North</v>
      </c>
      <c r="E161" t="str">
        <f ca="1">OFFSET(Sheet2!F$2,(ROW(E162))*3,0)</f>
        <v>Womaungo Justine</v>
      </c>
      <c r="F161" t="str">
        <f ca="1">OFFSET(Sheet2!G$2,(ROW(F162))*3,0)</f>
        <v>H2Go</v>
      </c>
      <c r="G161">
        <f ca="1">OFFSET(Sheet2!H$2,(ROW(G162))*3,0)</f>
        <v>0</v>
      </c>
      <c r="H161" t="str">
        <f ca="1">OFFSET(Sheet2!I$2,(ROW(H162))*3,0)</f>
        <v>WEEKLY</v>
      </c>
      <c r="I161">
        <f ca="1">OFFSET(Sheet2!J$2,(ROW(I162))*3,0)</f>
        <v>227</v>
      </c>
      <c r="J161" t="str">
        <f ca="1">OFFSET(Sheet2!K$2,(ROW(J162))*3,0)</f>
        <v>Damage Observed</v>
      </c>
      <c r="K161" t="str">
        <f ca="1">OFFSET(Sheet2!L$2,(ROW(K162))*3,0)</f>
        <v>Dirty</v>
      </c>
      <c r="L161" t="str">
        <f ca="1">OFFSET(Sheet2!M$2,(ROW(L162))*3,0)</f>
        <v>Okay</v>
      </c>
      <c r="M161" t="str">
        <f ca="1">OFFSET(Sheet2!N$2,(ROW(M162))*3,0)</f>
        <v>Good</v>
      </c>
      <c r="N161" t="str">
        <f ca="1">OFFSET(Sheet2!O$2,(ROW(N162))*3,0)</f>
        <v>Okay</v>
      </c>
      <c r="O161" t="str">
        <f ca="1">OFFSET(Sheet2!P$2,(ROW(O162))*3,0)</f>
        <v>Good</v>
      </c>
      <c r="P161" t="str">
        <f ca="1">OFFSET(Sheet2!Q$2,(ROW(P162))*3,0)</f>
        <v>In good Condition</v>
      </c>
      <c r="Q161">
        <f ca="1">OFFSET(Sheet2!R$2,(ROW(Q162))*3,0)</f>
        <v>0</v>
      </c>
      <c r="R161">
        <f ca="1">OFFSET(Sheet2!S$2,(ROW(R162))*3,0)</f>
        <v>0</v>
      </c>
      <c r="S161">
        <f ca="1">OFFSET(Sheet2!T$2,(ROW(S162))*3,0)</f>
        <v>0</v>
      </c>
      <c r="T161">
        <f ca="1">OFFSET(Sheet2!U$2,(ROW(T162))*3,0)</f>
        <v>0</v>
      </c>
      <c r="U161">
        <f ca="1">OFFSET(Sheet2!V$2,(ROW(U162))*3,0)</f>
        <v>0</v>
      </c>
    </row>
    <row r="162" spans="1:21" x14ac:dyDescent="0.35">
      <c r="A162" s="11">
        <f ca="1">OFFSET(Sheet2!B$2,(ROW(A163))*3,0)</f>
        <v>43892</v>
      </c>
      <c r="B162" s="11">
        <f ca="1">OFFSET(Sheet2!A$2,(ROW(A163))*3,0)</f>
        <v>43892</v>
      </c>
      <c r="C162">
        <f ca="1">OFFSET(Sheet2!C$2,(ROW(C163))*3,0)</f>
        <v>27</v>
      </c>
      <c r="D162" t="str">
        <f ca="1">OFFSET(Sheet2!D$2,(ROW(D163))*3,0)</f>
        <v>North</v>
      </c>
      <c r="E162" t="str">
        <f ca="1">OFFSET(Sheet2!F$2,(ROW(E163))*3,0)</f>
        <v>Womaungo Justine</v>
      </c>
      <c r="F162" t="str">
        <f ca="1">OFFSET(Sheet2!G$2,(ROW(F163))*3,0)</f>
        <v>H2Go</v>
      </c>
      <c r="G162">
        <f ca="1">OFFSET(Sheet2!H$2,(ROW(G163))*3,0)</f>
        <v>0</v>
      </c>
      <c r="H162" t="str">
        <f ca="1">OFFSET(Sheet2!I$2,(ROW(H163))*3,0)</f>
        <v>WEEKLY</v>
      </c>
      <c r="I162">
        <f ca="1">OFFSET(Sheet2!J$2,(ROW(I163))*3,0)</f>
        <v>256</v>
      </c>
      <c r="J162" t="str">
        <f ca="1">OFFSET(Sheet2!K$2,(ROW(J163))*3,0)</f>
        <v>Damage Observed</v>
      </c>
      <c r="K162" t="str">
        <f ca="1">OFFSET(Sheet2!L$2,(ROW(K163))*3,0)</f>
        <v>Very Dirty</v>
      </c>
      <c r="L162" t="str">
        <f ca="1">OFFSET(Sheet2!M$2,(ROW(L163))*3,0)</f>
        <v>Okay</v>
      </c>
      <c r="M162" t="str">
        <f ca="1">OFFSET(Sheet2!N$2,(ROW(M163))*3,0)</f>
        <v>Good</v>
      </c>
      <c r="N162" t="str">
        <f ca="1">OFFSET(Sheet2!O$2,(ROW(N163))*3,0)</f>
        <v>Dirty</v>
      </c>
      <c r="O162" t="str">
        <f ca="1">OFFSET(Sheet2!P$2,(ROW(O163))*3,0)</f>
        <v>Good</v>
      </c>
      <c r="P162" t="str">
        <f ca="1">OFFSET(Sheet2!Q$2,(ROW(P163))*3,0)</f>
        <v>In good Condition</v>
      </c>
      <c r="Q162">
        <f ca="1">OFFSET(Sheet2!R$2,(ROW(Q163))*3,0)</f>
        <v>0</v>
      </c>
      <c r="R162">
        <f ca="1">OFFSET(Sheet2!S$2,(ROW(R163))*3,0)</f>
        <v>0</v>
      </c>
      <c r="S162">
        <f ca="1">OFFSET(Sheet2!T$2,(ROW(S163))*3,0)</f>
        <v>0</v>
      </c>
      <c r="T162">
        <f ca="1">OFFSET(Sheet2!U$2,(ROW(T163))*3,0)</f>
        <v>0</v>
      </c>
      <c r="U162">
        <f ca="1">OFFSET(Sheet2!V$2,(ROW(U163))*3,0)</f>
        <v>0</v>
      </c>
    </row>
    <row r="163" spans="1:21" x14ac:dyDescent="0.35">
      <c r="A163" s="11">
        <f ca="1">OFFSET(Sheet2!B$2,(ROW(A164))*3,0)</f>
        <v>43900</v>
      </c>
      <c r="B163" s="11">
        <f ca="1">OFFSET(Sheet2!A$2,(ROW(A164))*3,0)</f>
        <v>43900</v>
      </c>
      <c r="C163">
        <f ca="1">OFFSET(Sheet2!C$2,(ROW(C164))*3,0)</f>
        <v>27</v>
      </c>
      <c r="D163" t="str">
        <f ca="1">OFFSET(Sheet2!D$2,(ROW(D164))*3,0)</f>
        <v>North</v>
      </c>
      <c r="E163" t="str">
        <f ca="1">OFFSET(Sheet2!F$2,(ROW(E164))*3,0)</f>
        <v>Womaungo Justine</v>
      </c>
      <c r="F163" t="str">
        <f ca="1">OFFSET(Sheet2!G$2,(ROW(F164))*3,0)</f>
        <v>H2Go</v>
      </c>
      <c r="G163">
        <f ca="1">OFFSET(Sheet2!H$2,(ROW(G164))*3,0)</f>
        <v>0</v>
      </c>
      <c r="H163" t="str">
        <f ca="1">OFFSET(Sheet2!I$2,(ROW(H164))*3,0)</f>
        <v>WEEKLY</v>
      </c>
      <c r="I163">
        <f ca="1">OFFSET(Sheet2!J$2,(ROW(I164))*3,0)</f>
        <v>204</v>
      </c>
      <c r="J163" t="str">
        <f ca="1">OFFSET(Sheet2!K$2,(ROW(J164))*3,0)</f>
        <v>Damage Observed</v>
      </c>
      <c r="K163" t="str">
        <f ca="1">OFFSET(Sheet2!L$2,(ROW(K164))*3,0)</f>
        <v>Very Dirty</v>
      </c>
      <c r="L163" t="str">
        <f ca="1">OFFSET(Sheet2!M$2,(ROW(L164))*3,0)</f>
        <v>Clean</v>
      </c>
      <c r="M163" t="str">
        <f ca="1">OFFSET(Sheet2!N$2,(ROW(M164))*3,0)</f>
        <v>Loose</v>
      </c>
      <c r="N163" t="str">
        <f ca="1">OFFSET(Sheet2!O$2,(ROW(N164))*3,0)</f>
        <v>Okay</v>
      </c>
      <c r="O163" t="str">
        <f ca="1">OFFSET(Sheet2!P$2,(ROW(O164))*3,0)</f>
        <v>Good</v>
      </c>
      <c r="P163" t="str">
        <f ca="1">OFFSET(Sheet2!Q$2,(ROW(P164))*3,0)</f>
        <v>In good Condition</v>
      </c>
      <c r="Q163">
        <f ca="1">OFFSET(Sheet2!R$2,(ROW(Q164))*3,0)</f>
        <v>0</v>
      </c>
      <c r="R163">
        <f ca="1">OFFSET(Sheet2!S$2,(ROW(R164))*3,0)</f>
        <v>0</v>
      </c>
      <c r="S163">
        <f ca="1">OFFSET(Sheet2!T$2,(ROW(S164))*3,0)</f>
        <v>0</v>
      </c>
      <c r="T163">
        <f ca="1">OFFSET(Sheet2!U$2,(ROW(T164))*3,0)</f>
        <v>0</v>
      </c>
      <c r="U163">
        <f ca="1">OFFSET(Sheet2!V$2,(ROW(U164))*3,0)</f>
        <v>0</v>
      </c>
    </row>
    <row r="164" spans="1:21" x14ac:dyDescent="0.35">
      <c r="A164" s="11">
        <f ca="1">OFFSET(Sheet2!B$2,(ROW(A165))*3,0)</f>
        <v>43848</v>
      </c>
      <c r="B164" s="11">
        <f ca="1">OFFSET(Sheet2!A$2,(ROW(A165))*3,0)</f>
        <v>43848</v>
      </c>
      <c r="C164">
        <f ca="1">OFFSET(Sheet2!C$2,(ROW(C165))*3,0)</f>
        <v>28</v>
      </c>
      <c r="D164" t="str">
        <f ca="1">OFFSET(Sheet2!D$2,(ROW(D165))*3,0)</f>
        <v>South</v>
      </c>
      <c r="E164" t="str">
        <f ca="1">OFFSET(Sheet2!F$2,(ROW(E165))*3,0)</f>
        <v>NAGOMU LATIFU</v>
      </c>
      <c r="F164" t="str">
        <f ca="1">OFFSET(Sheet2!G$2,(ROW(F165))*3,0)</f>
        <v>Control</v>
      </c>
      <c r="G164">
        <f ca="1">OFFSET(Sheet2!H$2,(ROW(G165))*3,0)</f>
        <v>0</v>
      </c>
      <c r="H164" t="str">
        <f ca="1">OFFSET(Sheet2!I$2,(ROW(H165))*3,0)</f>
        <v>Comprehensive</v>
      </c>
      <c r="I164">
        <f ca="1">OFFSET(Sheet2!J$2,(ROW(I165))*3,0)</f>
        <v>37</v>
      </c>
      <c r="J164" t="str">
        <f ca="1">OFFSET(Sheet2!K$2,(ROW(J165))*3,0)</f>
        <v>Damage Observed</v>
      </c>
      <c r="K164" t="str">
        <f ca="1">OFFSET(Sheet2!L$2,(ROW(K165))*3,0)</f>
        <v>Okay</v>
      </c>
      <c r="L164" t="str">
        <f ca="1">OFFSET(Sheet2!M$2,(ROW(L165))*3,0)</f>
        <v>GOOD</v>
      </c>
      <c r="M164" t="str">
        <f ca="1">OFFSET(Sheet2!N$2,(ROW(M165))*3,0)</f>
        <v xml:space="preserve">GOOD </v>
      </c>
      <c r="N164" t="str">
        <f ca="1">OFFSET(Sheet2!O$2,(ROW(N165))*3,0)</f>
        <v>GOOD</v>
      </c>
      <c r="O164" t="str">
        <f ca="1">OFFSET(Sheet2!P$2,(ROW(O165))*3,0)</f>
        <v>GOOD</v>
      </c>
      <c r="P164" t="str">
        <f ca="1">OFFSET(Sheet2!Q$2,(ROW(P165))*3,0)</f>
        <v>GOOD</v>
      </c>
      <c r="Q164" t="str">
        <f ca="1">OFFSET(Sheet2!R$2,(ROW(Q165))*3,0)</f>
        <v>VERY GOOD</v>
      </c>
      <c r="R164" t="str">
        <f ca="1">OFFSET(Sheet2!S$2,(ROW(R165))*3,0)</f>
        <v>VERY GOOD</v>
      </c>
      <c r="S164" t="str">
        <f ca="1">OFFSET(Sheet2!T$2,(ROW(S165))*3,0)</f>
        <v>GOOD</v>
      </c>
      <c r="T164">
        <f ca="1">OFFSET(Sheet2!U$2,(ROW(T165))*3,0)</f>
        <v>0</v>
      </c>
      <c r="U164">
        <f ca="1">OFFSET(Sheet2!V$2,(ROW(U165))*3,0)</f>
        <v>0</v>
      </c>
    </row>
    <row r="165" spans="1:21" x14ac:dyDescent="0.35">
      <c r="A165" s="11">
        <f ca="1">OFFSET(Sheet2!B$2,(ROW(A166))*3,0)</f>
        <v>43869</v>
      </c>
      <c r="B165" s="11">
        <f ca="1">OFFSET(Sheet2!A$2,(ROW(A166))*3,0)</f>
        <v>43869</v>
      </c>
      <c r="C165">
        <f ca="1">OFFSET(Sheet2!C$2,(ROW(C166))*3,0)</f>
        <v>28</v>
      </c>
      <c r="D165" t="str">
        <f ca="1">OFFSET(Sheet2!D$2,(ROW(D166))*3,0)</f>
        <v>South</v>
      </c>
      <c r="E165" t="str">
        <f ca="1">OFFSET(Sheet2!F$2,(ROW(E166))*3,0)</f>
        <v>NAGOMU LATIFU</v>
      </c>
      <c r="F165" t="str">
        <f ca="1">OFFSET(Sheet2!G$2,(ROW(F166))*3,0)</f>
        <v>Control</v>
      </c>
      <c r="G165">
        <f ca="1">OFFSET(Sheet2!H$2,(ROW(G166))*3,0)</f>
        <v>0</v>
      </c>
      <c r="H165" t="str">
        <f ca="1">OFFSET(Sheet2!I$2,(ROW(H166))*3,0)</f>
        <v>WEEKLY</v>
      </c>
      <c r="I165">
        <f ca="1">OFFSET(Sheet2!J$2,(ROW(I166))*3,0)</f>
        <v>120</v>
      </c>
      <c r="J165" t="str">
        <f ca="1">OFFSET(Sheet2!K$2,(ROW(J166))*3,0)</f>
        <v>Damage Observed</v>
      </c>
      <c r="K165" t="str">
        <f ca="1">OFFSET(Sheet2!L$2,(ROW(K166))*3,0)</f>
        <v>NOT BAD BUT CHANGED</v>
      </c>
      <c r="L165" t="str">
        <f ca="1">OFFSET(Sheet2!M$2,(ROW(L166))*3,0)</f>
        <v>IT HAD A PROBLEM(DIRTY INSIDE)</v>
      </c>
      <c r="M165" t="str">
        <f ca="1">OFFSET(Sheet2!N$2,(ROW(M166))*3,0)</f>
        <v>GOT LOOSE</v>
      </c>
      <c r="N165" t="str">
        <f ca="1">OFFSET(Sheet2!O$2,(ROW(N166))*3,0)</f>
        <v>GOOD</v>
      </c>
      <c r="O165" t="str">
        <f ca="1">OFFSET(Sheet2!P$2,(ROW(O166))*3,0)</f>
        <v>HAD A PROBLEM(SO DARK)</v>
      </c>
      <c r="P165" t="str">
        <f ca="1">OFFSET(Sheet2!Q$2,(ROW(P166))*3,0)</f>
        <v>GOOD</v>
      </c>
      <c r="Q165">
        <f ca="1">OFFSET(Sheet2!R$2,(ROW(Q166))*3,0)</f>
        <v>0</v>
      </c>
      <c r="R165">
        <f ca="1">OFFSET(Sheet2!S$2,(ROW(R166))*3,0)</f>
        <v>0</v>
      </c>
      <c r="S165">
        <f ca="1">OFFSET(Sheet2!T$2,(ROW(S166))*3,0)</f>
        <v>0</v>
      </c>
      <c r="T165">
        <f ca="1">OFFSET(Sheet2!U$2,(ROW(T166))*3,0)</f>
        <v>0</v>
      </c>
      <c r="U165">
        <f ca="1">OFFSET(Sheet2!V$2,(ROW(U166))*3,0)</f>
        <v>0</v>
      </c>
    </row>
    <row r="166" spans="1:21" x14ac:dyDescent="0.35">
      <c r="A166" s="11">
        <f ca="1">OFFSET(Sheet2!B$2,(ROW(A167))*3,0)</f>
        <v>43848</v>
      </c>
      <c r="B166" s="11">
        <f ca="1">OFFSET(Sheet2!A$2,(ROW(A167))*3,0)</f>
        <v>43848</v>
      </c>
      <c r="C166">
        <f ca="1">OFFSET(Sheet2!C$2,(ROW(C167))*3,0)</f>
        <v>29</v>
      </c>
      <c r="D166" t="str">
        <f ca="1">OFFSET(Sheet2!D$2,(ROW(D167))*3,0)</f>
        <v>South</v>
      </c>
      <c r="E166" t="str">
        <f ca="1">OFFSET(Sheet2!F$2,(ROW(E167))*3,0)</f>
        <v>WAZENGE SALIMU</v>
      </c>
      <c r="F166" t="str">
        <f ca="1">OFFSET(Sheet2!G$2,(ROW(F167))*3,0)</f>
        <v>Control</v>
      </c>
      <c r="G166">
        <f ca="1">OFFSET(Sheet2!H$2,(ROW(G167))*3,0)</f>
        <v>0</v>
      </c>
      <c r="H166" t="str">
        <f ca="1">OFFSET(Sheet2!I$2,(ROW(H167))*3,0)</f>
        <v>Comprehensive</v>
      </c>
      <c r="I166">
        <f ca="1">OFFSET(Sheet2!J$2,(ROW(I167))*3,0)</f>
        <v>36</v>
      </c>
      <c r="J166" t="str">
        <f ca="1">OFFSET(Sheet2!K$2,(ROW(J167))*3,0)</f>
        <v>Damage Observed</v>
      </c>
      <c r="K166" t="str">
        <f ca="1">OFFSET(Sheet2!L$2,(ROW(K167))*3,0)</f>
        <v>Okay</v>
      </c>
      <c r="L166" t="str">
        <f ca="1">OFFSET(Sheet2!M$2,(ROW(L167))*3,0)</f>
        <v>IN A GOOD CONDITION</v>
      </c>
      <c r="M166" t="str">
        <f ca="1">OFFSET(Sheet2!N$2,(ROW(M167))*3,0)</f>
        <v>GOOD</v>
      </c>
      <c r="N166" t="str">
        <f ca="1">OFFSET(Sheet2!O$2,(ROW(N167))*3,0)</f>
        <v>GOOD</v>
      </c>
      <c r="O166" t="str">
        <f ca="1">OFFSET(Sheet2!P$2,(ROW(O167))*3,0)</f>
        <v>GOOD</v>
      </c>
      <c r="P166" t="str">
        <f ca="1">OFFSET(Sheet2!Q$2,(ROW(P167))*3,0)</f>
        <v>WELL SERVICED</v>
      </c>
      <c r="Q166" t="str">
        <f ca="1">OFFSET(Sheet2!R$2,(ROW(Q167))*3,0)</f>
        <v>VERY GOOD</v>
      </c>
      <c r="R166" t="str">
        <f ca="1">OFFSET(Sheet2!S$2,(ROW(R167))*3,0)</f>
        <v>VERY GOOD</v>
      </c>
      <c r="S166" t="str">
        <f ca="1">OFFSET(Sheet2!T$2,(ROW(S167))*3,0)</f>
        <v>GOOD</v>
      </c>
      <c r="T166">
        <f ca="1">OFFSET(Sheet2!U$2,(ROW(T167))*3,0)</f>
        <v>0</v>
      </c>
      <c r="U166">
        <f ca="1">OFFSET(Sheet2!V$2,(ROW(U167))*3,0)</f>
        <v>0</v>
      </c>
    </row>
    <row r="167" spans="1:21" x14ac:dyDescent="0.35">
      <c r="A167" s="11">
        <f ca="1">OFFSET(Sheet2!B$2,(ROW(A168))*3,0)</f>
        <v>43855</v>
      </c>
      <c r="B167" s="11">
        <f ca="1">OFFSET(Sheet2!A$2,(ROW(A168))*3,0)</f>
        <v>43855</v>
      </c>
      <c r="C167">
        <f ca="1">OFFSET(Sheet2!C$2,(ROW(C168))*3,0)</f>
        <v>29</v>
      </c>
      <c r="D167" t="str">
        <f ca="1">OFFSET(Sheet2!D$2,(ROW(D168))*3,0)</f>
        <v>South</v>
      </c>
      <c r="E167" t="str">
        <f ca="1">OFFSET(Sheet2!F$2,(ROW(E168))*3,0)</f>
        <v>WAZENGE SALIMU</v>
      </c>
      <c r="F167" t="str">
        <f ca="1">OFFSET(Sheet2!G$2,(ROW(F168))*3,0)</f>
        <v>H2Go</v>
      </c>
      <c r="G167">
        <f ca="1">OFFSET(Sheet2!H$2,(ROW(G168))*3,0)</f>
        <v>0</v>
      </c>
      <c r="H167" t="str">
        <f ca="1">OFFSET(Sheet2!I$2,(ROW(H168))*3,0)</f>
        <v>WEEKLY</v>
      </c>
      <c r="I167">
        <f ca="1">OFFSET(Sheet2!J$2,(ROW(I168))*3,0)</f>
        <v>72</v>
      </c>
      <c r="J167" t="str">
        <f ca="1">OFFSET(Sheet2!K$2,(ROW(J168))*3,0)</f>
        <v>Damage Observed</v>
      </c>
      <c r="K167" t="str">
        <f ca="1">OFFSET(Sheet2!L$2,(ROW(K168))*3,0)</f>
        <v>NOT BAD THOUGH USED UP</v>
      </c>
      <c r="L167" t="str">
        <f ca="1">OFFSET(Sheet2!M$2,(ROW(L168))*3,0)</f>
        <v>GOOD</v>
      </c>
      <c r="M167" t="str">
        <f ca="1">OFFSET(Sheet2!N$2,(ROW(M168))*3,0)</f>
        <v>GOOD</v>
      </c>
      <c r="N167" t="str">
        <f ca="1">OFFSET(Sheet2!O$2,(ROW(N168))*3,0)</f>
        <v>CLEAN</v>
      </c>
      <c r="O167" t="str">
        <f ca="1">OFFSET(Sheet2!P$2,(ROW(O168))*3,0)</f>
        <v>DIRTY AND FAULTY</v>
      </c>
      <c r="P167" t="str">
        <f ca="1">OFFSET(Sheet2!Q$2,(ROW(P168))*3,0)</f>
        <v>GOOD</v>
      </c>
      <c r="Q167">
        <f ca="1">OFFSET(Sheet2!R$2,(ROW(Q168))*3,0)</f>
        <v>0</v>
      </c>
      <c r="R167">
        <f ca="1">OFFSET(Sheet2!S$2,(ROW(R168))*3,0)</f>
        <v>0</v>
      </c>
      <c r="S167">
        <f ca="1">OFFSET(Sheet2!T$2,(ROW(S168))*3,0)</f>
        <v>0</v>
      </c>
      <c r="T167">
        <f ca="1">OFFSET(Sheet2!U$2,(ROW(T168))*3,0)</f>
        <v>0</v>
      </c>
      <c r="U167">
        <f ca="1">OFFSET(Sheet2!V$2,(ROW(U168))*3,0)</f>
        <v>0</v>
      </c>
    </row>
    <row r="168" spans="1:21" x14ac:dyDescent="0.35">
      <c r="A168" s="11">
        <f ca="1">OFFSET(Sheet2!B$2,(ROW(A169))*3,0)</f>
        <v>43862</v>
      </c>
      <c r="B168" s="11">
        <f ca="1">OFFSET(Sheet2!A$2,(ROW(A169))*3,0)</f>
        <v>43862</v>
      </c>
      <c r="C168">
        <f ca="1">OFFSET(Sheet2!C$2,(ROW(C169))*3,0)</f>
        <v>29</v>
      </c>
      <c r="D168" t="str">
        <f ca="1">OFFSET(Sheet2!D$2,(ROW(D169))*3,0)</f>
        <v>South</v>
      </c>
      <c r="E168" t="str">
        <f ca="1">OFFSET(Sheet2!F$2,(ROW(E169))*3,0)</f>
        <v>WAZENGE SALIMU</v>
      </c>
      <c r="F168" t="str">
        <f ca="1">OFFSET(Sheet2!G$2,(ROW(F169))*3,0)</f>
        <v>H2Go</v>
      </c>
      <c r="G168">
        <f ca="1">OFFSET(Sheet2!H$2,(ROW(G169))*3,0)</f>
        <v>0</v>
      </c>
      <c r="H168" t="str">
        <f ca="1">OFFSET(Sheet2!I$2,(ROW(H169))*3,0)</f>
        <v>WEEKLY</v>
      </c>
      <c r="I168">
        <f ca="1">OFFSET(Sheet2!J$2,(ROW(I169))*3,0)</f>
        <v>86</v>
      </c>
      <c r="J168" t="str">
        <f ca="1">OFFSET(Sheet2!K$2,(ROW(J169))*3,0)</f>
        <v>Damage Observed</v>
      </c>
      <c r="K168" t="str">
        <f ca="1">OFFSET(Sheet2!L$2,(ROW(K169))*3,0)</f>
        <v>NOT BAD THOUGH USED UP</v>
      </c>
      <c r="L168" t="str">
        <f ca="1">OFFSET(Sheet2!M$2,(ROW(L169))*3,0)</f>
        <v>GOOD</v>
      </c>
      <c r="M168" t="str">
        <f ca="1">OFFSET(Sheet2!N$2,(ROW(M169))*3,0)</f>
        <v>GOOD</v>
      </c>
      <c r="N168" t="str">
        <f ca="1">OFFSET(Sheet2!O$2,(ROW(N169))*3,0)</f>
        <v>CLEAN</v>
      </c>
      <c r="O168" t="str">
        <f ca="1">OFFSET(Sheet2!P$2,(ROW(O169))*3,0)</f>
        <v>Clean(no soot)</v>
      </c>
      <c r="P168" t="str">
        <f ca="1">OFFSET(Sheet2!Q$2,(ROW(P169))*3,0)</f>
        <v>Good, no damage observed</v>
      </c>
      <c r="Q168">
        <f ca="1">OFFSET(Sheet2!R$2,(ROW(Q169))*3,0)</f>
        <v>0</v>
      </c>
      <c r="R168">
        <f ca="1">OFFSET(Sheet2!S$2,(ROW(R169))*3,0)</f>
        <v>0</v>
      </c>
      <c r="S168">
        <f ca="1">OFFSET(Sheet2!T$2,(ROW(S169))*3,0)</f>
        <v>0</v>
      </c>
      <c r="T168">
        <f ca="1">OFFSET(Sheet2!U$2,(ROW(T169))*3,0)</f>
        <v>0</v>
      </c>
      <c r="U168">
        <f ca="1">OFFSET(Sheet2!V$2,(ROW(U169))*3,0)</f>
        <v>0</v>
      </c>
    </row>
    <row r="169" spans="1:21" x14ac:dyDescent="0.35">
      <c r="A169" s="11">
        <f ca="1">OFFSET(Sheet2!B$2,(ROW(A170))*3,0)</f>
        <v>43869</v>
      </c>
      <c r="B169" s="11">
        <f ca="1">OFFSET(Sheet2!A$2,(ROW(A170))*3,0)</f>
        <v>43869</v>
      </c>
      <c r="C169">
        <f ca="1">OFFSET(Sheet2!C$2,(ROW(C170))*3,0)</f>
        <v>29</v>
      </c>
      <c r="D169" t="str">
        <f ca="1">OFFSET(Sheet2!D$2,(ROW(D170))*3,0)</f>
        <v>South</v>
      </c>
      <c r="E169" t="str">
        <f ca="1">OFFSET(Sheet2!F$2,(ROW(E170))*3,0)</f>
        <v>WAZENGE SALIMU</v>
      </c>
      <c r="F169" t="str">
        <f ca="1">OFFSET(Sheet2!G$2,(ROW(F170))*3,0)</f>
        <v>Control</v>
      </c>
      <c r="G169">
        <f ca="1">OFFSET(Sheet2!H$2,(ROW(G170))*3,0)</f>
        <v>0</v>
      </c>
      <c r="H169" t="str">
        <f ca="1">OFFSET(Sheet2!I$2,(ROW(H170))*3,0)</f>
        <v>WEEKLY</v>
      </c>
      <c r="I169">
        <f ca="1">OFFSET(Sheet2!J$2,(ROW(I170))*3,0)</f>
        <v>77</v>
      </c>
      <c r="J169" t="str">
        <f ca="1">OFFSET(Sheet2!K$2,(ROW(J170))*3,0)</f>
        <v>Damage Observed</v>
      </c>
      <c r="K169" t="str">
        <f ca="1">OFFSET(Sheet2!L$2,(ROW(K170))*3,0)</f>
        <v>NOT BAD BUT USED UP</v>
      </c>
      <c r="L169" t="str">
        <f ca="1">OFFSET(Sheet2!M$2,(ROW(L170))*3,0)</f>
        <v>NOT IN A BAD CONDITION</v>
      </c>
      <c r="M169" t="str">
        <f ca="1">OFFSET(Sheet2!N$2,(ROW(M170))*3,0)</f>
        <v>THEY ARE LOOSE</v>
      </c>
      <c r="N169" t="str">
        <f ca="1">OFFSET(Sheet2!O$2,(ROW(N170))*3,0)</f>
        <v>IT WAS CLEAN</v>
      </c>
      <c r="O169" t="str">
        <f ca="1">OFFSET(Sheet2!P$2,(ROW(O170))*3,0)</f>
        <v>IT WAS BLACK SOOTED</v>
      </c>
      <c r="P169" t="str">
        <f ca="1">OFFSET(Sheet2!Q$2,(ROW(P170))*3,0)</f>
        <v>NUT IS IN GOOD CONDITION NOT WORN OUT</v>
      </c>
      <c r="Q169">
        <f ca="1">OFFSET(Sheet2!R$2,(ROW(Q170))*3,0)</f>
        <v>0</v>
      </c>
      <c r="R169">
        <f ca="1">OFFSET(Sheet2!S$2,(ROW(R170))*3,0)</f>
        <v>0</v>
      </c>
      <c r="S169">
        <f ca="1">OFFSET(Sheet2!T$2,(ROW(S170))*3,0)</f>
        <v>0</v>
      </c>
      <c r="T169">
        <f ca="1">OFFSET(Sheet2!U$2,(ROW(T170))*3,0)</f>
        <v>0</v>
      </c>
      <c r="U169">
        <f ca="1">OFFSET(Sheet2!V$2,(ROW(U170))*3,0)</f>
        <v>0</v>
      </c>
    </row>
    <row r="170" spans="1:21" x14ac:dyDescent="0.35">
      <c r="A170" s="11">
        <f ca="1">OFFSET(Sheet2!B$2,(ROW(A171))*3,0)</f>
        <v>43876</v>
      </c>
      <c r="B170" s="11">
        <f ca="1">OFFSET(Sheet2!A$2,(ROW(A171))*3,0)</f>
        <v>43876</v>
      </c>
      <c r="C170">
        <f ca="1">OFFSET(Sheet2!C$2,(ROW(C171))*3,0)</f>
        <v>29</v>
      </c>
      <c r="D170" t="str">
        <f ca="1">OFFSET(Sheet2!D$2,(ROW(D171))*3,0)</f>
        <v>South</v>
      </c>
      <c r="E170" t="str">
        <f ca="1">OFFSET(Sheet2!F$2,(ROW(E171))*3,0)</f>
        <v>WAZENGE SALIMU</v>
      </c>
      <c r="F170" t="str">
        <f ca="1">OFFSET(Sheet2!G$2,(ROW(F171))*3,0)</f>
        <v>H2Go</v>
      </c>
      <c r="G170">
        <f ca="1">OFFSET(Sheet2!H$2,(ROW(G171))*3,0)</f>
        <v>0</v>
      </c>
      <c r="H170" t="str">
        <f ca="1">OFFSET(Sheet2!I$2,(ROW(H171))*3,0)</f>
        <v>WEEKLY</v>
      </c>
      <c r="I170">
        <f ca="1">OFFSET(Sheet2!J$2,(ROW(I171))*3,0)</f>
        <v>143</v>
      </c>
      <c r="J170" t="str">
        <f ca="1">OFFSET(Sheet2!K$2,(ROW(J171))*3,0)</f>
        <v>Damage Observed</v>
      </c>
      <c r="K170" t="str">
        <f ca="1">OFFSET(Sheet2!L$2,(ROW(K171))*3,0)</f>
        <v>NOT BAD THOUGH USED UP</v>
      </c>
      <c r="L170" t="str">
        <f ca="1">OFFSET(Sheet2!M$2,(ROW(L171))*3,0)</f>
        <v>FAULTY</v>
      </c>
      <c r="M170" t="str">
        <f ca="1">OFFSET(Sheet2!N$2,(ROW(M171))*3,0)</f>
        <v>Loose</v>
      </c>
      <c r="N170" t="str">
        <f ca="1">OFFSET(Sheet2!O$2,(ROW(N171))*3,0)</f>
        <v>CLEAN</v>
      </c>
      <c r="O170" t="str">
        <f ca="1">OFFSET(Sheet2!P$2,(ROW(O171))*3,0)</f>
        <v>Clean(no soot)</v>
      </c>
      <c r="P170" t="str">
        <f ca="1">OFFSET(Sheet2!Q$2,(ROW(P171))*3,0)</f>
        <v>GOOD</v>
      </c>
      <c r="Q170">
        <f ca="1">OFFSET(Sheet2!R$2,(ROW(Q171))*3,0)</f>
        <v>0</v>
      </c>
      <c r="R170">
        <f ca="1">OFFSET(Sheet2!S$2,(ROW(R171))*3,0)</f>
        <v>0</v>
      </c>
      <c r="S170">
        <f ca="1">OFFSET(Sheet2!T$2,(ROW(S171))*3,0)</f>
        <v>0</v>
      </c>
      <c r="T170">
        <f ca="1">OFFSET(Sheet2!U$2,(ROW(T171))*3,0)</f>
        <v>0</v>
      </c>
      <c r="U170">
        <f ca="1">OFFSET(Sheet2!V$2,(ROW(U171))*3,0)</f>
        <v>0</v>
      </c>
    </row>
    <row r="171" spans="1:21" x14ac:dyDescent="0.35">
      <c r="A171" s="11">
        <f ca="1">OFFSET(Sheet2!B$2,(ROW(A172))*3,0)</f>
        <v>43885</v>
      </c>
      <c r="B171" s="11">
        <f ca="1">OFFSET(Sheet2!A$2,(ROW(A172))*3,0)</f>
        <v>43885</v>
      </c>
      <c r="C171">
        <f ca="1">OFFSET(Sheet2!C$2,(ROW(C172))*3,0)</f>
        <v>29</v>
      </c>
      <c r="D171" t="str">
        <f ca="1">OFFSET(Sheet2!D$2,(ROW(D172))*3,0)</f>
        <v>South</v>
      </c>
      <c r="E171" t="str">
        <f ca="1">OFFSET(Sheet2!F$2,(ROW(E172))*3,0)</f>
        <v>WAZENGE SALIMU</v>
      </c>
      <c r="F171" t="str">
        <f ca="1">OFFSET(Sheet2!G$2,(ROW(F172))*3,0)</f>
        <v>CONTROL</v>
      </c>
      <c r="G171">
        <f ca="1">OFFSET(Sheet2!H$2,(ROW(G172))*3,0)</f>
        <v>0</v>
      </c>
      <c r="H171" t="str">
        <f ca="1">OFFSET(Sheet2!I$2,(ROW(H172))*3,0)</f>
        <v>WEEKLY</v>
      </c>
      <c r="I171">
        <f ca="1">OFFSET(Sheet2!J$2,(ROW(I172))*3,0)</f>
        <v>132</v>
      </c>
      <c r="J171" t="str">
        <f ca="1">OFFSET(Sheet2!K$2,(ROW(J172))*3,0)</f>
        <v>Damage Observed</v>
      </c>
      <c r="K171" t="str">
        <f ca="1">OFFSET(Sheet2!L$2,(ROW(K172))*3,0)</f>
        <v>Dirty</v>
      </c>
      <c r="L171" t="str">
        <f ca="1">OFFSET(Sheet2!M$2,(ROW(L172))*3,0)</f>
        <v>Clean</v>
      </c>
      <c r="M171" t="str">
        <f ca="1">OFFSET(Sheet2!N$2,(ROW(M172))*3,0)</f>
        <v>Good</v>
      </c>
      <c r="N171" t="str">
        <f ca="1">OFFSET(Sheet2!O$2,(ROW(N172))*3,0)</f>
        <v>Very Dirty</v>
      </c>
      <c r="O171" t="str">
        <f ca="1">OFFSET(Sheet2!P$2,(ROW(O172))*3,0)</f>
        <v>Good</v>
      </c>
      <c r="P171" t="str">
        <f ca="1">OFFSET(Sheet2!Q$2,(ROW(P172))*3,0)</f>
        <v>In good Condition</v>
      </c>
      <c r="Q171">
        <f ca="1">OFFSET(Sheet2!R$2,(ROW(Q172))*3,0)</f>
        <v>0</v>
      </c>
      <c r="R171">
        <f ca="1">OFFSET(Sheet2!S$2,(ROW(R172))*3,0)</f>
        <v>0</v>
      </c>
      <c r="S171">
        <f ca="1">OFFSET(Sheet2!T$2,(ROW(S172))*3,0)</f>
        <v>0</v>
      </c>
      <c r="T171">
        <f ca="1">OFFSET(Sheet2!U$2,(ROW(T172))*3,0)</f>
        <v>0</v>
      </c>
      <c r="U171">
        <f ca="1">OFFSET(Sheet2!V$2,(ROW(U172))*3,0)</f>
        <v>0</v>
      </c>
    </row>
    <row r="172" spans="1:21" x14ac:dyDescent="0.35">
      <c r="A172" s="11">
        <f ca="1">OFFSET(Sheet2!B$2,(ROW(A173))*3,0)</f>
        <v>43892</v>
      </c>
      <c r="B172" s="11">
        <f ca="1">OFFSET(Sheet2!A$2,(ROW(A173))*3,0)</f>
        <v>43892</v>
      </c>
      <c r="C172">
        <f ca="1">OFFSET(Sheet2!C$2,(ROW(C173))*3,0)</f>
        <v>29</v>
      </c>
      <c r="D172" t="str">
        <f ca="1">OFFSET(Sheet2!D$2,(ROW(D173))*3,0)</f>
        <v>South</v>
      </c>
      <c r="E172" t="str">
        <f ca="1">OFFSET(Sheet2!F$2,(ROW(E173))*3,0)</f>
        <v>WAZENGE SALIMU</v>
      </c>
      <c r="F172" t="str">
        <f ca="1">OFFSET(Sheet2!G$2,(ROW(F173))*3,0)</f>
        <v>CONTROL</v>
      </c>
      <c r="G172">
        <f ca="1">OFFSET(Sheet2!H$2,(ROW(G173))*3,0)</f>
        <v>0</v>
      </c>
      <c r="H172" t="str">
        <f ca="1">OFFSET(Sheet2!I$2,(ROW(H173))*3,0)</f>
        <v>WEEKLY</v>
      </c>
      <c r="I172">
        <f ca="1">OFFSET(Sheet2!J$2,(ROW(I173))*3,0)</f>
        <v>137</v>
      </c>
      <c r="J172" t="str">
        <f ca="1">OFFSET(Sheet2!K$2,(ROW(J173))*3,0)</f>
        <v>Damage Observed</v>
      </c>
      <c r="K172" t="str">
        <f ca="1">OFFSET(Sheet2!L$2,(ROW(K173))*3,0)</f>
        <v>Very Dirty</v>
      </c>
      <c r="L172" t="str">
        <f ca="1">OFFSET(Sheet2!M$2,(ROW(L173))*3,0)</f>
        <v>Dirty</v>
      </c>
      <c r="M172" t="str">
        <f ca="1">OFFSET(Sheet2!N$2,(ROW(M173))*3,0)</f>
        <v>Loose</v>
      </c>
      <c r="N172" t="str">
        <f ca="1">OFFSET(Sheet2!O$2,(ROW(N173))*3,0)</f>
        <v>Clean</v>
      </c>
      <c r="O172" t="str">
        <f ca="1">OFFSET(Sheet2!P$2,(ROW(O173))*3,0)</f>
        <v>Good</v>
      </c>
      <c r="P172" t="str">
        <f ca="1">OFFSET(Sheet2!Q$2,(ROW(P173))*3,0)</f>
        <v>In good Condition</v>
      </c>
      <c r="Q172">
        <f ca="1">OFFSET(Sheet2!R$2,(ROW(Q173))*3,0)</f>
        <v>0</v>
      </c>
      <c r="R172">
        <f ca="1">OFFSET(Sheet2!S$2,(ROW(R173))*3,0)</f>
        <v>0</v>
      </c>
      <c r="S172">
        <f ca="1">OFFSET(Sheet2!T$2,(ROW(S173))*3,0)</f>
        <v>0</v>
      </c>
      <c r="T172">
        <f ca="1">OFFSET(Sheet2!U$2,(ROW(T173))*3,0)</f>
        <v>0</v>
      </c>
      <c r="U172">
        <f ca="1">OFFSET(Sheet2!V$2,(ROW(U173))*3,0)</f>
        <v>0</v>
      </c>
    </row>
    <row r="173" spans="1:21" x14ac:dyDescent="0.35">
      <c r="A173" s="11">
        <f ca="1">OFFSET(Sheet2!B$2,(ROW(A174))*3,0)</f>
        <v>43848</v>
      </c>
      <c r="B173" s="11">
        <f ca="1">OFFSET(Sheet2!A$2,(ROW(A174))*3,0)</f>
        <v>43848</v>
      </c>
      <c r="C173">
        <f ca="1">OFFSET(Sheet2!C$2,(ROW(C174))*3,0)</f>
        <v>30</v>
      </c>
      <c r="D173" t="str">
        <f ca="1">OFFSET(Sheet2!D$2,(ROW(D174))*3,0)</f>
        <v>South</v>
      </c>
      <c r="E173" t="str">
        <f ca="1">OFFSET(Sheet2!F$2,(ROW(E174))*3,0)</f>
        <v>NABENDE AARON</v>
      </c>
      <c r="F173" t="str">
        <f ca="1">OFFSET(Sheet2!G$2,(ROW(F174))*3,0)</f>
        <v>Control</v>
      </c>
      <c r="G173">
        <f ca="1">OFFSET(Sheet2!H$2,(ROW(G174))*3,0)</f>
        <v>0</v>
      </c>
      <c r="H173" t="str">
        <f ca="1">OFFSET(Sheet2!I$2,(ROW(H174))*3,0)</f>
        <v>Comprehensive</v>
      </c>
      <c r="I173">
        <f ca="1">OFFSET(Sheet2!J$2,(ROW(I174))*3,0)</f>
        <v>40</v>
      </c>
      <c r="J173" t="str">
        <f ca="1">OFFSET(Sheet2!K$2,(ROW(J174))*3,0)</f>
        <v>Damage Observed</v>
      </c>
      <c r="K173" t="str">
        <f ca="1">OFFSET(Sheet2!L$2,(ROW(K174))*3,0)</f>
        <v>Okay</v>
      </c>
      <c r="L173" t="str">
        <f ca="1">OFFSET(Sheet2!M$2,(ROW(L174))*3,0)</f>
        <v>GOOD</v>
      </c>
      <c r="M173" t="str">
        <f ca="1">OFFSET(Sheet2!N$2,(ROW(M174))*3,0)</f>
        <v>GOOD</v>
      </c>
      <c r="N173" t="str">
        <f ca="1">OFFSET(Sheet2!O$2,(ROW(N174))*3,0)</f>
        <v>GOOD</v>
      </c>
      <c r="O173" t="str">
        <f ca="1">OFFSET(Sheet2!P$2,(ROW(O174))*3,0)</f>
        <v>GOOD</v>
      </c>
      <c r="P173" t="str">
        <f ca="1">OFFSET(Sheet2!Q$2,(ROW(P174))*3,0)</f>
        <v>GOOD</v>
      </c>
      <c r="Q173">
        <f ca="1">OFFSET(Sheet2!R$2,(ROW(Q174))*3,0)</f>
        <v>0</v>
      </c>
      <c r="R173">
        <f ca="1">OFFSET(Sheet2!S$2,(ROW(R174))*3,0)</f>
        <v>0</v>
      </c>
      <c r="S173">
        <f ca="1">OFFSET(Sheet2!T$2,(ROW(S174))*3,0)</f>
        <v>0</v>
      </c>
      <c r="T173">
        <f ca="1">OFFSET(Sheet2!U$2,(ROW(T174))*3,0)</f>
        <v>0</v>
      </c>
      <c r="U173">
        <f ca="1">OFFSET(Sheet2!V$2,(ROW(U174))*3,0)</f>
        <v>0</v>
      </c>
    </row>
    <row r="174" spans="1:21" x14ac:dyDescent="0.35">
      <c r="A174" s="11">
        <f ca="1">OFFSET(Sheet2!B$2,(ROW(A175))*3,0)</f>
        <v>43855</v>
      </c>
      <c r="B174" s="11">
        <f ca="1">OFFSET(Sheet2!A$2,(ROW(A175))*3,0)</f>
        <v>43855</v>
      </c>
      <c r="C174">
        <f ca="1">OFFSET(Sheet2!C$2,(ROW(C175))*3,0)</f>
        <v>30</v>
      </c>
      <c r="D174" t="str">
        <f ca="1">OFFSET(Sheet2!D$2,(ROW(D175))*3,0)</f>
        <v>South</v>
      </c>
      <c r="E174" t="str">
        <f ca="1">OFFSET(Sheet2!F$2,(ROW(E175))*3,0)</f>
        <v>NABENDE AARON</v>
      </c>
      <c r="F174" t="str">
        <f ca="1">OFFSET(Sheet2!G$2,(ROW(F175))*3,0)</f>
        <v>Control</v>
      </c>
      <c r="G174">
        <f ca="1">OFFSET(Sheet2!H$2,(ROW(G175))*3,0)</f>
        <v>0</v>
      </c>
      <c r="H174" t="str">
        <f ca="1">OFFSET(Sheet2!I$2,(ROW(H175))*3,0)</f>
        <v>WEEKLY</v>
      </c>
      <c r="I174">
        <f ca="1">OFFSET(Sheet2!J$2,(ROW(I175))*3,0)</f>
        <v>69</v>
      </c>
      <c r="J174" t="str">
        <f ca="1">OFFSET(Sheet2!K$2,(ROW(J175))*3,0)</f>
        <v>Damage Observed</v>
      </c>
      <c r="K174" t="str">
        <f ca="1">OFFSET(Sheet2!L$2,(ROW(K175))*3,0)</f>
        <v>Okay</v>
      </c>
      <c r="L174" t="str">
        <f ca="1">OFFSET(Sheet2!M$2,(ROW(L175))*3,0)</f>
        <v xml:space="preserve">GOOD </v>
      </c>
      <c r="M174" t="str">
        <f ca="1">OFFSET(Sheet2!N$2,(ROW(M175))*3,0)</f>
        <v>GOOD</v>
      </c>
      <c r="N174" t="str">
        <f ca="1">OFFSET(Sheet2!O$2,(ROW(N175))*3,0)</f>
        <v xml:space="preserve">GOOD </v>
      </c>
      <c r="O174" t="str">
        <f ca="1">OFFSET(Sheet2!P$2,(ROW(O175))*3,0)</f>
        <v>GOOD</v>
      </c>
      <c r="P174" t="str">
        <f ca="1">OFFSET(Sheet2!Q$2,(ROW(P175))*3,0)</f>
        <v>NUT WORN OUT</v>
      </c>
      <c r="Q174">
        <f ca="1">OFFSET(Sheet2!R$2,(ROW(Q175))*3,0)</f>
        <v>0</v>
      </c>
      <c r="R174">
        <f ca="1">OFFSET(Sheet2!S$2,(ROW(R175))*3,0)</f>
        <v>0</v>
      </c>
      <c r="S174">
        <f ca="1">OFFSET(Sheet2!T$2,(ROW(S175))*3,0)</f>
        <v>0</v>
      </c>
      <c r="T174">
        <f ca="1">OFFSET(Sheet2!U$2,(ROW(T175))*3,0)</f>
        <v>0</v>
      </c>
      <c r="U174">
        <f ca="1">OFFSET(Sheet2!V$2,(ROW(U175))*3,0)</f>
        <v>0</v>
      </c>
    </row>
    <row r="175" spans="1:21" x14ac:dyDescent="0.35">
      <c r="A175" s="11">
        <f ca="1">OFFSET(Sheet2!B$2,(ROW(A176))*3,0)</f>
        <v>43862</v>
      </c>
      <c r="B175" s="11">
        <f ca="1">OFFSET(Sheet2!A$2,(ROW(A176))*3,0)</f>
        <v>43862</v>
      </c>
      <c r="C175">
        <f ca="1">OFFSET(Sheet2!C$2,(ROW(C176))*3,0)</f>
        <v>30</v>
      </c>
      <c r="D175" t="str">
        <f ca="1">OFFSET(Sheet2!D$2,(ROW(D176))*3,0)</f>
        <v>South</v>
      </c>
      <c r="E175" t="str">
        <f ca="1">OFFSET(Sheet2!F$2,(ROW(E176))*3,0)</f>
        <v>NABENDE AARON</v>
      </c>
      <c r="F175" t="str">
        <f ca="1">OFFSET(Sheet2!G$2,(ROW(F176))*3,0)</f>
        <v>CONTROL</v>
      </c>
      <c r="G175">
        <f ca="1">OFFSET(Sheet2!H$2,(ROW(G176))*3,0)</f>
        <v>0</v>
      </c>
      <c r="H175" t="str">
        <f ca="1">OFFSET(Sheet2!I$2,(ROW(H176))*3,0)</f>
        <v>WEEKLY</v>
      </c>
      <c r="I175">
        <f ca="1">OFFSET(Sheet2!J$2,(ROW(I176))*3,0)</f>
        <v>90</v>
      </c>
      <c r="J175" t="str">
        <f ca="1">OFFSET(Sheet2!K$2,(ROW(J176))*3,0)</f>
        <v>Damage Observed</v>
      </c>
      <c r="K175" t="str">
        <f ca="1">OFFSET(Sheet2!L$2,(ROW(K176))*3,0)</f>
        <v>Good</v>
      </c>
      <c r="L175" t="str">
        <f ca="1">OFFSET(Sheet2!M$2,(ROW(L176))*3,0)</f>
        <v>NOT IN A BAD CONDITION</v>
      </c>
      <c r="M175" t="str">
        <f ca="1">OFFSET(Sheet2!N$2,(ROW(M176))*3,0)</f>
        <v>GOOD</v>
      </c>
      <c r="N175" t="str">
        <f ca="1">OFFSET(Sheet2!O$2,(ROW(N176))*3,0)</f>
        <v>CLEAN</v>
      </c>
      <c r="O175" t="str">
        <f ca="1">OFFSET(Sheet2!P$2,(ROW(O176))*3,0)</f>
        <v>GOOD</v>
      </c>
      <c r="P175" t="str">
        <f ca="1">OFFSET(Sheet2!Q$2,(ROW(P176))*3,0)</f>
        <v>NOT BAD</v>
      </c>
      <c r="Q175">
        <f ca="1">OFFSET(Sheet2!R$2,(ROW(Q176))*3,0)</f>
        <v>0</v>
      </c>
      <c r="R175">
        <f ca="1">OFFSET(Sheet2!S$2,(ROW(R176))*3,0)</f>
        <v>0</v>
      </c>
      <c r="S175">
        <f ca="1">OFFSET(Sheet2!T$2,(ROW(S176))*3,0)</f>
        <v>0</v>
      </c>
      <c r="T175">
        <f ca="1">OFFSET(Sheet2!U$2,(ROW(T176))*3,0)</f>
        <v>0</v>
      </c>
      <c r="U175">
        <f ca="1">OFFSET(Sheet2!V$2,(ROW(U176))*3,0)</f>
        <v>0</v>
      </c>
    </row>
    <row r="176" spans="1:21" x14ac:dyDescent="0.35">
      <c r="A176" s="11">
        <f ca="1">OFFSET(Sheet2!B$2,(ROW(A177))*3,0)</f>
        <v>43876</v>
      </c>
      <c r="B176" s="11">
        <f ca="1">OFFSET(Sheet2!A$2,(ROW(A177))*3,0)</f>
        <v>43876</v>
      </c>
      <c r="C176">
        <f ca="1">OFFSET(Sheet2!C$2,(ROW(C177))*3,0)</f>
        <v>30</v>
      </c>
      <c r="D176" t="str">
        <f ca="1">OFFSET(Sheet2!D$2,(ROW(D177))*3,0)</f>
        <v>South</v>
      </c>
      <c r="E176" t="str">
        <f ca="1">OFFSET(Sheet2!F$2,(ROW(E177))*3,0)</f>
        <v>NABENDE AARON</v>
      </c>
      <c r="F176" t="str">
        <f ca="1">OFFSET(Sheet2!G$2,(ROW(F177))*3,0)</f>
        <v>H2Go</v>
      </c>
      <c r="G176">
        <f ca="1">OFFSET(Sheet2!H$2,(ROW(G177))*3,0)</f>
        <v>0</v>
      </c>
      <c r="H176" t="str">
        <f ca="1">OFFSET(Sheet2!I$2,(ROW(H177))*3,0)</f>
        <v>WEEKLY</v>
      </c>
      <c r="I176">
        <f ca="1">OFFSET(Sheet2!J$2,(ROW(I177))*3,0)</f>
        <v>123</v>
      </c>
      <c r="J176" t="str">
        <f ca="1">OFFSET(Sheet2!K$2,(ROW(J177))*3,0)</f>
        <v>Damage Observed</v>
      </c>
      <c r="K176" t="str">
        <f ca="1">OFFSET(Sheet2!L$2,(ROW(K177))*3,0)</f>
        <v>NOT BAD THOUGH USED UP</v>
      </c>
      <c r="L176" t="str">
        <f ca="1">OFFSET(Sheet2!M$2,(ROW(L177))*3,0)</f>
        <v>GOOD</v>
      </c>
      <c r="M176" t="str">
        <f ca="1">OFFSET(Sheet2!N$2,(ROW(M177))*3,0)</f>
        <v>GOOD</v>
      </c>
      <c r="N176" t="str">
        <f ca="1">OFFSET(Sheet2!O$2,(ROW(N177))*3,0)</f>
        <v>CLEAN</v>
      </c>
      <c r="O176" t="str">
        <f ca="1">OFFSET(Sheet2!P$2,(ROW(O177))*3,0)</f>
        <v>Clean(no soot)</v>
      </c>
      <c r="P176" t="str">
        <f ca="1">OFFSET(Sheet2!Q$2,(ROW(P177))*3,0)</f>
        <v>GOOD</v>
      </c>
      <c r="Q176">
        <f ca="1">OFFSET(Sheet2!R$2,(ROW(Q177))*3,0)</f>
        <v>0</v>
      </c>
      <c r="R176">
        <f ca="1">OFFSET(Sheet2!S$2,(ROW(R177))*3,0)</f>
        <v>0</v>
      </c>
      <c r="S176">
        <f ca="1">OFFSET(Sheet2!T$2,(ROW(S177))*3,0)</f>
        <v>0</v>
      </c>
      <c r="T176">
        <f ca="1">OFFSET(Sheet2!U$2,(ROW(T177))*3,0)</f>
        <v>0</v>
      </c>
      <c r="U176">
        <f ca="1">OFFSET(Sheet2!V$2,(ROW(U177))*3,0)</f>
        <v>0</v>
      </c>
    </row>
    <row r="177" spans="1:21" x14ac:dyDescent="0.35">
      <c r="A177" s="11">
        <f ca="1">OFFSET(Sheet2!B$2,(ROW(A178))*3,0)</f>
        <v>43885</v>
      </c>
      <c r="B177" s="11">
        <f ca="1">OFFSET(Sheet2!A$2,(ROW(A178))*3,0)</f>
        <v>43885</v>
      </c>
      <c r="C177">
        <f ca="1">OFFSET(Sheet2!C$2,(ROW(C178))*3,0)</f>
        <v>30</v>
      </c>
      <c r="D177" t="str">
        <f ca="1">OFFSET(Sheet2!D$2,(ROW(D178))*3,0)</f>
        <v>South</v>
      </c>
      <c r="E177" t="str">
        <f ca="1">OFFSET(Sheet2!F$2,(ROW(E178))*3,0)</f>
        <v>NABENDE AARON</v>
      </c>
      <c r="F177" t="str">
        <f ca="1">OFFSET(Sheet2!G$2,(ROW(F178))*3,0)</f>
        <v>CONTROL</v>
      </c>
      <c r="G177">
        <f ca="1">OFFSET(Sheet2!H$2,(ROW(G178))*3,0)</f>
        <v>0</v>
      </c>
      <c r="H177" t="str">
        <f ca="1">OFFSET(Sheet2!I$2,(ROW(H178))*3,0)</f>
        <v>WEEKLY</v>
      </c>
      <c r="I177">
        <f ca="1">OFFSET(Sheet2!J$2,(ROW(I178))*3,0)</f>
        <v>145</v>
      </c>
      <c r="J177" t="str">
        <f ca="1">OFFSET(Sheet2!K$2,(ROW(J178))*3,0)</f>
        <v>Damage Observed</v>
      </c>
      <c r="K177" t="str">
        <f ca="1">OFFSET(Sheet2!L$2,(ROW(K178))*3,0)</f>
        <v>Dirty</v>
      </c>
      <c r="L177" t="str">
        <f ca="1">OFFSET(Sheet2!M$2,(ROW(L178))*3,0)</f>
        <v>Clean</v>
      </c>
      <c r="M177" t="str">
        <f ca="1">OFFSET(Sheet2!N$2,(ROW(M178))*3,0)</f>
        <v>Good</v>
      </c>
      <c r="N177" t="str">
        <f ca="1">OFFSET(Sheet2!O$2,(ROW(N178))*3,0)</f>
        <v>Clean</v>
      </c>
      <c r="O177" t="str">
        <f ca="1">OFFSET(Sheet2!P$2,(ROW(O178))*3,0)</f>
        <v>Good</v>
      </c>
      <c r="P177" t="str">
        <f ca="1">OFFSET(Sheet2!Q$2,(ROW(P178))*3,0)</f>
        <v>In good Condition</v>
      </c>
      <c r="Q177">
        <f ca="1">OFFSET(Sheet2!R$2,(ROW(Q178))*3,0)</f>
        <v>0</v>
      </c>
      <c r="R177">
        <f ca="1">OFFSET(Sheet2!S$2,(ROW(R178))*3,0)</f>
        <v>0</v>
      </c>
      <c r="S177">
        <f ca="1">OFFSET(Sheet2!T$2,(ROW(S178))*3,0)</f>
        <v>0</v>
      </c>
      <c r="T177">
        <f ca="1">OFFSET(Sheet2!U$2,(ROW(T178))*3,0)</f>
        <v>0</v>
      </c>
      <c r="U177">
        <f ca="1">OFFSET(Sheet2!V$2,(ROW(U178))*3,0)</f>
        <v>0</v>
      </c>
    </row>
    <row r="178" spans="1:21" x14ac:dyDescent="0.35">
      <c r="A178" s="11">
        <f ca="1">OFFSET(Sheet2!B$2,(ROW(A179))*3,0)</f>
        <v>43869</v>
      </c>
      <c r="B178" s="11">
        <f ca="1">OFFSET(Sheet2!A$2,(ROW(A179))*3,0)</f>
        <v>43869</v>
      </c>
      <c r="C178">
        <f ca="1">OFFSET(Sheet2!C$2,(ROW(C179))*3,0)</f>
        <v>30</v>
      </c>
      <c r="D178" t="str">
        <f ca="1">OFFSET(Sheet2!D$2,(ROW(D179))*3,0)</f>
        <v>South</v>
      </c>
      <c r="E178" t="str">
        <f ca="1">OFFSET(Sheet2!F$2,(ROW(E179))*3,0)</f>
        <v>NABENDE AARON</v>
      </c>
      <c r="F178" t="str">
        <f ca="1">OFFSET(Sheet2!G$2,(ROW(F179))*3,0)</f>
        <v>CONTROL</v>
      </c>
      <c r="G178">
        <f ca="1">OFFSET(Sheet2!H$2,(ROW(G179))*3,0)</f>
        <v>0</v>
      </c>
      <c r="H178" t="str">
        <f ca="1">OFFSET(Sheet2!I$2,(ROW(H179))*3,0)</f>
        <v>WEEKLY</v>
      </c>
      <c r="I178">
        <f ca="1">OFFSET(Sheet2!J$2,(ROW(I179))*3,0)</f>
        <v>149</v>
      </c>
      <c r="J178" t="str">
        <f ca="1">OFFSET(Sheet2!K$2,(ROW(J179))*3,0)</f>
        <v>Damage Observed</v>
      </c>
      <c r="K178" t="str">
        <f ca="1">OFFSET(Sheet2!L$2,(ROW(K179))*3,0)</f>
        <v>DIRTY OIL</v>
      </c>
      <c r="L178" t="str">
        <f ca="1">OFFSET(Sheet2!M$2,(ROW(L179))*3,0)</f>
        <v>GOOD</v>
      </c>
      <c r="M178" t="str">
        <f ca="1">OFFSET(Sheet2!N$2,(ROW(M179))*3,0)</f>
        <v>GOOD</v>
      </c>
      <c r="N178" t="str">
        <f ca="1">OFFSET(Sheet2!O$2,(ROW(N179))*3,0)</f>
        <v>CLEAN</v>
      </c>
      <c r="O178" t="str">
        <f ca="1">OFFSET(Sheet2!P$2,(ROW(O179))*3,0)</f>
        <v>GOOD</v>
      </c>
      <c r="P178" t="str">
        <f ca="1">OFFSET(Sheet2!Q$2,(ROW(P179))*3,0)</f>
        <v>GOOD</v>
      </c>
      <c r="Q178">
        <f ca="1">OFFSET(Sheet2!R$2,(ROW(Q179))*3,0)</f>
        <v>0</v>
      </c>
      <c r="R178">
        <f ca="1">OFFSET(Sheet2!S$2,(ROW(R179))*3,0)</f>
        <v>0</v>
      </c>
      <c r="S178">
        <f ca="1">OFFSET(Sheet2!T$2,(ROW(S179))*3,0)</f>
        <v>0</v>
      </c>
      <c r="T178">
        <f ca="1">OFFSET(Sheet2!U$2,(ROW(T179))*3,0)</f>
        <v>0</v>
      </c>
      <c r="U178">
        <f ca="1">OFFSET(Sheet2!V$2,(ROW(U179))*3,0)</f>
        <v>0</v>
      </c>
    </row>
    <row r="179" spans="1:21" x14ac:dyDescent="0.35">
      <c r="A179" s="11">
        <f ca="1">OFFSET(Sheet2!B$2,(ROW(A180))*3,0)</f>
        <v>43892</v>
      </c>
      <c r="B179" s="11">
        <f ca="1">OFFSET(Sheet2!A$2,(ROW(A180))*3,0)</f>
        <v>43892</v>
      </c>
      <c r="C179">
        <f ca="1">OFFSET(Sheet2!C$2,(ROW(C180))*3,0)</f>
        <v>30</v>
      </c>
      <c r="D179" t="str">
        <f ca="1">OFFSET(Sheet2!D$2,(ROW(D180))*3,0)</f>
        <v>South</v>
      </c>
      <c r="E179" t="str">
        <f ca="1">OFFSET(Sheet2!F$2,(ROW(E180))*3,0)</f>
        <v>NABENDE AARON</v>
      </c>
      <c r="F179" t="str">
        <f ca="1">OFFSET(Sheet2!G$2,(ROW(F180))*3,0)</f>
        <v>CONTROL</v>
      </c>
      <c r="G179">
        <f ca="1">OFFSET(Sheet2!H$2,(ROW(G180))*3,0)</f>
        <v>0</v>
      </c>
      <c r="H179" t="str">
        <f ca="1">OFFSET(Sheet2!I$2,(ROW(H180))*3,0)</f>
        <v>WEEKLY</v>
      </c>
      <c r="I179">
        <f ca="1">OFFSET(Sheet2!J$2,(ROW(I180))*3,0)</f>
        <v>105</v>
      </c>
      <c r="J179" t="str">
        <f ca="1">OFFSET(Sheet2!K$2,(ROW(J180))*3,0)</f>
        <v>Damage Observed</v>
      </c>
      <c r="K179" t="str">
        <f ca="1">OFFSET(Sheet2!L$2,(ROW(K180))*3,0)</f>
        <v>Dirty</v>
      </c>
      <c r="L179" t="str">
        <f ca="1">OFFSET(Sheet2!M$2,(ROW(L180))*3,0)</f>
        <v>Dirty</v>
      </c>
      <c r="M179" t="str">
        <f ca="1">OFFSET(Sheet2!N$2,(ROW(M180))*3,0)</f>
        <v>Good</v>
      </c>
      <c r="N179" t="str">
        <f ca="1">OFFSET(Sheet2!O$2,(ROW(N180))*3,0)</f>
        <v>Very Dirty</v>
      </c>
      <c r="O179" t="str">
        <f ca="1">OFFSET(Sheet2!P$2,(ROW(O180))*3,0)</f>
        <v>Good</v>
      </c>
      <c r="P179" t="str">
        <f ca="1">OFFSET(Sheet2!Q$2,(ROW(P180))*3,0)</f>
        <v>Damaged</v>
      </c>
      <c r="Q179">
        <f ca="1">OFFSET(Sheet2!R$2,(ROW(Q180))*3,0)</f>
        <v>0</v>
      </c>
      <c r="R179">
        <f ca="1">OFFSET(Sheet2!S$2,(ROW(R180))*3,0)</f>
        <v>0</v>
      </c>
      <c r="S179">
        <f ca="1">OFFSET(Sheet2!T$2,(ROW(S180))*3,0)</f>
        <v>0</v>
      </c>
      <c r="T179">
        <f ca="1">OFFSET(Sheet2!U$2,(ROW(T180))*3,0)</f>
        <v>0</v>
      </c>
      <c r="U179">
        <f ca="1">OFFSET(Sheet2!V$2,(ROW(U180))*3,0)</f>
        <v>0</v>
      </c>
    </row>
    <row r="180" spans="1:21" x14ac:dyDescent="0.35">
      <c r="A180" s="11">
        <f ca="1">OFFSET(Sheet2!B$2,(ROW(A181))*3,0)</f>
        <v>43899</v>
      </c>
      <c r="B180" s="11">
        <f ca="1">OFFSET(Sheet2!A$2,(ROW(A181))*3,0)</f>
        <v>43899</v>
      </c>
      <c r="C180">
        <f ca="1">OFFSET(Sheet2!C$2,(ROW(C181))*3,0)</f>
        <v>30</v>
      </c>
      <c r="D180" t="str">
        <f ca="1">OFFSET(Sheet2!D$2,(ROW(D181))*3,0)</f>
        <v>South</v>
      </c>
      <c r="E180" t="str">
        <f ca="1">OFFSET(Sheet2!F$2,(ROW(E181))*3,0)</f>
        <v>NABENDE AARON</v>
      </c>
      <c r="F180" t="str">
        <f ca="1">OFFSET(Sheet2!G$2,(ROW(F181))*3,0)</f>
        <v>CONTROL</v>
      </c>
      <c r="G180">
        <f ca="1">OFFSET(Sheet2!H$2,(ROW(G181))*3,0)</f>
        <v>0</v>
      </c>
      <c r="H180" t="str">
        <f ca="1">OFFSET(Sheet2!I$2,(ROW(H181))*3,0)</f>
        <v>WEEKLY</v>
      </c>
      <c r="I180">
        <f ca="1">OFFSET(Sheet2!J$2,(ROW(I181))*3,0)</f>
        <v>107</v>
      </c>
      <c r="J180" t="str">
        <f ca="1">OFFSET(Sheet2!K$2,(ROW(J181))*3,0)</f>
        <v>Damage Observed</v>
      </c>
      <c r="K180" t="str">
        <f ca="1">OFFSET(Sheet2!L$2,(ROW(K181))*3,0)</f>
        <v>Okay</v>
      </c>
      <c r="L180" t="str">
        <f ca="1">OFFSET(Sheet2!M$2,(ROW(L181))*3,0)</f>
        <v>Okay</v>
      </c>
      <c r="M180" t="str">
        <f ca="1">OFFSET(Sheet2!N$2,(ROW(M181))*3,0)</f>
        <v>Good</v>
      </c>
      <c r="N180" t="str">
        <f ca="1">OFFSET(Sheet2!O$2,(ROW(N181))*3,0)</f>
        <v>Okay</v>
      </c>
      <c r="O180" t="str">
        <f ca="1">OFFSET(Sheet2!P$2,(ROW(O181))*3,0)</f>
        <v>Good</v>
      </c>
      <c r="P180" t="str">
        <f ca="1">OFFSET(Sheet2!Q$2,(ROW(P181))*3,0)</f>
        <v>In good Condition</v>
      </c>
      <c r="Q180">
        <f ca="1">OFFSET(Sheet2!R$2,(ROW(Q181))*3,0)</f>
        <v>0</v>
      </c>
      <c r="R180">
        <f ca="1">OFFSET(Sheet2!S$2,(ROW(R181))*3,0)</f>
        <v>0</v>
      </c>
      <c r="S180">
        <f ca="1">OFFSET(Sheet2!T$2,(ROW(S181))*3,0)</f>
        <v>0</v>
      </c>
      <c r="T180">
        <f ca="1">OFFSET(Sheet2!U$2,(ROW(T181))*3,0)</f>
        <v>0</v>
      </c>
      <c r="U180">
        <f ca="1">OFFSET(Sheet2!V$2,(ROW(U181))*3,0)</f>
        <v>0</v>
      </c>
    </row>
    <row r="181" spans="1:21" x14ac:dyDescent="0.35">
      <c r="A181" s="11">
        <f ca="1">OFFSET(Sheet2!B$2,(ROW(A182))*3,0)</f>
        <v>43855</v>
      </c>
      <c r="B181" s="11">
        <f ca="1">OFFSET(Sheet2!A$2,(ROW(A182))*3,0)</f>
        <v>43855</v>
      </c>
      <c r="C181">
        <f ca="1">OFFSET(Sheet2!C$2,(ROW(C182))*3,0)</f>
        <v>31</v>
      </c>
      <c r="D181" t="str">
        <f ca="1">OFFSET(Sheet2!D$2,(ROW(D182))*3,0)</f>
        <v>South</v>
      </c>
      <c r="E181" t="str">
        <f ca="1">OFFSET(Sheet2!F$2,(ROW(E182))*3,0)</f>
        <v>JENGO YAHAYA</v>
      </c>
      <c r="F181" t="str">
        <f ca="1">OFFSET(Sheet2!G$2,(ROW(F182))*3,0)</f>
        <v>Control</v>
      </c>
      <c r="G181">
        <f ca="1">OFFSET(Sheet2!H$2,(ROW(G182))*3,0)</f>
        <v>0</v>
      </c>
      <c r="H181" t="str">
        <f ca="1">OFFSET(Sheet2!I$2,(ROW(H182))*3,0)</f>
        <v>Comprehensive</v>
      </c>
      <c r="I181">
        <f ca="1">OFFSET(Sheet2!J$2,(ROW(I182))*3,0)</f>
        <v>65</v>
      </c>
      <c r="J181" t="str">
        <f ca="1">OFFSET(Sheet2!K$2,(ROW(J182))*3,0)</f>
        <v>Damage Observed</v>
      </c>
      <c r="K181" t="str">
        <f ca="1">OFFSET(Sheet2!L$2,(ROW(K182))*3,0)</f>
        <v>Okay</v>
      </c>
      <c r="L181" t="str">
        <f ca="1">OFFSET(Sheet2!M$2,(ROW(L182))*3,0)</f>
        <v>SERVICED</v>
      </c>
      <c r="M181" t="str">
        <f ca="1">OFFSET(Sheet2!N$2,(ROW(M182))*3,0)</f>
        <v>SERVICED</v>
      </c>
      <c r="N181" t="str">
        <f ca="1">OFFSET(Sheet2!O$2,(ROW(N182))*3,0)</f>
        <v>GOOD</v>
      </c>
      <c r="O181" t="str">
        <f ca="1">OFFSET(Sheet2!P$2,(ROW(O182))*3,0)</f>
        <v>GOOD</v>
      </c>
      <c r="P181" t="str">
        <f ca="1">OFFSET(Sheet2!Q$2,(ROW(P182))*3,0)</f>
        <v>new nut and waher replaced</v>
      </c>
      <c r="Q181">
        <f ca="1">OFFSET(Sheet2!R$2,(ROW(Q182))*3,0)</f>
        <v>0</v>
      </c>
      <c r="R181">
        <f ca="1">OFFSET(Sheet2!S$2,(ROW(R182))*3,0)</f>
        <v>0</v>
      </c>
      <c r="S181">
        <f ca="1">OFFSET(Sheet2!T$2,(ROW(S182))*3,0)</f>
        <v>0</v>
      </c>
      <c r="T181">
        <f ca="1">OFFSET(Sheet2!U$2,(ROW(T182))*3,0)</f>
        <v>0</v>
      </c>
      <c r="U181">
        <f ca="1">OFFSET(Sheet2!V$2,(ROW(U182))*3,0)</f>
        <v>0</v>
      </c>
    </row>
    <row r="182" spans="1:21" x14ac:dyDescent="0.35">
      <c r="A182" s="11">
        <f ca="1">OFFSET(Sheet2!B$2,(ROW(A183))*3,0)</f>
        <v>43862</v>
      </c>
      <c r="B182" s="11">
        <f ca="1">OFFSET(Sheet2!A$2,(ROW(A183))*3,0)</f>
        <v>43862</v>
      </c>
      <c r="C182">
        <f ca="1">OFFSET(Sheet2!C$2,(ROW(C183))*3,0)</f>
        <v>31</v>
      </c>
      <c r="D182" t="str">
        <f ca="1">OFFSET(Sheet2!D$2,(ROW(D183))*3,0)</f>
        <v>South</v>
      </c>
      <c r="E182" t="str">
        <f ca="1">OFFSET(Sheet2!F$2,(ROW(E183))*3,0)</f>
        <v>JENGO YAHAYA</v>
      </c>
      <c r="F182" t="str">
        <f ca="1">OFFSET(Sheet2!G$2,(ROW(F183))*3,0)</f>
        <v>H2Go</v>
      </c>
      <c r="G182">
        <f ca="1">OFFSET(Sheet2!H$2,(ROW(G183))*3,0)</f>
        <v>0</v>
      </c>
      <c r="H182" t="str">
        <f ca="1">OFFSET(Sheet2!I$2,(ROW(H183))*3,0)</f>
        <v>WEEKLY</v>
      </c>
      <c r="I182">
        <f ca="1">OFFSET(Sheet2!J$2,(ROW(I183))*3,0)</f>
        <v>117</v>
      </c>
      <c r="J182" t="str">
        <f ca="1">OFFSET(Sheet2!K$2,(ROW(J183))*3,0)</f>
        <v>Damage Observed</v>
      </c>
      <c r="K182" t="str">
        <f ca="1">OFFSET(Sheet2!L$2,(ROW(K183))*3,0)</f>
        <v>NOT BAD THOUGH USED UP</v>
      </c>
      <c r="L182" t="str">
        <f ca="1">OFFSET(Sheet2!M$2,(ROW(L183))*3,0)</f>
        <v>GOOD</v>
      </c>
      <c r="M182" t="str">
        <f ca="1">OFFSET(Sheet2!N$2,(ROW(M183))*3,0)</f>
        <v>GOOD</v>
      </c>
      <c r="N182" t="str">
        <f ca="1">OFFSET(Sheet2!O$2,(ROW(N183))*3,0)</f>
        <v>CLEAN</v>
      </c>
      <c r="O182" t="str">
        <f ca="1">OFFSET(Sheet2!P$2,(ROW(O183))*3,0)</f>
        <v>Clean(no soot)</v>
      </c>
      <c r="P182" t="str">
        <f ca="1">OFFSET(Sheet2!Q$2,(ROW(P183))*3,0)</f>
        <v>GOOD</v>
      </c>
      <c r="Q182">
        <f ca="1">OFFSET(Sheet2!R$2,(ROW(Q183))*3,0)</f>
        <v>0</v>
      </c>
      <c r="R182">
        <f ca="1">OFFSET(Sheet2!S$2,(ROW(R183))*3,0)</f>
        <v>0</v>
      </c>
      <c r="S182">
        <f ca="1">OFFSET(Sheet2!T$2,(ROW(S183))*3,0)</f>
        <v>0</v>
      </c>
      <c r="T182">
        <f ca="1">OFFSET(Sheet2!U$2,(ROW(T183))*3,0)</f>
        <v>0</v>
      </c>
      <c r="U182">
        <f ca="1">OFFSET(Sheet2!V$2,(ROW(U183))*3,0)</f>
        <v>0</v>
      </c>
    </row>
    <row r="183" spans="1:21" x14ac:dyDescent="0.35">
      <c r="A183" s="11">
        <f ca="1">OFFSET(Sheet2!B$2,(ROW(A184))*3,0)</f>
        <v>43869</v>
      </c>
      <c r="B183" s="11">
        <f ca="1">OFFSET(Sheet2!A$2,(ROW(A184))*3,0)</f>
        <v>43869</v>
      </c>
      <c r="C183">
        <f ca="1">OFFSET(Sheet2!C$2,(ROW(C184))*3,0)</f>
        <v>31</v>
      </c>
      <c r="D183" t="str">
        <f ca="1">OFFSET(Sheet2!D$2,(ROW(D184))*3,0)</f>
        <v>South</v>
      </c>
      <c r="E183" t="str">
        <f ca="1">OFFSET(Sheet2!F$2,(ROW(E184))*3,0)</f>
        <v>JENGO YAHAYA</v>
      </c>
      <c r="F183" t="str">
        <f ca="1">OFFSET(Sheet2!G$2,(ROW(F184))*3,0)</f>
        <v>Control</v>
      </c>
      <c r="G183">
        <f ca="1">OFFSET(Sheet2!H$2,(ROW(G184))*3,0)</f>
        <v>0</v>
      </c>
      <c r="H183" t="str">
        <f ca="1">OFFSET(Sheet2!I$2,(ROW(H184))*3,0)</f>
        <v>WEEKLY</v>
      </c>
      <c r="I183">
        <f ca="1">OFFSET(Sheet2!J$2,(ROW(I184))*3,0)</f>
        <v>192</v>
      </c>
      <c r="J183" t="str">
        <f ca="1">OFFSET(Sheet2!K$2,(ROW(J184))*3,0)</f>
        <v>Damage Observed</v>
      </c>
      <c r="K183" t="str">
        <f ca="1">OFFSET(Sheet2!L$2,(ROW(K184))*3,0)</f>
        <v>GOOD IN CONDITION THOUGH CHANGED</v>
      </c>
      <c r="L183" t="str">
        <f ca="1">OFFSET(Sheet2!M$2,(ROW(L184))*3,0)</f>
        <v>GOOD</v>
      </c>
      <c r="M183" t="str">
        <f ca="1">OFFSET(Sheet2!N$2,(ROW(M184))*3,0)</f>
        <v>NOT BAD THOUGH CHECKED</v>
      </c>
      <c r="N183" t="str">
        <f ca="1">OFFSET(Sheet2!O$2,(ROW(N184))*3,0)</f>
        <v>NOT DIRTY</v>
      </c>
      <c r="O183" t="str">
        <f ca="1">OFFSET(Sheet2!P$2,(ROW(O184))*3,0)</f>
        <v>GOOD</v>
      </c>
      <c r="P183" t="str">
        <f ca="1">OFFSET(Sheet2!Q$2,(ROW(P184))*3,0)</f>
        <v>VERY GOOD IN CONDITION</v>
      </c>
      <c r="Q183">
        <f ca="1">OFFSET(Sheet2!R$2,(ROW(Q184))*3,0)</f>
        <v>0</v>
      </c>
      <c r="R183">
        <f ca="1">OFFSET(Sheet2!S$2,(ROW(R184))*3,0)</f>
        <v>0</v>
      </c>
      <c r="S183">
        <f ca="1">OFFSET(Sheet2!T$2,(ROW(S184))*3,0)</f>
        <v>0</v>
      </c>
      <c r="T183">
        <f ca="1">OFFSET(Sheet2!U$2,(ROW(T184))*3,0)</f>
        <v>0</v>
      </c>
      <c r="U183">
        <f ca="1">OFFSET(Sheet2!V$2,(ROW(U184))*3,0)</f>
        <v>0</v>
      </c>
    </row>
    <row r="184" spans="1:21" x14ac:dyDescent="0.35">
      <c r="A184" s="11">
        <f ca="1">OFFSET(Sheet2!B$2,(ROW(A185))*3,0)</f>
        <v>43876</v>
      </c>
      <c r="B184" s="11">
        <f ca="1">OFFSET(Sheet2!A$2,(ROW(A185))*3,0)</f>
        <v>43876</v>
      </c>
      <c r="C184">
        <f ca="1">OFFSET(Sheet2!C$2,(ROW(C185))*3,0)</f>
        <v>31</v>
      </c>
      <c r="D184" t="str">
        <f ca="1">OFFSET(Sheet2!D$2,(ROW(D185))*3,0)</f>
        <v>South</v>
      </c>
      <c r="E184" t="str">
        <f ca="1">OFFSET(Sheet2!F$2,(ROW(E185))*3,0)</f>
        <v>JENGO YAHAYA</v>
      </c>
      <c r="F184" t="str">
        <f ca="1">OFFSET(Sheet2!G$2,(ROW(F185))*3,0)</f>
        <v>H2Go</v>
      </c>
      <c r="G184">
        <f ca="1">OFFSET(Sheet2!H$2,(ROW(G185))*3,0)</f>
        <v>0</v>
      </c>
      <c r="H184" t="str">
        <f ca="1">OFFSET(Sheet2!I$2,(ROW(H185))*3,0)</f>
        <v>WEEKLY</v>
      </c>
      <c r="I184">
        <f ca="1">OFFSET(Sheet2!J$2,(ROW(I185))*3,0)</f>
        <v>126</v>
      </c>
      <c r="J184" t="str">
        <f ca="1">OFFSET(Sheet2!K$2,(ROW(J185))*3,0)</f>
        <v>Damage Observed</v>
      </c>
      <c r="K184" t="str">
        <f ca="1">OFFSET(Sheet2!L$2,(ROW(K185))*3,0)</f>
        <v>NOT BAD THOUGH USED UP</v>
      </c>
      <c r="L184" t="str">
        <f ca="1">OFFSET(Sheet2!M$2,(ROW(L185))*3,0)</f>
        <v>LOOSE SHOCK-ABSORBER &amp; SEALS</v>
      </c>
      <c r="M184" t="str">
        <f ca="1">OFFSET(Sheet2!N$2,(ROW(M185))*3,0)</f>
        <v>Loose</v>
      </c>
      <c r="N184" t="str">
        <f ca="1">OFFSET(Sheet2!O$2,(ROW(N185))*3,0)</f>
        <v>CLEAN</v>
      </c>
      <c r="O184" t="str">
        <f ca="1">OFFSET(Sheet2!P$2,(ROW(O185))*3,0)</f>
        <v>Clean(no soot)</v>
      </c>
      <c r="P184" t="str">
        <f ca="1">OFFSET(Sheet2!Q$2,(ROW(P185))*3,0)</f>
        <v>GOOD</v>
      </c>
      <c r="Q184">
        <f ca="1">OFFSET(Sheet2!R$2,(ROW(Q185))*3,0)</f>
        <v>0</v>
      </c>
      <c r="R184">
        <f ca="1">OFFSET(Sheet2!S$2,(ROW(R185))*3,0)</f>
        <v>0</v>
      </c>
      <c r="S184">
        <f ca="1">OFFSET(Sheet2!T$2,(ROW(S185))*3,0)</f>
        <v>0</v>
      </c>
      <c r="T184">
        <f ca="1">OFFSET(Sheet2!U$2,(ROW(T185))*3,0)</f>
        <v>0</v>
      </c>
      <c r="U184">
        <f ca="1">OFFSET(Sheet2!V$2,(ROW(U185))*3,0)</f>
        <v>0</v>
      </c>
    </row>
    <row r="185" spans="1:21" x14ac:dyDescent="0.35">
      <c r="A185" s="11">
        <f ca="1">OFFSET(Sheet2!B$2,(ROW(A186))*3,0)</f>
        <v>43885</v>
      </c>
      <c r="B185" s="11">
        <f ca="1">OFFSET(Sheet2!A$2,(ROW(A186))*3,0)</f>
        <v>43885</v>
      </c>
      <c r="C185">
        <f ca="1">OFFSET(Sheet2!C$2,(ROW(C186))*3,0)</f>
        <v>31</v>
      </c>
      <c r="D185" t="str">
        <f ca="1">OFFSET(Sheet2!D$2,(ROW(D186))*3,0)</f>
        <v>South</v>
      </c>
      <c r="E185" t="str">
        <f ca="1">OFFSET(Sheet2!F$2,(ROW(E186))*3,0)</f>
        <v>JENGO YAHAYA</v>
      </c>
      <c r="F185" t="str">
        <f ca="1">OFFSET(Sheet2!G$2,(ROW(F186))*3,0)</f>
        <v>CONTROL</v>
      </c>
      <c r="G185">
        <f ca="1">OFFSET(Sheet2!H$2,(ROW(G186))*3,0)</f>
        <v>0</v>
      </c>
      <c r="H185" t="str">
        <f ca="1">OFFSET(Sheet2!I$2,(ROW(H186))*3,0)</f>
        <v>WEEKLY</v>
      </c>
      <c r="I185">
        <f ca="1">OFFSET(Sheet2!J$2,(ROW(I186))*3,0)</f>
        <v>114</v>
      </c>
      <c r="J185" t="str">
        <f ca="1">OFFSET(Sheet2!K$2,(ROW(J186))*3,0)</f>
        <v>Damage Observed</v>
      </c>
      <c r="K185" t="str">
        <f ca="1">OFFSET(Sheet2!L$2,(ROW(K186))*3,0)</f>
        <v>Very Dirty</v>
      </c>
      <c r="L185" t="str">
        <f ca="1">OFFSET(Sheet2!M$2,(ROW(L186))*3,0)</f>
        <v>Clean</v>
      </c>
      <c r="M185" t="str">
        <f ca="1">OFFSET(Sheet2!N$2,(ROW(M186))*3,0)</f>
        <v>Good</v>
      </c>
      <c r="N185" t="str">
        <f ca="1">OFFSET(Sheet2!O$2,(ROW(N186))*3,0)</f>
        <v>Clean</v>
      </c>
      <c r="O185" t="str">
        <f ca="1">OFFSET(Sheet2!P$2,(ROW(O186))*3,0)</f>
        <v>Good</v>
      </c>
      <c r="P185" t="str">
        <f ca="1">OFFSET(Sheet2!Q$2,(ROW(P186))*3,0)</f>
        <v>In good Condition</v>
      </c>
      <c r="Q185">
        <f ca="1">OFFSET(Sheet2!R$2,(ROW(Q186))*3,0)</f>
        <v>0</v>
      </c>
      <c r="R185">
        <f ca="1">OFFSET(Sheet2!S$2,(ROW(R186))*3,0)</f>
        <v>0</v>
      </c>
      <c r="S185">
        <f ca="1">OFFSET(Sheet2!T$2,(ROW(S186))*3,0)</f>
        <v>0</v>
      </c>
      <c r="T185">
        <f ca="1">OFFSET(Sheet2!U$2,(ROW(T186))*3,0)</f>
        <v>0</v>
      </c>
      <c r="U185">
        <f ca="1">OFFSET(Sheet2!V$2,(ROW(U186))*3,0)</f>
        <v>0</v>
      </c>
    </row>
    <row r="186" spans="1:21" x14ac:dyDescent="0.35">
      <c r="A186" s="11">
        <f ca="1">OFFSET(Sheet2!B$2,(ROW(A187))*3,0)</f>
        <v>43892</v>
      </c>
      <c r="B186" s="11">
        <f ca="1">OFFSET(Sheet2!A$2,(ROW(A187))*3,0)</f>
        <v>43892</v>
      </c>
      <c r="C186">
        <f ca="1">OFFSET(Sheet2!C$2,(ROW(C187))*3,0)</f>
        <v>31</v>
      </c>
      <c r="D186" t="str">
        <f ca="1">OFFSET(Sheet2!D$2,(ROW(D187))*3,0)</f>
        <v>South</v>
      </c>
      <c r="E186" t="str">
        <f ca="1">OFFSET(Sheet2!F$2,(ROW(E187))*3,0)</f>
        <v>JENGO YAHAYA</v>
      </c>
      <c r="F186" t="str">
        <f ca="1">OFFSET(Sheet2!G$2,(ROW(F187))*3,0)</f>
        <v>CONTROL</v>
      </c>
      <c r="G186">
        <f ca="1">OFFSET(Sheet2!H$2,(ROW(G187))*3,0)</f>
        <v>0</v>
      </c>
      <c r="H186" t="str">
        <f ca="1">OFFSET(Sheet2!I$2,(ROW(H187))*3,0)</f>
        <v>WEEKLY</v>
      </c>
      <c r="I186">
        <f ca="1">OFFSET(Sheet2!J$2,(ROW(I187))*3,0)</f>
        <v>140</v>
      </c>
      <c r="J186" t="str">
        <f ca="1">OFFSET(Sheet2!K$2,(ROW(J187))*3,0)</f>
        <v>Damage Observed</v>
      </c>
      <c r="K186" t="str">
        <f ca="1">OFFSET(Sheet2!L$2,(ROW(K187))*3,0)</f>
        <v>Dirty</v>
      </c>
      <c r="L186" t="str">
        <f ca="1">OFFSET(Sheet2!M$2,(ROW(L187))*3,0)</f>
        <v>Dirty</v>
      </c>
      <c r="M186" t="str">
        <f ca="1">OFFSET(Sheet2!N$2,(ROW(M187))*3,0)</f>
        <v>Misaligned</v>
      </c>
      <c r="N186" t="str">
        <f ca="1">OFFSET(Sheet2!O$2,(ROW(N187))*3,0)</f>
        <v>Dirty</v>
      </c>
      <c r="O186" t="str">
        <f ca="1">OFFSET(Sheet2!P$2,(ROW(O187))*3,0)</f>
        <v>Needs to be Changed</v>
      </c>
      <c r="P186" t="str">
        <f ca="1">OFFSET(Sheet2!Q$2,(ROW(P187))*3,0)</f>
        <v>Nut and washer worn out</v>
      </c>
      <c r="Q186">
        <f ca="1">OFFSET(Sheet2!R$2,(ROW(Q187))*3,0)</f>
        <v>0</v>
      </c>
      <c r="R186">
        <f ca="1">OFFSET(Sheet2!S$2,(ROW(R187))*3,0)</f>
        <v>0</v>
      </c>
      <c r="S186">
        <f ca="1">OFFSET(Sheet2!T$2,(ROW(S187))*3,0)</f>
        <v>0</v>
      </c>
      <c r="T186">
        <f ca="1">OFFSET(Sheet2!U$2,(ROW(T187))*3,0)</f>
        <v>0</v>
      </c>
      <c r="U186">
        <f ca="1">OFFSET(Sheet2!V$2,(ROW(U187))*3,0)</f>
        <v>0</v>
      </c>
    </row>
    <row r="187" spans="1:21" x14ac:dyDescent="0.35">
      <c r="A187" s="11">
        <f ca="1">OFFSET(Sheet2!B$2,(ROW(A188))*3,0)</f>
        <v>43899</v>
      </c>
      <c r="B187" s="11">
        <f ca="1">OFFSET(Sheet2!A$2,(ROW(A188))*3,0)</f>
        <v>43899</v>
      </c>
      <c r="C187">
        <f ca="1">OFFSET(Sheet2!C$2,(ROW(C188))*3,0)</f>
        <v>31</v>
      </c>
      <c r="D187" t="str">
        <f ca="1">OFFSET(Sheet2!D$2,(ROW(D188))*3,0)</f>
        <v>South</v>
      </c>
      <c r="E187" t="str">
        <f ca="1">OFFSET(Sheet2!F$2,(ROW(E188))*3,0)</f>
        <v>JENGO YAHAYA</v>
      </c>
      <c r="F187" t="str">
        <f ca="1">OFFSET(Sheet2!G$2,(ROW(F188))*3,0)</f>
        <v>CONTROL</v>
      </c>
      <c r="G187">
        <f ca="1">OFFSET(Sheet2!H$2,(ROW(G188))*3,0)</f>
        <v>0</v>
      </c>
      <c r="H187" t="str">
        <f ca="1">OFFSET(Sheet2!I$2,(ROW(H188))*3,0)</f>
        <v>WEEKLY</v>
      </c>
      <c r="I187">
        <f ca="1">OFFSET(Sheet2!J$2,(ROW(I188))*3,0)</f>
        <v>160</v>
      </c>
      <c r="J187" t="str">
        <f ca="1">OFFSET(Sheet2!K$2,(ROW(J188))*3,0)</f>
        <v>Damage Observed</v>
      </c>
      <c r="K187" t="str">
        <f ca="1">OFFSET(Sheet2!L$2,(ROW(K188))*3,0)</f>
        <v>Okay</v>
      </c>
      <c r="L187" t="str">
        <f ca="1">OFFSET(Sheet2!M$2,(ROW(L188))*3,0)</f>
        <v>Dirty</v>
      </c>
      <c r="M187" t="str">
        <f ca="1">OFFSET(Sheet2!N$2,(ROW(M188))*3,0)</f>
        <v>Good</v>
      </c>
      <c r="N187" t="str">
        <f ca="1">OFFSET(Sheet2!O$2,(ROW(N188))*3,0)</f>
        <v>Okay</v>
      </c>
      <c r="O187" t="str">
        <f ca="1">OFFSET(Sheet2!P$2,(ROW(O188))*3,0)</f>
        <v>Good</v>
      </c>
      <c r="P187" t="str">
        <f ca="1">OFFSET(Sheet2!Q$2,(ROW(P188))*3,0)</f>
        <v>In good Condition</v>
      </c>
      <c r="Q187">
        <f ca="1">OFFSET(Sheet2!R$2,(ROW(Q188))*3,0)</f>
        <v>0</v>
      </c>
      <c r="R187">
        <f ca="1">OFFSET(Sheet2!S$2,(ROW(R188))*3,0)</f>
        <v>0</v>
      </c>
      <c r="S187">
        <f ca="1">OFFSET(Sheet2!T$2,(ROW(S188))*3,0)</f>
        <v>0</v>
      </c>
      <c r="T187">
        <f ca="1">OFFSET(Sheet2!U$2,(ROW(T188))*3,0)</f>
        <v>0</v>
      </c>
      <c r="U187">
        <f ca="1">OFFSET(Sheet2!V$2,(ROW(U188))*3,0)</f>
        <v>0</v>
      </c>
    </row>
    <row r="188" spans="1:21" x14ac:dyDescent="0.35">
      <c r="A188" s="11">
        <f ca="1">OFFSET(Sheet2!B$2,(ROW(A189))*3,0)</f>
        <v>43848</v>
      </c>
      <c r="B188" s="11">
        <f ca="1">OFFSET(Sheet2!A$2,(ROW(A189))*3,0)</f>
        <v>43848</v>
      </c>
      <c r="C188">
        <f ca="1">OFFSET(Sheet2!C$2,(ROW(C189))*3,0)</f>
        <v>32</v>
      </c>
      <c r="D188" t="str">
        <f ca="1">OFFSET(Sheet2!D$2,(ROW(D189))*3,0)</f>
        <v>South</v>
      </c>
      <c r="E188" t="str">
        <f ca="1">OFFSET(Sheet2!F$2,(ROW(E189))*3,0)</f>
        <v>LUBEGA YUSUF</v>
      </c>
      <c r="F188" t="str">
        <f ca="1">OFFSET(Sheet2!G$2,(ROW(F189))*3,0)</f>
        <v>Control</v>
      </c>
      <c r="G188">
        <f ca="1">OFFSET(Sheet2!H$2,(ROW(G189))*3,0)</f>
        <v>0</v>
      </c>
      <c r="H188" t="str">
        <f ca="1">OFFSET(Sheet2!I$2,(ROW(H189))*3,0)</f>
        <v>Comprehensive</v>
      </c>
      <c r="I188">
        <f ca="1">OFFSET(Sheet2!J$2,(ROW(I189))*3,0)</f>
        <v>61</v>
      </c>
      <c r="J188" t="str">
        <f ca="1">OFFSET(Sheet2!K$2,(ROW(J189))*3,0)</f>
        <v>Damage Observed</v>
      </c>
      <c r="K188" t="str">
        <f ca="1">OFFSET(Sheet2!L$2,(ROW(K189))*3,0)</f>
        <v>Okay</v>
      </c>
      <c r="L188" t="str">
        <f ca="1">OFFSET(Sheet2!M$2,(ROW(L189))*3,0)</f>
        <v>GOOD ATLEAST</v>
      </c>
      <c r="M188" t="str">
        <f ca="1">OFFSET(Sheet2!N$2,(ROW(M189))*3,0)</f>
        <v>GOOD</v>
      </c>
      <c r="N188" t="str">
        <f ca="1">OFFSET(Sheet2!O$2,(ROW(N189))*3,0)</f>
        <v>GOOD</v>
      </c>
      <c r="O188" t="str">
        <f ca="1">OFFSET(Sheet2!P$2,(ROW(O189))*3,0)</f>
        <v>GOOD IN CONDITION</v>
      </c>
      <c r="P188" t="str">
        <f ca="1">OFFSET(Sheet2!Q$2,(ROW(P189))*3,0)</f>
        <v>GOOD</v>
      </c>
      <c r="Q188" t="str">
        <f ca="1">OFFSET(Sheet2!R$2,(ROW(Q189))*3,0)</f>
        <v>ATLEAST GOOD</v>
      </c>
      <c r="R188" t="str">
        <f ca="1">OFFSET(Sheet2!S$2,(ROW(R189))*3,0)</f>
        <v>GOOD</v>
      </c>
      <c r="S188" t="str">
        <f ca="1">OFFSET(Sheet2!T$2,(ROW(S189))*3,0)</f>
        <v xml:space="preserve"> GOOD</v>
      </c>
      <c r="T188">
        <f ca="1">OFFSET(Sheet2!U$2,(ROW(T189))*3,0)</f>
        <v>0</v>
      </c>
      <c r="U188">
        <f ca="1">OFFSET(Sheet2!V$2,(ROW(U189))*3,0)</f>
        <v>0</v>
      </c>
    </row>
    <row r="189" spans="1:21" x14ac:dyDescent="0.35">
      <c r="A189" s="11">
        <f ca="1">OFFSET(Sheet2!B$2,(ROW(A190))*3,0)</f>
        <v>43855</v>
      </c>
      <c r="B189" s="11">
        <f ca="1">OFFSET(Sheet2!A$2,(ROW(A190))*3,0)</f>
        <v>43855</v>
      </c>
      <c r="C189">
        <f ca="1">OFFSET(Sheet2!C$2,(ROW(C190))*3,0)</f>
        <v>32</v>
      </c>
      <c r="D189" t="str">
        <f ca="1">OFFSET(Sheet2!D$2,(ROW(D190))*3,0)</f>
        <v>South</v>
      </c>
      <c r="E189" t="str">
        <f ca="1">OFFSET(Sheet2!F$2,(ROW(E190))*3,0)</f>
        <v>LUBEGA YUSUF</v>
      </c>
      <c r="F189" t="str">
        <f ca="1">OFFSET(Sheet2!G$2,(ROW(F190))*3,0)</f>
        <v>Control</v>
      </c>
      <c r="G189">
        <f ca="1">OFFSET(Sheet2!H$2,(ROW(G190))*3,0)</f>
        <v>0</v>
      </c>
      <c r="H189" t="str">
        <f ca="1">OFFSET(Sheet2!I$2,(ROW(H190))*3,0)</f>
        <v>WEEKLY</v>
      </c>
      <c r="I189">
        <f ca="1">OFFSET(Sheet2!J$2,(ROW(I190))*3,0)</f>
        <v>64</v>
      </c>
      <c r="J189" t="str">
        <f ca="1">OFFSET(Sheet2!K$2,(ROW(J190))*3,0)</f>
        <v>Damage Observed</v>
      </c>
      <c r="K189" t="str">
        <f ca="1">OFFSET(Sheet2!L$2,(ROW(K190))*3,0)</f>
        <v>Good</v>
      </c>
      <c r="L189" t="str">
        <f ca="1">OFFSET(Sheet2!M$2,(ROW(L190))*3,0)</f>
        <v>SERVICED BUT IN A BAD CONDITION</v>
      </c>
      <c r="M189" t="str">
        <f ca="1">OFFSET(Sheet2!N$2,(ROW(M190))*3,0)</f>
        <v>GOOD</v>
      </c>
      <c r="N189" t="str">
        <f ca="1">OFFSET(Sheet2!O$2,(ROW(N190))*3,0)</f>
        <v>GOOD</v>
      </c>
      <c r="O189" t="str">
        <f ca="1">OFFSET(Sheet2!P$2,(ROW(O190))*3,0)</f>
        <v>GOOD IN CONDITION</v>
      </c>
      <c r="P189" t="str">
        <f ca="1">OFFSET(Sheet2!Q$2,(ROW(P190))*3,0)</f>
        <v>good</v>
      </c>
      <c r="Q189">
        <f ca="1">OFFSET(Sheet2!R$2,(ROW(Q190))*3,0)</f>
        <v>0</v>
      </c>
      <c r="R189">
        <f ca="1">OFFSET(Sheet2!S$2,(ROW(R190))*3,0)</f>
        <v>0</v>
      </c>
      <c r="S189">
        <f ca="1">OFFSET(Sheet2!T$2,(ROW(S190))*3,0)</f>
        <v>0</v>
      </c>
      <c r="T189">
        <f ca="1">OFFSET(Sheet2!U$2,(ROW(T190))*3,0)</f>
        <v>0</v>
      </c>
      <c r="U189">
        <f ca="1">OFFSET(Sheet2!V$2,(ROW(U190))*3,0)</f>
        <v>0</v>
      </c>
    </row>
    <row r="190" spans="1:21" x14ac:dyDescent="0.35">
      <c r="A190" s="11">
        <f ca="1">OFFSET(Sheet2!B$2,(ROW(A191))*3,0)</f>
        <v>43862</v>
      </c>
      <c r="B190" s="11">
        <f ca="1">OFFSET(Sheet2!A$2,(ROW(A191))*3,0)</f>
        <v>43862</v>
      </c>
      <c r="C190">
        <f ca="1">OFFSET(Sheet2!C$2,(ROW(C191))*3,0)</f>
        <v>32</v>
      </c>
      <c r="D190" t="str">
        <f ca="1">OFFSET(Sheet2!D$2,(ROW(D191))*3,0)</f>
        <v>South</v>
      </c>
      <c r="E190" t="str">
        <f ca="1">OFFSET(Sheet2!F$2,(ROW(E191))*3,0)</f>
        <v>LUBEGA YUSUF</v>
      </c>
      <c r="F190" t="str">
        <f ca="1">OFFSET(Sheet2!G$2,(ROW(F191))*3,0)</f>
        <v>H2Go</v>
      </c>
      <c r="G190">
        <f ca="1">OFFSET(Sheet2!H$2,(ROW(G191))*3,0)</f>
        <v>0</v>
      </c>
      <c r="H190" t="str">
        <f ca="1">OFFSET(Sheet2!I$2,(ROW(H191))*3,0)</f>
        <v>WEEKLY</v>
      </c>
      <c r="I190">
        <f ca="1">OFFSET(Sheet2!J$2,(ROW(I191))*3,0)</f>
        <v>119</v>
      </c>
      <c r="J190" t="str">
        <f ca="1">OFFSET(Sheet2!K$2,(ROW(J191))*3,0)</f>
        <v>Damage Observed</v>
      </c>
      <c r="K190" t="str">
        <f ca="1">OFFSET(Sheet2!L$2,(ROW(K191))*3,0)</f>
        <v>NOT BAD THOUGH USED UP</v>
      </c>
      <c r="L190" t="str">
        <f ca="1">OFFSET(Sheet2!M$2,(ROW(L191))*3,0)</f>
        <v>GOOD</v>
      </c>
      <c r="M190" t="str">
        <f ca="1">OFFSET(Sheet2!N$2,(ROW(M191))*3,0)</f>
        <v>GOOD</v>
      </c>
      <c r="N190" t="str">
        <f ca="1">OFFSET(Sheet2!O$2,(ROW(N191))*3,0)</f>
        <v>CLEAN</v>
      </c>
      <c r="O190" t="str">
        <f ca="1">OFFSET(Sheet2!P$2,(ROW(O191))*3,0)</f>
        <v>Clean(no soot)</v>
      </c>
      <c r="P190" t="str">
        <f ca="1">OFFSET(Sheet2!Q$2,(ROW(P191))*3,0)</f>
        <v>GOOD</v>
      </c>
      <c r="Q190">
        <f ca="1">OFFSET(Sheet2!R$2,(ROW(Q191))*3,0)</f>
        <v>0</v>
      </c>
      <c r="R190">
        <f ca="1">OFFSET(Sheet2!S$2,(ROW(R191))*3,0)</f>
        <v>0</v>
      </c>
      <c r="S190">
        <f ca="1">OFFSET(Sheet2!T$2,(ROW(S191))*3,0)</f>
        <v>0</v>
      </c>
      <c r="T190">
        <f ca="1">OFFSET(Sheet2!U$2,(ROW(T191))*3,0)</f>
        <v>0</v>
      </c>
      <c r="U190">
        <f ca="1">OFFSET(Sheet2!V$2,(ROW(U191))*3,0)</f>
        <v>0</v>
      </c>
    </row>
    <row r="191" spans="1:21" x14ac:dyDescent="0.35">
      <c r="A191" s="11">
        <f ca="1">OFFSET(Sheet2!B$2,(ROW(A192))*3,0)</f>
        <v>43869</v>
      </c>
      <c r="B191" s="11">
        <f ca="1">OFFSET(Sheet2!A$2,(ROW(A192))*3,0)</f>
        <v>43869</v>
      </c>
      <c r="C191">
        <f ca="1">OFFSET(Sheet2!C$2,(ROW(C192))*3,0)</f>
        <v>32</v>
      </c>
      <c r="D191" t="str">
        <f ca="1">OFFSET(Sheet2!D$2,(ROW(D192))*3,0)</f>
        <v>South</v>
      </c>
      <c r="E191" t="str">
        <f ca="1">OFFSET(Sheet2!F$2,(ROW(E192))*3,0)</f>
        <v>LUBEGA YUSUF</v>
      </c>
      <c r="F191" t="str">
        <f ca="1">OFFSET(Sheet2!G$2,(ROW(F192))*3,0)</f>
        <v>Control</v>
      </c>
      <c r="G191">
        <f ca="1">OFFSET(Sheet2!H$2,(ROW(G192))*3,0)</f>
        <v>0</v>
      </c>
      <c r="H191" t="str">
        <f ca="1">OFFSET(Sheet2!I$2,(ROW(H192))*3,0)</f>
        <v>WEEKLY</v>
      </c>
      <c r="I191">
        <f ca="1">OFFSET(Sheet2!J$2,(ROW(I192))*3,0)</f>
        <v>196</v>
      </c>
      <c r="J191" t="str">
        <f ca="1">OFFSET(Sheet2!K$2,(ROW(J192))*3,0)</f>
        <v>Damage Observed</v>
      </c>
      <c r="K191" t="str">
        <f ca="1">OFFSET(Sheet2!L$2,(ROW(K192))*3,0)</f>
        <v>NOT SO BAD THOUGH CHANGED</v>
      </c>
      <c r="L191" t="str">
        <f ca="1">OFFSET(Sheet2!M$2,(ROW(L192))*3,0)</f>
        <v>GOOD</v>
      </c>
      <c r="M191" t="str">
        <f ca="1">OFFSET(Sheet2!N$2,(ROW(M192))*3,0)</f>
        <v>NOT BAD THOUGH CHECKED</v>
      </c>
      <c r="N191" t="str">
        <f ca="1">OFFSET(Sheet2!O$2,(ROW(N192))*3,0)</f>
        <v>CHECKED BUT GOOD IN CONDITION</v>
      </c>
      <c r="O191" t="str">
        <f ca="1">OFFSET(Sheet2!P$2,(ROW(O192))*3,0)</f>
        <v>GOOD</v>
      </c>
      <c r="P191" t="str">
        <f ca="1">OFFSET(Sheet2!Q$2,(ROW(P192))*3,0)</f>
        <v>GOOD IN CONDITION</v>
      </c>
      <c r="Q191">
        <f ca="1">OFFSET(Sheet2!R$2,(ROW(Q192))*3,0)</f>
        <v>0</v>
      </c>
      <c r="R191">
        <f ca="1">OFFSET(Sheet2!S$2,(ROW(R192))*3,0)</f>
        <v>0</v>
      </c>
      <c r="S191">
        <f ca="1">OFFSET(Sheet2!T$2,(ROW(S192))*3,0)</f>
        <v>0</v>
      </c>
      <c r="T191">
        <f ca="1">OFFSET(Sheet2!U$2,(ROW(T192))*3,0)</f>
        <v>0</v>
      </c>
      <c r="U191">
        <f ca="1">OFFSET(Sheet2!V$2,(ROW(U192))*3,0)</f>
        <v>0</v>
      </c>
    </row>
    <row r="192" spans="1:21" x14ac:dyDescent="0.35">
      <c r="A192" s="11">
        <f ca="1">OFFSET(Sheet2!B$2,(ROW(A193))*3,0)</f>
        <v>43876</v>
      </c>
      <c r="B192" s="11">
        <f ca="1">OFFSET(Sheet2!A$2,(ROW(A193))*3,0)</f>
        <v>43876</v>
      </c>
      <c r="C192">
        <f ca="1">OFFSET(Sheet2!C$2,(ROW(C193))*3,0)</f>
        <v>32</v>
      </c>
      <c r="D192" t="str">
        <f ca="1">OFFSET(Sheet2!D$2,(ROW(D193))*3,0)</f>
        <v>South</v>
      </c>
      <c r="E192" t="str">
        <f ca="1">OFFSET(Sheet2!F$2,(ROW(E193))*3,0)</f>
        <v>LUBEGA YUSUF</v>
      </c>
      <c r="F192" t="str">
        <f ca="1">OFFSET(Sheet2!G$2,(ROW(F193))*3,0)</f>
        <v>H2Go</v>
      </c>
      <c r="G192">
        <f ca="1">OFFSET(Sheet2!H$2,(ROW(G193))*3,0)</f>
        <v>0</v>
      </c>
      <c r="H192" t="str">
        <f ca="1">OFFSET(Sheet2!I$2,(ROW(H193))*3,0)</f>
        <v>WEEKLY</v>
      </c>
      <c r="I192">
        <f ca="1">OFFSET(Sheet2!J$2,(ROW(I193))*3,0)</f>
        <v>142</v>
      </c>
      <c r="J192" t="str">
        <f ca="1">OFFSET(Sheet2!K$2,(ROW(J193))*3,0)</f>
        <v>Damage Observed</v>
      </c>
      <c r="K192" t="str">
        <f ca="1">OFFSET(Sheet2!L$2,(ROW(K193))*3,0)</f>
        <v>NOT BAD THOUGH USED UP</v>
      </c>
      <c r="L192" t="str">
        <f ca="1">OFFSET(Sheet2!M$2,(ROW(L193))*3,0)</f>
        <v>CLEAN</v>
      </c>
      <c r="M192" t="str">
        <f ca="1">OFFSET(Sheet2!N$2,(ROW(M193))*3,0)</f>
        <v>GOOD</v>
      </c>
      <c r="N192" t="str">
        <f ca="1">OFFSET(Sheet2!O$2,(ROW(N193))*3,0)</f>
        <v>CLEAN</v>
      </c>
      <c r="O192" t="str">
        <f ca="1">OFFSET(Sheet2!P$2,(ROW(O193))*3,0)</f>
        <v>Clean(no soot)</v>
      </c>
      <c r="P192" t="str">
        <f ca="1">OFFSET(Sheet2!Q$2,(ROW(P193))*3,0)</f>
        <v>GOOD</v>
      </c>
      <c r="Q192">
        <f ca="1">OFFSET(Sheet2!R$2,(ROW(Q193))*3,0)</f>
        <v>0</v>
      </c>
      <c r="R192">
        <f ca="1">OFFSET(Sheet2!S$2,(ROW(R193))*3,0)</f>
        <v>0</v>
      </c>
      <c r="S192">
        <f ca="1">OFFSET(Sheet2!T$2,(ROW(S193))*3,0)</f>
        <v>0</v>
      </c>
      <c r="T192">
        <f ca="1">OFFSET(Sheet2!U$2,(ROW(T193))*3,0)</f>
        <v>0</v>
      </c>
      <c r="U192">
        <f ca="1">OFFSET(Sheet2!V$2,(ROW(U193))*3,0)</f>
        <v>0</v>
      </c>
    </row>
    <row r="193" spans="1:21" x14ac:dyDescent="0.35">
      <c r="A193" s="11">
        <f ca="1">OFFSET(Sheet2!B$2,(ROW(A194))*3,0)</f>
        <v>43885</v>
      </c>
      <c r="B193" s="11">
        <f ca="1">OFFSET(Sheet2!A$2,(ROW(A194))*3,0)</f>
        <v>43885</v>
      </c>
      <c r="C193">
        <f ca="1">OFFSET(Sheet2!C$2,(ROW(C194))*3,0)</f>
        <v>32</v>
      </c>
      <c r="D193" t="str">
        <f ca="1">OFFSET(Sheet2!D$2,(ROW(D194))*3,0)</f>
        <v>South</v>
      </c>
      <c r="E193" t="str">
        <f ca="1">OFFSET(Sheet2!F$2,(ROW(E194))*3,0)</f>
        <v>LUBEGA YUSUF</v>
      </c>
      <c r="F193" t="str">
        <f ca="1">OFFSET(Sheet2!G$2,(ROW(F194))*3,0)</f>
        <v>CONTROL</v>
      </c>
      <c r="G193">
        <f ca="1">OFFSET(Sheet2!H$2,(ROW(G194))*3,0)</f>
        <v>0</v>
      </c>
      <c r="H193" t="str">
        <f ca="1">OFFSET(Sheet2!I$2,(ROW(H194))*3,0)</f>
        <v>WEEKLY</v>
      </c>
      <c r="I193">
        <f ca="1">OFFSET(Sheet2!J$2,(ROW(I194))*3,0)</f>
        <v>154</v>
      </c>
      <c r="J193" t="str">
        <f ca="1">OFFSET(Sheet2!K$2,(ROW(J194))*3,0)</f>
        <v>Damage Observed</v>
      </c>
      <c r="K193" t="str">
        <f ca="1">OFFSET(Sheet2!L$2,(ROW(K194))*3,0)</f>
        <v>Dirty</v>
      </c>
      <c r="L193" t="str">
        <f ca="1">OFFSET(Sheet2!M$2,(ROW(L194))*3,0)</f>
        <v>Okay</v>
      </c>
      <c r="M193" t="str">
        <f ca="1">OFFSET(Sheet2!N$2,(ROW(M194))*3,0)</f>
        <v>Good</v>
      </c>
      <c r="N193" t="str">
        <f ca="1">OFFSET(Sheet2!O$2,(ROW(N194))*3,0)</f>
        <v>Very Dirty</v>
      </c>
      <c r="O193" t="str">
        <f ca="1">OFFSET(Sheet2!P$2,(ROW(O194))*3,0)</f>
        <v>Good</v>
      </c>
      <c r="P193" t="str">
        <f ca="1">OFFSET(Sheet2!Q$2,(ROW(P194))*3,0)</f>
        <v>In good Condition</v>
      </c>
      <c r="Q193">
        <f ca="1">OFFSET(Sheet2!R$2,(ROW(Q194))*3,0)</f>
        <v>0</v>
      </c>
      <c r="R193">
        <f ca="1">OFFSET(Sheet2!S$2,(ROW(R194))*3,0)</f>
        <v>0</v>
      </c>
      <c r="S193">
        <f ca="1">OFFSET(Sheet2!T$2,(ROW(S194))*3,0)</f>
        <v>0</v>
      </c>
      <c r="T193">
        <f ca="1">OFFSET(Sheet2!U$2,(ROW(T194))*3,0)</f>
        <v>0</v>
      </c>
      <c r="U193">
        <f ca="1">OFFSET(Sheet2!V$2,(ROW(U194))*3,0)</f>
        <v>0</v>
      </c>
    </row>
    <row r="194" spans="1:21" x14ac:dyDescent="0.35">
      <c r="A194" s="11">
        <f ca="1">OFFSET(Sheet2!B$2,(ROW(A195))*3,0)</f>
        <v>43892</v>
      </c>
      <c r="B194" s="11">
        <f ca="1">OFFSET(Sheet2!A$2,(ROW(A195))*3,0)</f>
        <v>43892</v>
      </c>
      <c r="C194">
        <f ca="1">OFFSET(Sheet2!C$2,(ROW(C195))*3,0)</f>
        <v>32</v>
      </c>
      <c r="D194" t="str">
        <f ca="1">OFFSET(Sheet2!D$2,(ROW(D195))*3,0)</f>
        <v>South</v>
      </c>
      <c r="E194" t="str">
        <f ca="1">OFFSET(Sheet2!F$2,(ROW(E195))*3,0)</f>
        <v>LUBEGA YUSUF</v>
      </c>
      <c r="F194" t="str">
        <f ca="1">OFFSET(Sheet2!G$2,(ROW(F195))*3,0)</f>
        <v>CONTROL</v>
      </c>
      <c r="G194">
        <f ca="1">OFFSET(Sheet2!H$2,(ROW(G195))*3,0)</f>
        <v>0</v>
      </c>
      <c r="H194" t="str">
        <f ca="1">OFFSET(Sheet2!I$2,(ROW(H195))*3,0)</f>
        <v>WEEKLY</v>
      </c>
      <c r="I194">
        <f ca="1">OFFSET(Sheet2!J$2,(ROW(I195))*3,0)</f>
        <v>109</v>
      </c>
      <c r="J194" t="str">
        <f ca="1">OFFSET(Sheet2!K$2,(ROW(J195))*3,0)</f>
        <v>Damage Observed</v>
      </c>
      <c r="K194" t="str">
        <f ca="1">OFFSET(Sheet2!L$2,(ROW(K195))*3,0)</f>
        <v>Dirty</v>
      </c>
      <c r="L194" t="str">
        <f ca="1">OFFSET(Sheet2!M$2,(ROW(L195))*3,0)</f>
        <v>Okay</v>
      </c>
      <c r="M194" t="str">
        <f ca="1">OFFSET(Sheet2!N$2,(ROW(M195))*3,0)</f>
        <v>Good</v>
      </c>
      <c r="N194" t="str">
        <f ca="1">OFFSET(Sheet2!O$2,(ROW(N195))*3,0)</f>
        <v>Okay</v>
      </c>
      <c r="O194" t="str">
        <f ca="1">OFFSET(Sheet2!P$2,(ROW(O195))*3,0)</f>
        <v>Good</v>
      </c>
      <c r="P194" t="str">
        <f ca="1">OFFSET(Sheet2!Q$2,(ROW(P195))*3,0)</f>
        <v>In good Condition</v>
      </c>
      <c r="Q194">
        <f ca="1">OFFSET(Sheet2!R$2,(ROW(Q195))*3,0)</f>
        <v>0</v>
      </c>
      <c r="R194">
        <f ca="1">OFFSET(Sheet2!S$2,(ROW(R195))*3,0)</f>
        <v>0</v>
      </c>
      <c r="S194">
        <f ca="1">OFFSET(Sheet2!T$2,(ROW(S195))*3,0)</f>
        <v>0</v>
      </c>
      <c r="T194">
        <f ca="1">OFFSET(Sheet2!U$2,(ROW(T195))*3,0)</f>
        <v>0</v>
      </c>
      <c r="U194">
        <f ca="1">OFFSET(Sheet2!V$2,(ROW(U195))*3,0)</f>
        <v>0</v>
      </c>
    </row>
    <row r="195" spans="1:21" x14ac:dyDescent="0.35">
      <c r="A195" s="11">
        <f ca="1">OFFSET(Sheet2!B$2,(ROW(A196))*3,0)</f>
        <v>43899</v>
      </c>
      <c r="B195" s="11">
        <f ca="1">OFFSET(Sheet2!A$2,(ROW(A196))*3,0)</f>
        <v>43899</v>
      </c>
      <c r="C195">
        <f ca="1">OFFSET(Sheet2!C$2,(ROW(C196))*3,0)</f>
        <v>32</v>
      </c>
      <c r="D195" t="str">
        <f ca="1">OFFSET(Sheet2!D$2,(ROW(D196))*3,0)</f>
        <v>South</v>
      </c>
      <c r="E195" t="str">
        <f ca="1">OFFSET(Sheet2!F$2,(ROW(E196))*3,0)</f>
        <v>LUBEGA YUSUF</v>
      </c>
      <c r="F195" t="str">
        <f ca="1">OFFSET(Sheet2!G$2,(ROW(F196))*3,0)</f>
        <v>CONTROL</v>
      </c>
      <c r="G195">
        <f ca="1">OFFSET(Sheet2!H$2,(ROW(G196))*3,0)</f>
        <v>0</v>
      </c>
      <c r="H195" t="str">
        <f ca="1">OFFSET(Sheet2!I$2,(ROW(H196))*3,0)</f>
        <v>WEEKLY</v>
      </c>
      <c r="I195">
        <f ca="1">OFFSET(Sheet2!J$2,(ROW(I196))*3,0)</f>
        <v>0</v>
      </c>
      <c r="J195" t="str">
        <f ca="1">OFFSET(Sheet2!K$2,(ROW(J196))*3,0)</f>
        <v>Damage Observed</v>
      </c>
      <c r="K195" t="str">
        <f ca="1">OFFSET(Sheet2!L$2,(ROW(K196))*3,0)</f>
        <v>Dirty</v>
      </c>
      <c r="L195" t="str">
        <f ca="1">OFFSET(Sheet2!M$2,(ROW(L196))*3,0)</f>
        <v>Okay</v>
      </c>
      <c r="M195" t="str">
        <f ca="1">OFFSET(Sheet2!N$2,(ROW(M196))*3,0)</f>
        <v>Good</v>
      </c>
      <c r="N195" t="str">
        <f ca="1">OFFSET(Sheet2!O$2,(ROW(N196))*3,0)</f>
        <v>Clean</v>
      </c>
      <c r="O195" t="str">
        <f ca="1">OFFSET(Sheet2!P$2,(ROW(O196))*3,0)</f>
        <v>Good</v>
      </c>
      <c r="P195" t="str">
        <f ca="1">OFFSET(Sheet2!Q$2,(ROW(P196))*3,0)</f>
        <v>In good Condition</v>
      </c>
      <c r="Q195">
        <f ca="1">OFFSET(Sheet2!R$2,(ROW(Q196))*3,0)</f>
        <v>0</v>
      </c>
      <c r="R195">
        <f ca="1">OFFSET(Sheet2!S$2,(ROW(R196))*3,0)</f>
        <v>0</v>
      </c>
      <c r="S195">
        <f ca="1">OFFSET(Sheet2!T$2,(ROW(S196))*3,0)</f>
        <v>0</v>
      </c>
      <c r="T195">
        <f ca="1">OFFSET(Sheet2!U$2,(ROW(T196))*3,0)</f>
        <v>0</v>
      </c>
      <c r="U195">
        <f ca="1">OFFSET(Sheet2!V$2,(ROW(U196))*3,0)</f>
        <v>0</v>
      </c>
    </row>
    <row r="196" spans="1:21" x14ac:dyDescent="0.35">
      <c r="A196" s="11">
        <f ca="1">OFFSET(Sheet2!B$2,(ROW(A197))*3,0)</f>
        <v>43848</v>
      </c>
      <c r="B196" s="11">
        <f ca="1">OFFSET(Sheet2!A$2,(ROW(A197))*3,0)</f>
        <v>43848</v>
      </c>
      <c r="C196">
        <f ca="1">OFFSET(Sheet2!C$2,(ROW(C197))*3,0)</f>
        <v>33</v>
      </c>
      <c r="D196" t="str">
        <f ca="1">OFFSET(Sheet2!D$2,(ROW(D197))*3,0)</f>
        <v>South</v>
      </c>
      <c r="E196" t="str">
        <f ca="1">OFFSET(Sheet2!F$2,(ROW(E197))*3,0)</f>
        <v>WETONYI TOM</v>
      </c>
      <c r="F196" t="str">
        <f ca="1">OFFSET(Sheet2!G$2,(ROW(F197))*3,0)</f>
        <v>H2Go</v>
      </c>
      <c r="G196">
        <f ca="1">OFFSET(Sheet2!H$2,(ROW(G197))*3,0)</f>
        <v>0</v>
      </c>
      <c r="H196" t="str">
        <f ca="1">OFFSET(Sheet2!I$2,(ROW(H197))*3,0)</f>
        <v>Comprehensive</v>
      </c>
      <c r="I196">
        <f ca="1">OFFSET(Sheet2!J$2,(ROW(I197))*3,0)</f>
        <v>39</v>
      </c>
      <c r="J196" t="str">
        <f ca="1">OFFSET(Sheet2!K$2,(ROW(J197))*3,0)</f>
        <v>Damage Observed</v>
      </c>
      <c r="K196" t="str">
        <f ca="1">OFFSET(Sheet2!L$2,(ROW(K197))*3,0)</f>
        <v>Very dirty</v>
      </c>
      <c r="L196" t="str">
        <f ca="1">OFFSET(Sheet2!M$2,(ROW(L197))*3,0)</f>
        <v>VERY DIRTY</v>
      </c>
      <c r="M196" t="str">
        <f ca="1">OFFSET(Sheet2!N$2,(ROW(M197))*3,0)</f>
        <v>GOOD</v>
      </c>
      <c r="N196" t="str">
        <f ca="1">OFFSET(Sheet2!O$2,(ROW(N197))*3,0)</f>
        <v>GOOD</v>
      </c>
      <c r="O196" t="str">
        <f ca="1">OFFSET(Sheet2!P$2,(ROW(O197))*3,0)</f>
        <v>IN A GOOD CONDITION</v>
      </c>
      <c r="P196" t="str">
        <f ca="1">OFFSET(Sheet2!Q$2,(ROW(P197))*3,0)</f>
        <v>SERVICED WELL</v>
      </c>
      <c r="Q196" t="str">
        <f ca="1">OFFSET(Sheet2!R$2,(ROW(Q197))*3,0)</f>
        <v>IN A GOOD CONDITION</v>
      </c>
      <c r="R196" t="str">
        <f ca="1">OFFSET(Sheet2!S$2,(ROW(R197))*3,0)</f>
        <v>GOOD</v>
      </c>
      <c r="S196" t="str">
        <f ca="1">OFFSET(Sheet2!T$2,(ROW(S197))*3,0)</f>
        <v>GOOD</v>
      </c>
      <c r="T196">
        <f ca="1">OFFSET(Sheet2!U$2,(ROW(T197))*3,0)</f>
        <v>0</v>
      </c>
      <c r="U196">
        <f ca="1">OFFSET(Sheet2!V$2,(ROW(U197))*3,0)</f>
        <v>0</v>
      </c>
    </row>
    <row r="197" spans="1:21" x14ac:dyDescent="0.35">
      <c r="A197" s="11">
        <f ca="1">OFFSET(Sheet2!B$2,(ROW(A198))*3,0)</f>
        <v>43855</v>
      </c>
      <c r="B197" s="11">
        <f ca="1">OFFSET(Sheet2!A$2,(ROW(A198))*3,0)</f>
        <v>43855</v>
      </c>
      <c r="C197">
        <f ca="1">OFFSET(Sheet2!C$2,(ROW(C198))*3,0)</f>
        <v>33</v>
      </c>
      <c r="D197" t="str">
        <f ca="1">OFFSET(Sheet2!D$2,(ROW(D198))*3,0)</f>
        <v>South</v>
      </c>
      <c r="E197" t="str">
        <f ca="1">OFFSET(Sheet2!F$2,(ROW(E198))*3,0)</f>
        <v>WETONYI TOM</v>
      </c>
      <c r="F197" t="str">
        <f ca="1">OFFSET(Sheet2!G$2,(ROW(F198))*3,0)</f>
        <v>H2Go</v>
      </c>
      <c r="G197">
        <f ca="1">OFFSET(Sheet2!H$2,(ROW(G198))*3,0)</f>
        <v>0</v>
      </c>
      <c r="H197" t="str">
        <f ca="1">OFFSET(Sheet2!I$2,(ROW(H198))*3,0)</f>
        <v>WEEKLY</v>
      </c>
      <c r="I197">
        <f ca="1">OFFSET(Sheet2!J$2,(ROW(I198))*3,0)</f>
        <v>85</v>
      </c>
      <c r="J197" t="str">
        <f ca="1">OFFSET(Sheet2!K$2,(ROW(J198))*3,0)</f>
        <v>Damage Observed</v>
      </c>
      <c r="K197" t="str">
        <f ca="1">OFFSET(Sheet2!L$2,(ROW(K198))*3,0)</f>
        <v>Good</v>
      </c>
      <c r="L197" t="str">
        <f ca="1">OFFSET(Sheet2!M$2,(ROW(L198))*3,0)</f>
        <v>GOOD</v>
      </c>
      <c r="M197" t="str">
        <f ca="1">OFFSET(Sheet2!N$2,(ROW(M198))*3,0)</f>
        <v>SERVICED</v>
      </c>
      <c r="N197" t="str">
        <f ca="1">OFFSET(Sheet2!O$2,(ROW(N198))*3,0)</f>
        <v>GOOD</v>
      </c>
      <c r="O197" t="str">
        <f ca="1">OFFSET(Sheet2!P$2,(ROW(O198))*3,0)</f>
        <v>GOOD</v>
      </c>
      <c r="P197" t="str">
        <f ca="1">OFFSET(Sheet2!Q$2,(ROW(P198))*3,0)</f>
        <v>NUT WORN OUT</v>
      </c>
      <c r="Q197">
        <f ca="1">OFFSET(Sheet2!R$2,(ROW(Q198))*3,0)</f>
        <v>0</v>
      </c>
      <c r="R197">
        <f ca="1">OFFSET(Sheet2!S$2,(ROW(R198))*3,0)</f>
        <v>0</v>
      </c>
      <c r="S197">
        <f ca="1">OFFSET(Sheet2!T$2,(ROW(S198))*3,0)</f>
        <v>0</v>
      </c>
      <c r="T197">
        <f ca="1">OFFSET(Sheet2!U$2,(ROW(T198))*3,0)</f>
        <v>0</v>
      </c>
      <c r="U197">
        <f ca="1">OFFSET(Sheet2!V$2,(ROW(U198))*3,0)</f>
        <v>0</v>
      </c>
    </row>
    <row r="198" spans="1:21" x14ac:dyDescent="0.35">
      <c r="A198" s="11">
        <f ca="1">OFFSET(Sheet2!B$2,(ROW(A199))*3,0)</f>
        <v>43862</v>
      </c>
      <c r="B198" s="11">
        <f ca="1">OFFSET(Sheet2!A$2,(ROW(A199))*3,0)</f>
        <v>43862</v>
      </c>
      <c r="C198">
        <f ca="1">OFFSET(Sheet2!C$2,(ROW(C199))*3,0)</f>
        <v>33</v>
      </c>
      <c r="D198" t="str">
        <f ca="1">OFFSET(Sheet2!D$2,(ROW(D199))*3,0)</f>
        <v>South</v>
      </c>
      <c r="E198" t="str">
        <f ca="1">OFFSET(Sheet2!F$2,(ROW(E199))*3,0)</f>
        <v>WETONYI TOM</v>
      </c>
      <c r="F198" t="str">
        <f ca="1">OFFSET(Sheet2!G$2,(ROW(F199))*3,0)</f>
        <v>H2GO</v>
      </c>
      <c r="G198">
        <f ca="1">OFFSET(Sheet2!H$2,(ROW(G199))*3,0)</f>
        <v>0</v>
      </c>
      <c r="H198" t="str">
        <f ca="1">OFFSET(Sheet2!I$2,(ROW(H199))*3,0)</f>
        <v>WEEKLY</v>
      </c>
      <c r="I198">
        <f ca="1">OFFSET(Sheet2!J$2,(ROW(I199))*3,0)</f>
        <v>71</v>
      </c>
      <c r="J198" t="str">
        <f ca="1">OFFSET(Sheet2!K$2,(ROW(J199))*3,0)</f>
        <v>Damage Observed</v>
      </c>
      <c r="K198" t="str">
        <f ca="1">OFFSET(Sheet2!L$2,(ROW(K199))*3,0)</f>
        <v>Good</v>
      </c>
      <c r="L198" t="str">
        <f ca="1">OFFSET(Sheet2!M$2,(ROW(L199))*3,0)</f>
        <v>GOOD</v>
      </c>
      <c r="M198" t="str">
        <f ca="1">OFFSET(Sheet2!N$2,(ROW(M199))*3,0)</f>
        <v>SERVICED</v>
      </c>
      <c r="N198" t="str">
        <f ca="1">OFFSET(Sheet2!O$2,(ROW(N199))*3,0)</f>
        <v>GOOD</v>
      </c>
      <c r="O198" t="str">
        <f ca="1">OFFSET(Sheet2!P$2,(ROW(O199))*3,0)</f>
        <v>GOOD</v>
      </c>
      <c r="P198" t="str">
        <f ca="1">OFFSET(Sheet2!Q$2,(ROW(P199))*3,0)</f>
        <v>WASHER AND NUT TO BE REPLACED</v>
      </c>
      <c r="Q198">
        <f ca="1">OFFSET(Sheet2!R$2,(ROW(Q199))*3,0)</f>
        <v>0</v>
      </c>
      <c r="R198">
        <f ca="1">OFFSET(Sheet2!S$2,(ROW(R199))*3,0)</f>
        <v>0</v>
      </c>
      <c r="S198">
        <f ca="1">OFFSET(Sheet2!T$2,(ROW(S199))*3,0)</f>
        <v>0</v>
      </c>
      <c r="T198">
        <f ca="1">OFFSET(Sheet2!U$2,(ROW(T199))*3,0)</f>
        <v>0</v>
      </c>
      <c r="U198">
        <f ca="1">OFFSET(Sheet2!V$2,(ROW(U199))*3,0)</f>
        <v>0</v>
      </c>
    </row>
    <row r="199" spans="1:21" x14ac:dyDescent="0.35">
      <c r="A199" s="11">
        <f ca="1">OFFSET(Sheet2!B$2,(ROW(A200))*3,0)</f>
        <v>43869</v>
      </c>
      <c r="B199" s="11">
        <f ca="1">OFFSET(Sheet2!A$2,(ROW(A200))*3,0)</f>
        <v>43869</v>
      </c>
      <c r="C199">
        <f ca="1">OFFSET(Sheet2!C$2,(ROW(C200))*3,0)</f>
        <v>33</v>
      </c>
      <c r="D199" t="str">
        <f ca="1">OFFSET(Sheet2!D$2,(ROW(D200))*3,0)</f>
        <v>South</v>
      </c>
      <c r="E199" t="str">
        <f ca="1">OFFSET(Sheet2!F$2,(ROW(E200))*3,0)</f>
        <v>WETONYI TOM</v>
      </c>
      <c r="F199" t="str">
        <f ca="1">OFFSET(Sheet2!G$2,(ROW(F200))*3,0)</f>
        <v>H2Go</v>
      </c>
      <c r="G199">
        <f ca="1">OFFSET(Sheet2!H$2,(ROW(G200))*3,0)</f>
        <v>0</v>
      </c>
      <c r="H199" t="str">
        <f ca="1">OFFSET(Sheet2!I$2,(ROW(H200))*3,0)</f>
        <v>WEEKLY</v>
      </c>
      <c r="I199">
        <f ca="1">OFFSET(Sheet2!J$2,(ROW(I200))*3,0)</f>
        <v>198</v>
      </c>
      <c r="J199" t="str">
        <f ca="1">OFFSET(Sheet2!K$2,(ROW(J200))*3,0)</f>
        <v>Damage Observed</v>
      </c>
      <c r="K199" t="str">
        <f ca="1">OFFSET(Sheet2!L$2,(ROW(K200))*3,0)</f>
        <v>NOT BAD THOUGH USED UP</v>
      </c>
      <c r="L199" t="str">
        <f ca="1">OFFSET(Sheet2!M$2,(ROW(L200))*3,0)</f>
        <v>GOOD</v>
      </c>
      <c r="M199" t="str">
        <f ca="1">OFFSET(Sheet2!N$2,(ROW(M200))*3,0)</f>
        <v>GOOD</v>
      </c>
      <c r="N199" t="str">
        <f ca="1">OFFSET(Sheet2!O$2,(ROW(N200))*3,0)</f>
        <v>GOOD</v>
      </c>
      <c r="O199" t="str">
        <f ca="1">OFFSET(Sheet2!P$2,(ROW(O200))*3,0)</f>
        <v>GOOD</v>
      </c>
      <c r="P199" t="str">
        <f ca="1">OFFSET(Sheet2!Q$2,(ROW(P200))*3,0)</f>
        <v>GOOD</v>
      </c>
      <c r="Q199">
        <f ca="1">OFFSET(Sheet2!R$2,(ROW(Q200))*3,0)</f>
        <v>0</v>
      </c>
      <c r="R199">
        <f ca="1">OFFSET(Sheet2!S$2,(ROW(R200))*3,0)</f>
        <v>0</v>
      </c>
      <c r="S199">
        <f ca="1">OFFSET(Sheet2!T$2,(ROW(S200))*3,0)</f>
        <v>0</v>
      </c>
      <c r="T199">
        <f ca="1">OFFSET(Sheet2!U$2,(ROW(T200))*3,0)</f>
        <v>0</v>
      </c>
      <c r="U199">
        <f ca="1">OFFSET(Sheet2!V$2,(ROW(U200))*3,0)</f>
        <v>0</v>
      </c>
    </row>
    <row r="200" spans="1:21" x14ac:dyDescent="0.35">
      <c r="A200" s="11">
        <f ca="1">OFFSET(Sheet2!B$2,(ROW(A201))*3,0)</f>
        <v>43885</v>
      </c>
      <c r="B200" s="11">
        <f ca="1">OFFSET(Sheet2!A$2,(ROW(A201))*3,0)</f>
        <v>43885</v>
      </c>
      <c r="C200">
        <f ca="1">OFFSET(Sheet2!C$2,(ROW(C201))*3,0)</f>
        <v>33</v>
      </c>
      <c r="D200" t="str">
        <f ca="1">OFFSET(Sheet2!D$2,(ROW(D201))*3,0)</f>
        <v>South</v>
      </c>
      <c r="E200" t="str">
        <f ca="1">OFFSET(Sheet2!F$2,(ROW(E201))*3,0)</f>
        <v>WETONYI TOM</v>
      </c>
      <c r="F200" t="str">
        <f ca="1">OFFSET(Sheet2!G$2,(ROW(F201))*3,0)</f>
        <v>H2Go</v>
      </c>
      <c r="G200">
        <f ca="1">OFFSET(Sheet2!H$2,(ROW(G201))*3,0)</f>
        <v>0</v>
      </c>
      <c r="H200" t="str">
        <f ca="1">OFFSET(Sheet2!I$2,(ROW(H201))*3,0)</f>
        <v>WEEKLY</v>
      </c>
      <c r="I200">
        <f ca="1">OFFSET(Sheet2!J$2,(ROW(I201))*3,0)</f>
        <v>133</v>
      </c>
      <c r="J200" t="str">
        <f ca="1">OFFSET(Sheet2!K$2,(ROW(J201))*3,0)</f>
        <v>Damage Observed</v>
      </c>
      <c r="K200" t="str">
        <f ca="1">OFFSET(Sheet2!L$2,(ROW(K201))*3,0)</f>
        <v>Very Dirty</v>
      </c>
      <c r="L200" t="str">
        <f ca="1">OFFSET(Sheet2!M$2,(ROW(L201))*3,0)</f>
        <v>Okay</v>
      </c>
      <c r="M200" t="str">
        <f ca="1">OFFSET(Sheet2!N$2,(ROW(M201))*3,0)</f>
        <v>Misaligned</v>
      </c>
      <c r="N200" t="str">
        <f ca="1">OFFSET(Sheet2!O$2,(ROW(N201))*3,0)</f>
        <v>Okay</v>
      </c>
      <c r="O200" t="str">
        <f ca="1">OFFSET(Sheet2!P$2,(ROW(O201))*3,0)</f>
        <v>Good</v>
      </c>
      <c r="P200" t="str">
        <f ca="1">OFFSET(Sheet2!Q$2,(ROW(P201))*3,0)</f>
        <v>In good Condition</v>
      </c>
      <c r="Q200">
        <f ca="1">OFFSET(Sheet2!R$2,(ROW(Q201))*3,0)</f>
        <v>0</v>
      </c>
      <c r="R200">
        <f ca="1">OFFSET(Sheet2!S$2,(ROW(R201))*3,0)</f>
        <v>0</v>
      </c>
      <c r="S200">
        <f ca="1">OFFSET(Sheet2!T$2,(ROW(S201))*3,0)</f>
        <v>0</v>
      </c>
      <c r="T200">
        <f ca="1">OFFSET(Sheet2!U$2,(ROW(T201))*3,0)</f>
        <v>0</v>
      </c>
      <c r="U200">
        <f ca="1">OFFSET(Sheet2!V$2,(ROW(U201))*3,0)</f>
        <v>0</v>
      </c>
    </row>
    <row r="201" spans="1:21" x14ac:dyDescent="0.35">
      <c r="A201" s="11">
        <f ca="1">OFFSET(Sheet2!B$2,(ROW(A202))*3,0)</f>
        <v>43876</v>
      </c>
      <c r="B201" s="11">
        <f ca="1">OFFSET(Sheet2!A$2,(ROW(A202))*3,0)</f>
        <v>43876</v>
      </c>
      <c r="C201">
        <f ca="1">OFFSET(Sheet2!C$2,(ROW(C202))*3,0)</f>
        <v>33</v>
      </c>
      <c r="D201" t="str">
        <f ca="1">OFFSET(Sheet2!D$2,(ROW(D202))*3,0)</f>
        <v>South</v>
      </c>
      <c r="E201" t="str">
        <f ca="1">OFFSET(Sheet2!F$2,(ROW(E202))*3,0)</f>
        <v>WETONYI TOM</v>
      </c>
      <c r="F201" t="str">
        <f ca="1">OFFSET(Sheet2!G$2,(ROW(F202))*3,0)</f>
        <v>H2GO</v>
      </c>
      <c r="G201">
        <f ca="1">OFFSET(Sheet2!H$2,(ROW(G202))*3,0)</f>
        <v>0</v>
      </c>
      <c r="H201" t="str">
        <f ca="1">OFFSET(Sheet2!I$2,(ROW(H202))*3,0)</f>
        <v>WEEKLY</v>
      </c>
      <c r="I201">
        <f ca="1">OFFSET(Sheet2!J$2,(ROW(I202))*3,0)</f>
        <v>153</v>
      </c>
      <c r="J201" t="str">
        <f ca="1">OFFSET(Sheet2!K$2,(ROW(J202))*3,0)</f>
        <v>Damage Observed</v>
      </c>
      <c r="K201" t="str">
        <f ca="1">OFFSET(Sheet2!L$2,(ROW(K202))*3,0)</f>
        <v>DIRTY AND USED UP</v>
      </c>
      <c r="L201" t="str">
        <f ca="1">OFFSET(Sheet2!M$2,(ROW(L202))*3,0)</f>
        <v>NOT BAD</v>
      </c>
      <c r="M201" t="str">
        <f ca="1">OFFSET(Sheet2!N$2,(ROW(M202))*3,0)</f>
        <v>LOOSE</v>
      </c>
      <c r="N201" t="str">
        <f ca="1">OFFSET(Sheet2!O$2,(ROW(N202))*3,0)</f>
        <v>CLEAN</v>
      </c>
      <c r="O201" t="str">
        <f ca="1">OFFSET(Sheet2!P$2,(ROW(O202))*3,0)</f>
        <v>GOOD</v>
      </c>
      <c r="P201" t="str">
        <f ca="1">OFFSET(Sheet2!Q$2,(ROW(P202))*3,0)</f>
        <v>NUT NOT WORN OUT</v>
      </c>
      <c r="Q201">
        <f ca="1">OFFSET(Sheet2!R$2,(ROW(Q202))*3,0)</f>
        <v>0</v>
      </c>
      <c r="R201">
        <f ca="1">OFFSET(Sheet2!S$2,(ROW(R202))*3,0)</f>
        <v>0</v>
      </c>
      <c r="S201">
        <f ca="1">OFFSET(Sheet2!T$2,(ROW(S202))*3,0)</f>
        <v>0</v>
      </c>
      <c r="T201">
        <f ca="1">OFFSET(Sheet2!U$2,(ROW(T202))*3,0)</f>
        <v>0</v>
      </c>
      <c r="U201">
        <f ca="1">OFFSET(Sheet2!V$2,(ROW(U202))*3,0)</f>
        <v>0</v>
      </c>
    </row>
    <row r="202" spans="1:21" x14ac:dyDescent="0.35">
      <c r="A202" s="11">
        <f ca="1">OFFSET(Sheet2!B$2,(ROW(A203))*3,0)</f>
        <v>43892</v>
      </c>
      <c r="B202" s="11">
        <f ca="1">OFFSET(Sheet2!A$2,(ROW(A203))*3,0)</f>
        <v>43892</v>
      </c>
      <c r="C202">
        <f ca="1">OFFSET(Sheet2!C$2,(ROW(C203))*3,0)</f>
        <v>33</v>
      </c>
      <c r="D202" t="str">
        <f ca="1">OFFSET(Sheet2!D$2,(ROW(D203))*3,0)</f>
        <v>South</v>
      </c>
      <c r="E202" t="str">
        <f ca="1">OFFSET(Sheet2!F$2,(ROW(E203))*3,0)</f>
        <v>WETONYI TOM</v>
      </c>
      <c r="F202" t="str">
        <f ca="1">OFFSET(Sheet2!G$2,(ROW(F203))*3,0)</f>
        <v>H2GO</v>
      </c>
      <c r="G202">
        <f ca="1">OFFSET(Sheet2!H$2,(ROW(G203))*3,0)</f>
        <v>0</v>
      </c>
      <c r="H202" t="str">
        <f ca="1">OFFSET(Sheet2!I$2,(ROW(H203))*3,0)</f>
        <v>WEEKLY</v>
      </c>
      <c r="I202">
        <f ca="1">OFFSET(Sheet2!J$2,(ROW(I203))*3,0)</f>
        <v>135</v>
      </c>
      <c r="J202" t="str">
        <f ca="1">OFFSET(Sheet2!K$2,(ROW(J203))*3,0)</f>
        <v>Damage Observed</v>
      </c>
      <c r="K202" t="str">
        <f ca="1">OFFSET(Sheet2!L$2,(ROW(K203))*3,0)</f>
        <v>Very Dirty</v>
      </c>
      <c r="L202" t="str">
        <f ca="1">OFFSET(Sheet2!M$2,(ROW(L203))*3,0)</f>
        <v>Dirty</v>
      </c>
      <c r="M202" t="str">
        <f ca="1">OFFSET(Sheet2!N$2,(ROW(M203))*3,0)</f>
        <v>Tight</v>
      </c>
      <c r="N202" t="str">
        <f ca="1">OFFSET(Sheet2!O$2,(ROW(N203))*3,0)</f>
        <v>Dirty</v>
      </c>
      <c r="O202" t="str">
        <f ca="1">OFFSET(Sheet2!P$2,(ROW(O203))*3,0)</f>
        <v>Good</v>
      </c>
      <c r="P202" t="str">
        <f ca="1">OFFSET(Sheet2!Q$2,(ROW(P203))*3,0)</f>
        <v>Nut and washer worn out</v>
      </c>
      <c r="Q202">
        <f ca="1">OFFSET(Sheet2!R$2,(ROW(Q203))*3,0)</f>
        <v>0</v>
      </c>
      <c r="R202">
        <f ca="1">OFFSET(Sheet2!S$2,(ROW(R203))*3,0)</f>
        <v>0</v>
      </c>
      <c r="S202">
        <f ca="1">OFFSET(Sheet2!T$2,(ROW(S203))*3,0)</f>
        <v>0</v>
      </c>
      <c r="T202">
        <f ca="1">OFFSET(Sheet2!U$2,(ROW(T203))*3,0)</f>
        <v>0</v>
      </c>
      <c r="U202">
        <f ca="1">OFFSET(Sheet2!V$2,(ROW(U203))*3,0)</f>
        <v>0</v>
      </c>
    </row>
    <row r="203" spans="1:21" x14ac:dyDescent="0.35">
      <c r="A203" s="11">
        <f ca="1">OFFSET(Sheet2!B$2,(ROW(A204))*3,0)</f>
        <v>43899</v>
      </c>
      <c r="B203" s="11">
        <f ca="1">OFFSET(Sheet2!A$2,(ROW(A204))*3,0)</f>
        <v>43899</v>
      </c>
      <c r="C203">
        <f ca="1">OFFSET(Sheet2!C$2,(ROW(C204))*3,0)</f>
        <v>33</v>
      </c>
      <c r="D203" t="str">
        <f ca="1">OFFSET(Sheet2!D$2,(ROW(D204))*3,0)</f>
        <v>South</v>
      </c>
      <c r="E203" t="str">
        <f ca="1">OFFSET(Sheet2!F$2,(ROW(E204))*3,0)</f>
        <v>WETONYI TOM</v>
      </c>
      <c r="F203" t="str">
        <f ca="1">OFFSET(Sheet2!G$2,(ROW(F204))*3,0)</f>
        <v>H2GO</v>
      </c>
      <c r="G203">
        <f ca="1">OFFSET(Sheet2!H$2,(ROW(G204))*3,0)</f>
        <v>0</v>
      </c>
      <c r="H203" t="str">
        <f ca="1">OFFSET(Sheet2!I$2,(ROW(H204))*3,0)</f>
        <v>WEEKLY</v>
      </c>
      <c r="I203">
        <f ca="1">OFFSET(Sheet2!J$2,(ROW(I204))*3,0)</f>
        <v>156</v>
      </c>
      <c r="J203" t="str">
        <f ca="1">OFFSET(Sheet2!K$2,(ROW(J204))*3,0)</f>
        <v>Damage Observed</v>
      </c>
      <c r="K203" t="str">
        <f ca="1">OFFSET(Sheet2!L$2,(ROW(K204))*3,0)</f>
        <v>Okay</v>
      </c>
      <c r="L203" t="str">
        <f ca="1">OFFSET(Sheet2!M$2,(ROW(L204))*3,0)</f>
        <v>Clean</v>
      </c>
      <c r="M203" t="str">
        <f ca="1">OFFSET(Sheet2!N$2,(ROW(M204))*3,0)</f>
        <v>Good</v>
      </c>
      <c r="N203" t="str">
        <f ca="1">OFFSET(Sheet2!O$2,(ROW(N204))*3,0)</f>
        <v>Clean</v>
      </c>
      <c r="O203" t="str">
        <f ca="1">OFFSET(Sheet2!P$2,(ROW(O204))*3,0)</f>
        <v>Good</v>
      </c>
      <c r="P203" t="str">
        <f ca="1">OFFSET(Sheet2!Q$2,(ROW(P204))*3,0)</f>
        <v>In good Condition</v>
      </c>
      <c r="Q203">
        <f ca="1">OFFSET(Sheet2!R$2,(ROW(Q204))*3,0)</f>
        <v>0</v>
      </c>
      <c r="R203">
        <f ca="1">OFFSET(Sheet2!S$2,(ROW(R204))*3,0)</f>
        <v>0</v>
      </c>
      <c r="S203">
        <f ca="1">OFFSET(Sheet2!T$2,(ROW(S204))*3,0)</f>
        <v>0</v>
      </c>
      <c r="T203">
        <f ca="1">OFFSET(Sheet2!U$2,(ROW(T204))*3,0)</f>
        <v>0</v>
      </c>
      <c r="U203">
        <f ca="1">OFFSET(Sheet2!V$2,(ROW(U204))*3,0)</f>
        <v>0</v>
      </c>
    </row>
    <row r="204" spans="1:21" x14ac:dyDescent="0.35">
      <c r="A204" s="11">
        <f ca="1">OFFSET(Sheet2!B$2,(ROW(A205))*3,0)</f>
        <v>43848</v>
      </c>
      <c r="B204" s="11">
        <f ca="1">OFFSET(Sheet2!A$2,(ROW(A205))*3,0)</f>
        <v>43848</v>
      </c>
      <c r="C204">
        <f ca="1">OFFSET(Sheet2!C$2,(ROW(C205))*3,0)</f>
        <v>34</v>
      </c>
      <c r="D204" t="str">
        <f ca="1">OFFSET(Sheet2!D$2,(ROW(D205))*3,0)</f>
        <v>South</v>
      </c>
      <c r="E204" t="str">
        <f ca="1">OFFSET(Sheet2!F$2,(ROW(E205))*3,0)</f>
        <v>WAMIMBI RONALD</v>
      </c>
      <c r="F204" t="str">
        <f ca="1">OFFSET(Sheet2!G$2,(ROW(F205))*3,0)</f>
        <v>H2Go</v>
      </c>
      <c r="G204">
        <f ca="1">OFFSET(Sheet2!H$2,(ROW(G205))*3,0)</f>
        <v>0</v>
      </c>
      <c r="H204" t="str">
        <f ca="1">OFFSET(Sheet2!I$2,(ROW(H205))*3,0)</f>
        <v>Comprehensive</v>
      </c>
      <c r="I204">
        <f ca="1">OFFSET(Sheet2!J$2,(ROW(I205))*3,0)</f>
        <v>35</v>
      </c>
      <c r="J204" t="str">
        <f ca="1">OFFSET(Sheet2!K$2,(ROW(J205))*3,0)</f>
        <v>Damage Observed</v>
      </c>
      <c r="K204" t="str">
        <f ca="1">OFFSET(Sheet2!L$2,(ROW(K205))*3,0)</f>
        <v>Dirty</v>
      </c>
      <c r="L204" t="str">
        <f ca="1">OFFSET(Sheet2!M$2,(ROW(L205))*3,0)</f>
        <v>GOOD</v>
      </c>
      <c r="M204" t="str">
        <f ca="1">OFFSET(Sheet2!N$2,(ROW(M205))*3,0)</f>
        <v>NEED TO BE TIMED</v>
      </c>
      <c r="N204" t="str">
        <f ca="1">OFFSET(Sheet2!O$2,(ROW(N205))*3,0)</f>
        <v>GOOD</v>
      </c>
      <c r="O204" t="str">
        <f ca="1">OFFSET(Sheet2!P$2,(ROW(O205))*3,0)</f>
        <v>GOOD</v>
      </c>
      <c r="P204" t="str">
        <f ca="1">OFFSET(Sheet2!Q$2,(ROW(P205))*3,0)</f>
        <v>SERVICED VERY WELL</v>
      </c>
      <c r="Q204" t="str">
        <f ca="1">OFFSET(Sheet2!R$2,(ROW(Q205))*3,0)</f>
        <v>NEEDS TO PUT NEW PISTON AND VALVES</v>
      </c>
      <c r="R204" t="str">
        <f ca="1">OFFSET(Sheet2!S$2,(ROW(R205))*3,0)</f>
        <v>NEEDS VALVES SEALS</v>
      </c>
      <c r="S204" t="str">
        <f ca="1">OFFSET(Sheet2!T$2,(ROW(S205))*3,0)</f>
        <v>VERY GOOD</v>
      </c>
      <c r="T204">
        <f ca="1">OFFSET(Sheet2!U$2,(ROW(T205))*3,0)</f>
        <v>0</v>
      </c>
      <c r="U204">
        <f ca="1">OFFSET(Sheet2!V$2,(ROW(U205))*3,0)</f>
        <v>0</v>
      </c>
    </row>
    <row r="205" spans="1:21" x14ac:dyDescent="0.35">
      <c r="A205" s="11">
        <f ca="1">OFFSET(Sheet2!B$2,(ROW(A206))*3,0)</f>
        <v>43855</v>
      </c>
      <c r="B205" s="11">
        <f ca="1">OFFSET(Sheet2!A$2,(ROW(A206))*3,0)</f>
        <v>43855</v>
      </c>
      <c r="C205">
        <f ca="1">OFFSET(Sheet2!C$2,(ROW(C206))*3,0)</f>
        <v>34</v>
      </c>
      <c r="D205" t="str">
        <f ca="1">OFFSET(Sheet2!D$2,(ROW(D206))*3,0)</f>
        <v>South</v>
      </c>
      <c r="E205" t="str">
        <f ca="1">OFFSET(Sheet2!F$2,(ROW(E206))*3,0)</f>
        <v>WAMIMBI RONALD</v>
      </c>
      <c r="F205" t="str">
        <f ca="1">OFFSET(Sheet2!G$2,(ROW(F206))*3,0)</f>
        <v>H2Go</v>
      </c>
      <c r="G205">
        <f ca="1">OFFSET(Sheet2!H$2,(ROW(G206))*3,0)</f>
        <v>0</v>
      </c>
      <c r="H205" t="str">
        <f ca="1">OFFSET(Sheet2!I$2,(ROW(H206))*3,0)</f>
        <v>WEEKLY</v>
      </c>
      <c r="I205">
        <f ca="1">OFFSET(Sheet2!J$2,(ROW(I206))*3,0)</f>
        <v>78</v>
      </c>
      <c r="J205" t="str">
        <f ca="1">OFFSET(Sheet2!K$2,(ROW(J206))*3,0)</f>
        <v>Damage Observed</v>
      </c>
      <c r="K205" t="str">
        <f ca="1">OFFSET(Sheet2!L$2,(ROW(K206))*3,0)</f>
        <v>Very dirty</v>
      </c>
      <c r="L205" t="str">
        <f ca="1">OFFSET(Sheet2!M$2,(ROW(L206))*3,0)</f>
        <v>GOOD</v>
      </c>
      <c r="M205" t="str">
        <f ca="1">OFFSET(Sheet2!N$2,(ROW(M206))*3,0)</f>
        <v>GOOD</v>
      </c>
      <c r="N205" t="str">
        <f ca="1">OFFSET(Sheet2!O$2,(ROW(N206))*3,0)</f>
        <v>GOOD</v>
      </c>
      <c r="O205" t="str">
        <f ca="1">OFFSET(Sheet2!P$2,(ROW(O206))*3,0)</f>
        <v>GOOD</v>
      </c>
      <c r="P205" t="str">
        <f ca="1">OFFSET(Sheet2!Q$2,(ROW(P206))*3,0)</f>
        <v>NUT WORN OUT</v>
      </c>
      <c r="Q205">
        <f ca="1">OFFSET(Sheet2!R$2,(ROW(Q206))*3,0)</f>
        <v>0</v>
      </c>
      <c r="R205">
        <f ca="1">OFFSET(Sheet2!S$2,(ROW(R206))*3,0)</f>
        <v>0</v>
      </c>
      <c r="S205">
        <f ca="1">OFFSET(Sheet2!T$2,(ROW(S206))*3,0)</f>
        <v>0</v>
      </c>
      <c r="T205">
        <f ca="1">OFFSET(Sheet2!U$2,(ROW(T206))*3,0)</f>
        <v>0</v>
      </c>
      <c r="U205">
        <f ca="1">OFFSET(Sheet2!V$2,(ROW(U206))*3,0)</f>
        <v>0</v>
      </c>
    </row>
    <row r="206" spans="1:21" x14ac:dyDescent="0.35">
      <c r="A206" s="11">
        <f ca="1">OFFSET(Sheet2!B$2,(ROW(A207))*3,0)</f>
        <v>43862</v>
      </c>
      <c r="B206" s="11">
        <f ca="1">OFFSET(Sheet2!A$2,(ROW(A207))*3,0)</f>
        <v>43862</v>
      </c>
      <c r="C206">
        <f ca="1">OFFSET(Sheet2!C$2,(ROW(C207))*3,0)</f>
        <v>34</v>
      </c>
      <c r="D206" t="str">
        <f ca="1">OFFSET(Sheet2!D$2,(ROW(D207))*3,0)</f>
        <v>South</v>
      </c>
      <c r="E206" t="str">
        <f ca="1">OFFSET(Sheet2!F$2,(ROW(E207))*3,0)</f>
        <v>WAMIMBI RONALD</v>
      </c>
      <c r="F206" t="str">
        <f ca="1">OFFSET(Sheet2!G$2,(ROW(F207))*3,0)</f>
        <v>H2GO</v>
      </c>
      <c r="G206">
        <f ca="1">OFFSET(Sheet2!H$2,(ROW(G207))*3,0)</f>
        <v>0</v>
      </c>
      <c r="H206" t="str">
        <f ca="1">OFFSET(Sheet2!I$2,(ROW(H207))*3,0)</f>
        <v>WEEKLY</v>
      </c>
      <c r="I206">
        <f ca="1">OFFSET(Sheet2!J$2,(ROW(I207))*3,0)</f>
        <v>84</v>
      </c>
      <c r="J206" t="str">
        <f ca="1">OFFSET(Sheet2!K$2,(ROW(J207))*3,0)</f>
        <v>Damage Observed</v>
      </c>
      <c r="K206" t="str">
        <f ca="1">OFFSET(Sheet2!L$2,(ROW(K207))*3,0)</f>
        <v>Good</v>
      </c>
      <c r="L206" t="str">
        <f ca="1">OFFSET(Sheet2!M$2,(ROW(L207))*3,0)</f>
        <v>GOOD</v>
      </c>
      <c r="M206" t="str">
        <f ca="1">OFFSET(Sheet2!N$2,(ROW(M207))*3,0)</f>
        <v>GOOD</v>
      </c>
      <c r="N206" t="str">
        <f ca="1">OFFSET(Sheet2!O$2,(ROW(N207))*3,0)</f>
        <v>GOOD</v>
      </c>
      <c r="O206" t="str">
        <f ca="1">OFFSET(Sheet2!P$2,(ROW(O207))*3,0)</f>
        <v>GOOD</v>
      </c>
      <c r="P206" t="str">
        <f ca="1">OFFSET(Sheet2!Q$2,(ROW(P207))*3,0)</f>
        <v>WASHER AND NUT REPLACED</v>
      </c>
      <c r="Q206">
        <f ca="1">OFFSET(Sheet2!R$2,(ROW(Q207))*3,0)</f>
        <v>0</v>
      </c>
      <c r="R206">
        <f ca="1">OFFSET(Sheet2!S$2,(ROW(R207))*3,0)</f>
        <v>0</v>
      </c>
      <c r="S206">
        <f ca="1">OFFSET(Sheet2!T$2,(ROW(S207))*3,0)</f>
        <v>0</v>
      </c>
      <c r="T206">
        <f ca="1">OFFSET(Sheet2!U$2,(ROW(T207))*3,0)</f>
        <v>0</v>
      </c>
      <c r="U206">
        <f ca="1">OFFSET(Sheet2!V$2,(ROW(U207))*3,0)</f>
        <v>0</v>
      </c>
    </row>
    <row r="207" spans="1:21" x14ac:dyDescent="0.35">
      <c r="A207" s="11">
        <f ca="1">OFFSET(Sheet2!B$2,(ROW(A208))*3,0)</f>
        <v>43876</v>
      </c>
      <c r="B207" s="11">
        <f ca="1">OFFSET(Sheet2!A$2,(ROW(A208))*3,0)</f>
        <v>43876</v>
      </c>
      <c r="C207">
        <f ca="1">OFFSET(Sheet2!C$2,(ROW(C208))*3,0)</f>
        <v>34</v>
      </c>
      <c r="D207" t="str">
        <f ca="1">OFFSET(Sheet2!D$2,(ROW(D208))*3,0)</f>
        <v>South</v>
      </c>
      <c r="E207" t="str">
        <f ca="1">OFFSET(Sheet2!F$2,(ROW(E208))*3,0)</f>
        <v>WAMIMBI RONALD</v>
      </c>
      <c r="F207" t="str">
        <f ca="1">OFFSET(Sheet2!G$2,(ROW(F208))*3,0)</f>
        <v>H2Go</v>
      </c>
      <c r="G207">
        <f ca="1">OFFSET(Sheet2!H$2,(ROW(G208))*3,0)</f>
        <v>0</v>
      </c>
      <c r="H207" t="str">
        <f ca="1">OFFSET(Sheet2!I$2,(ROW(H208))*3,0)</f>
        <v>WEEKLY</v>
      </c>
      <c r="I207">
        <f ca="1">OFFSET(Sheet2!J$2,(ROW(I208))*3,0)</f>
        <v>122</v>
      </c>
      <c r="J207" t="str">
        <f ca="1">OFFSET(Sheet2!K$2,(ROW(J208))*3,0)</f>
        <v>Damage Observed</v>
      </c>
      <c r="K207" t="str">
        <f ca="1">OFFSET(Sheet2!L$2,(ROW(K208))*3,0)</f>
        <v>DIRTY</v>
      </c>
      <c r="L207" t="str">
        <f ca="1">OFFSET(Sheet2!M$2,(ROW(L208))*3,0)</f>
        <v>GOOD</v>
      </c>
      <c r="M207" t="str">
        <f ca="1">OFFSET(Sheet2!N$2,(ROW(M208))*3,0)</f>
        <v>GOOD</v>
      </c>
      <c r="N207" t="str">
        <f ca="1">OFFSET(Sheet2!O$2,(ROW(N208))*3,0)</f>
        <v>CLEAN</v>
      </c>
      <c r="O207" t="str">
        <f ca="1">OFFSET(Sheet2!P$2,(ROW(O208))*3,0)</f>
        <v>Clean(no soot)</v>
      </c>
      <c r="P207" t="str">
        <f ca="1">OFFSET(Sheet2!Q$2,(ROW(P208))*3,0)</f>
        <v>GOOD</v>
      </c>
      <c r="Q207">
        <f ca="1">OFFSET(Sheet2!R$2,(ROW(Q208))*3,0)</f>
        <v>0</v>
      </c>
      <c r="R207">
        <f ca="1">OFFSET(Sheet2!S$2,(ROW(R208))*3,0)</f>
        <v>0</v>
      </c>
      <c r="S207">
        <f ca="1">OFFSET(Sheet2!T$2,(ROW(S208))*3,0)</f>
        <v>0</v>
      </c>
      <c r="T207">
        <f ca="1">OFFSET(Sheet2!U$2,(ROW(T208))*3,0)</f>
        <v>0</v>
      </c>
      <c r="U207">
        <f ca="1">OFFSET(Sheet2!V$2,(ROW(U208))*3,0)</f>
        <v>0</v>
      </c>
    </row>
    <row r="208" spans="1:21" x14ac:dyDescent="0.35">
      <c r="A208" s="11">
        <f ca="1">OFFSET(Sheet2!B$2,(ROW(A209))*3,0)</f>
        <v>43885</v>
      </c>
      <c r="B208" s="11">
        <f ca="1">OFFSET(Sheet2!A$2,(ROW(A209))*3,0)</f>
        <v>43885</v>
      </c>
      <c r="C208">
        <f ca="1">OFFSET(Sheet2!C$2,(ROW(C209))*3,0)</f>
        <v>34</v>
      </c>
      <c r="D208" t="str">
        <f ca="1">OFFSET(Sheet2!D$2,(ROW(D209))*3,0)</f>
        <v>South</v>
      </c>
      <c r="E208" t="str">
        <f ca="1">OFFSET(Sheet2!F$2,(ROW(E209))*3,0)</f>
        <v>WAMIMBI RONALD</v>
      </c>
      <c r="F208" t="str">
        <f ca="1">OFFSET(Sheet2!G$2,(ROW(F209))*3,0)</f>
        <v>H2Go</v>
      </c>
      <c r="G208">
        <f ca="1">OFFSET(Sheet2!H$2,(ROW(G209))*3,0)</f>
        <v>0</v>
      </c>
      <c r="H208" t="str">
        <f ca="1">OFFSET(Sheet2!I$2,(ROW(H209))*3,0)</f>
        <v>WEEKLY</v>
      </c>
      <c r="I208">
        <f ca="1">OFFSET(Sheet2!J$2,(ROW(I209))*3,0)</f>
        <v>144</v>
      </c>
      <c r="J208" t="str">
        <f ca="1">OFFSET(Sheet2!K$2,(ROW(J209))*3,0)</f>
        <v>Damage Observed</v>
      </c>
      <c r="K208" t="str">
        <f ca="1">OFFSET(Sheet2!L$2,(ROW(K209))*3,0)</f>
        <v>Very Dirty</v>
      </c>
      <c r="L208" t="str">
        <f ca="1">OFFSET(Sheet2!M$2,(ROW(L209))*3,0)</f>
        <v>Okay</v>
      </c>
      <c r="M208" t="str">
        <f ca="1">OFFSET(Sheet2!N$2,(ROW(M209))*3,0)</f>
        <v>Good</v>
      </c>
      <c r="N208" t="str">
        <f ca="1">OFFSET(Sheet2!O$2,(ROW(N209))*3,0)</f>
        <v>Okay</v>
      </c>
      <c r="O208" t="str">
        <f ca="1">OFFSET(Sheet2!P$2,(ROW(O209))*3,0)</f>
        <v>Good</v>
      </c>
      <c r="P208" t="str">
        <f ca="1">OFFSET(Sheet2!Q$2,(ROW(P209))*3,0)</f>
        <v>In good Condition</v>
      </c>
      <c r="Q208">
        <f ca="1">OFFSET(Sheet2!R$2,(ROW(Q209))*3,0)</f>
        <v>0</v>
      </c>
      <c r="R208">
        <f ca="1">OFFSET(Sheet2!S$2,(ROW(R209))*3,0)</f>
        <v>0</v>
      </c>
      <c r="S208">
        <f ca="1">OFFSET(Sheet2!T$2,(ROW(S209))*3,0)</f>
        <v>0</v>
      </c>
      <c r="T208">
        <f ca="1">OFFSET(Sheet2!U$2,(ROW(T209))*3,0)</f>
        <v>0</v>
      </c>
      <c r="U208">
        <f ca="1">OFFSET(Sheet2!V$2,(ROW(U209))*3,0)</f>
        <v>0</v>
      </c>
    </row>
    <row r="209" spans="1:21" x14ac:dyDescent="0.35">
      <c r="A209" s="11">
        <f ca="1">OFFSET(Sheet2!B$2,(ROW(A210))*3,0)</f>
        <v>43869</v>
      </c>
      <c r="B209" s="11">
        <f ca="1">OFFSET(Sheet2!A$2,(ROW(A210))*3,0)</f>
        <v>43869</v>
      </c>
      <c r="C209">
        <f ca="1">OFFSET(Sheet2!C$2,(ROW(C210))*3,0)</f>
        <v>34</v>
      </c>
      <c r="D209" t="str">
        <f ca="1">OFFSET(Sheet2!D$2,(ROW(D210))*3,0)</f>
        <v>South</v>
      </c>
      <c r="E209" t="str">
        <f ca="1">OFFSET(Sheet2!F$2,(ROW(E210))*3,0)</f>
        <v>WAMIMBI RONALD</v>
      </c>
      <c r="F209" t="str">
        <f ca="1">OFFSET(Sheet2!G$2,(ROW(F210))*3,0)</f>
        <v>H2GO</v>
      </c>
      <c r="G209">
        <f ca="1">OFFSET(Sheet2!H$2,(ROW(G210))*3,0)</f>
        <v>0</v>
      </c>
      <c r="H209" t="str">
        <f ca="1">OFFSET(Sheet2!I$2,(ROW(H210))*3,0)</f>
        <v>WEEKLY</v>
      </c>
      <c r="I209">
        <f ca="1">OFFSET(Sheet2!J$2,(ROW(I210))*3,0)</f>
        <v>111</v>
      </c>
      <c r="J209" t="str">
        <f ca="1">OFFSET(Sheet2!K$2,(ROW(J210))*3,0)</f>
        <v>Damage Observed</v>
      </c>
      <c r="K209" t="str">
        <f ca="1">OFFSET(Sheet2!L$2,(ROW(K210))*3,0)</f>
        <v>DIRTY OIL</v>
      </c>
      <c r="L209" t="str">
        <f ca="1">OFFSET(Sheet2!M$2,(ROW(L210))*3,0)</f>
        <v>GOOD</v>
      </c>
      <c r="M209" t="str">
        <f ca="1">OFFSET(Sheet2!N$2,(ROW(M210))*3,0)</f>
        <v>GOOD</v>
      </c>
      <c r="N209" t="str">
        <f ca="1">OFFSET(Sheet2!O$2,(ROW(N210))*3,0)</f>
        <v>CLEAN</v>
      </c>
      <c r="O209" t="str">
        <f ca="1">OFFSET(Sheet2!P$2,(ROW(O210))*3,0)</f>
        <v>GOOD</v>
      </c>
      <c r="P209" t="str">
        <f ca="1">OFFSET(Sheet2!Q$2,(ROW(P210))*3,0)</f>
        <v>NUT STILL GOOD</v>
      </c>
      <c r="Q209">
        <f ca="1">OFFSET(Sheet2!R$2,(ROW(Q210))*3,0)</f>
        <v>0</v>
      </c>
      <c r="R209">
        <f ca="1">OFFSET(Sheet2!S$2,(ROW(R210))*3,0)</f>
        <v>0</v>
      </c>
      <c r="S209">
        <f ca="1">OFFSET(Sheet2!T$2,(ROW(S210))*3,0)</f>
        <v>0</v>
      </c>
      <c r="T209">
        <f ca="1">OFFSET(Sheet2!U$2,(ROW(T210))*3,0)</f>
        <v>0</v>
      </c>
      <c r="U209">
        <f ca="1">OFFSET(Sheet2!V$2,(ROW(U210))*3,0)</f>
        <v>0</v>
      </c>
    </row>
    <row r="210" spans="1:21" x14ac:dyDescent="0.35">
      <c r="A210" s="11">
        <f ca="1">OFFSET(Sheet2!B$2,(ROW(A211))*3,0)</f>
        <v>43892</v>
      </c>
      <c r="B210" s="11">
        <f ca="1">OFFSET(Sheet2!A$2,(ROW(A211))*3,0)</f>
        <v>43892</v>
      </c>
      <c r="C210">
        <f ca="1">OFFSET(Sheet2!C$2,(ROW(C211))*3,0)</f>
        <v>34</v>
      </c>
      <c r="D210" t="str">
        <f ca="1">OFFSET(Sheet2!D$2,(ROW(D211))*3,0)</f>
        <v>South</v>
      </c>
      <c r="E210" t="str">
        <f ca="1">OFFSET(Sheet2!F$2,(ROW(E211))*3,0)</f>
        <v>WAMIMBI RONALD</v>
      </c>
      <c r="F210" t="str">
        <f ca="1">OFFSET(Sheet2!G$2,(ROW(F211))*3,0)</f>
        <v>H2GO</v>
      </c>
      <c r="G210">
        <f ca="1">OFFSET(Sheet2!H$2,(ROW(G211))*3,0)</f>
        <v>0</v>
      </c>
      <c r="H210" t="str">
        <f ca="1">OFFSET(Sheet2!I$2,(ROW(H211))*3,0)</f>
        <v>WEEKLY</v>
      </c>
      <c r="I210">
        <f ca="1">OFFSET(Sheet2!J$2,(ROW(I211))*3,0)</f>
        <v>138</v>
      </c>
      <c r="J210" t="str">
        <f ca="1">OFFSET(Sheet2!K$2,(ROW(J211))*3,0)</f>
        <v>Damage Observed</v>
      </c>
      <c r="K210" t="str">
        <f ca="1">OFFSET(Sheet2!L$2,(ROW(K211))*3,0)</f>
        <v>Dirty</v>
      </c>
      <c r="L210" t="str">
        <f ca="1">OFFSET(Sheet2!M$2,(ROW(L211))*3,0)</f>
        <v>Dirty</v>
      </c>
      <c r="M210" t="str">
        <f ca="1">OFFSET(Sheet2!N$2,(ROW(M211))*3,0)</f>
        <v>Misaligned</v>
      </c>
      <c r="N210" t="str">
        <f ca="1">OFFSET(Sheet2!O$2,(ROW(N211))*3,0)</f>
        <v>Okay</v>
      </c>
      <c r="O210" t="str">
        <f ca="1">OFFSET(Sheet2!P$2,(ROW(O211))*3,0)</f>
        <v>Good</v>
      </c>
      <c r="P210" t="str">
        <f ca="1">OFFSET(Sheet2!Q$2,(ROW(P211))*3,0)</f>
        <v>In good Condition</v>
      </c>
      <c r="Q210">
        <f ca="1">OFFSET(Sheet2!R$2,(ROW(Q211))*3,0)</f>
        <v>0</v>
      </c>
      <c r="R210">
        <f ca="1">OFFSET(Sheet2!S$2,(ROW(R211))*3,0)</f>
        <v>0</v>
      </c>
      <c r="S210">
        <f ca="1">OFFSET(Sheet2!T$2,(ROW(S211))*3,0)</f>
        <v>0</v>
      </c>
      <c r="T210">
        <f ca="1">OFFSET(Sheet2!U$2,(ROW(T211))*3,0)</f>
        <v>0</v>
      </c>
      <c r="U210">
        <f ca="1">OFFSET(Sheet2!V$2,(ROW(U211))*3,0)</f>
        <v>0</v>
      </c>
    </row>
    <row r="211" spans="1:21" x14ac:dyDescent="0.35">
      <c r="A211" s="11">
        <f ca="1">OFFSET(Sheet2!B$2,(ROW(A212))*3,0)</f>
        <v>43899</v>
      </c>
      <c r="B211" s="11">
        <f ca="1">OFFSET(Sheet2!A$2,(ROW(A212))*3,0)</f>
        <v>43899</v>
      </c>
      <c r="C211">
        <f ca="1">OFFSET(Sheet2!C$2,(ROW(C212))*3,0)</f>
        <v>34</v>
      </c>
      <c r="D211" t="str">
        <f ca="1">OFFSET(Sheet2!D$2,(ROW(D212))*3,0)</f>
        <v>South</v>
      </c>
      <c r="E211" t="str">
        <f ca="1">OFFSET(Sheet2!F$2,(ROW(E212))*3,0)</f>
        <v>WAMIMBI RONALD</v>
      </c>
      <c r="F211" t="str">
        <f ca="1">OFFSET(Sheet2!G$2,(ROW(F212))*3,0)</f>
        <v>H2GO</v>
      </c>
      <c r="G211">
        <f ca="1">OFFSET(Sheet2!H$2,(ROW(G212))*3,0)</f>
        <v>0</v>
      </c>
      <c r="H211" t="str">
        <f ca="1">OFFSET(Sheet2!I$2,(ROW(H212))*3,0)</f>
        <v>WEEKLY</v>
      </c>
      <c r="I211">
        <f ca="1">OFFSET(Sheet2!J$2,(ROW(I212))*3,0)</f>
        <v>171</v>
      </c>
      <c r="J211" t="str">
        <f ca="1">OFFSET(Sheet2!K$2,(ROW(J212))*3,0)</f>
        <v>Damage Observed</v>
      </c>
      <c r="K211" t="str">
        <f ca="1">OFFSET(Sheet2!L$2,(ROW(K212))*3,0)</f>
        <v>Okay</v>
      </c>
      <c r="L211" t="str">
        <f ca="1">OFFSET(Sheet2!M$2,(ROW(L212))*3,0)</f>
        <v>Dirty</v>
      </c>
      <c r="M211" t="str">
        <f ca="1">OFFSET(Sheet2!N$2,(ROW(M212))*3,0)</f>
        <v>Loose</v>
      </c>
      <c r="N211" t="str">
        <f ca="1">OFFSET(Sheet2!O$2,(ROW(N212))*3,0)</f>
        <v>Okay</v>
      </c>
      <c r="O211" t="str">
        <f ca="1">OFFSET(Sheet2!P$2,(ROW(O212))*3,0)</f>
        <v>Good</v>
      </c>
      <c r="P211" t="str">
        <f ca="1">OFFSET(Sheet2!Q$2,(ROW(P212))*3,0)</f>
        <v>In good Condition</v>
      </c>
      <c r="Q211">
        <f ca="1">OFFSET(Sheet2!R$2,(ROW(Q212))*3,0)</f>
        <v>0</v>
      </c>
      <c r="R211">
        <f ca="1">OFFSET(Sheet2!S$2,(ROW(R212))*3,0)</f>
        <v>0</v>
      </c>
      <c r="S211">
        <f ca="1">OFFSET(Sheet2!T$2,(ROW(S212))*3,0)</f>
        <v>0</v>
      </c>
      <c r="T211">
        <f ca="1">OFFSET(Sheet2!U$2,(ROW(T212))*3,0)</f>
        <v>0</v>
      </c>
      <c r="U211">
        <f ca="1">OFFSET(Sheet2!V$2,(ROW(U212))*3,0)</f>
        <v>0</v>
      </c>
    </row>
    <row r="212" spans="1:21" x14ac:dyDescent="0.35">
      <c r="A212" s="11">
        <f ca="1">OFFSET(Sheet2!B$2,(ROW(A213))*3,0)</f>
        <v>43878</v>
      </c>
      <c r="B212" s="11">
        <f ca="1">OFFSET(Sheet2!A$2,(ROW(A213))*3,0)</f>
        <v>43878</v>
      </c>
      <c r="C212" t="e">
        <f ca="1">OFFSET(Sheet2!C$2,(ROW(C213))*3,0)</f>
        <v>#N/A</v>
      </c>
      <c r="D212" t="str">
        <f ca="1">OFFSET(Sheet2!D$2,(ROW(D213))*3,0)</f>
        <v>North</v>
      </c>
      <c r="E212" t="str">
        <f ca="1">OFFSET(Sheet2!F$2,(ROW(E213))*3,0)</f>
        <v>NEED TO CHECK</v>
      </c>
      <c r="F212" t="str">
        <f ca="1">OFFSET(Sheet2!G$2,(ROW(F213))*3,0)</f>
        <v>Control</v>
      </c>
      <c r="G212">
        <f ca="1">OFFSET(Sheet2!H$2,(ROW(G213))*3,0)</f>
        <v>0</v>
      </c>
      <c r="H212" t="str">
        <f ca="1">OFFSET(Sheet2!I$2,(ROW(H213))*3,0)</f>
        <v>WEEKLY</v>
      </c>
      <c r="I212">
        <f ca="1">OFFSET(Sheet2!J$2,(ROW(I213))*3,0)</f>
        <v>225</v>
      </c>
      <c r="J212" t="str">
        <f ca="1">OFFSET(Sheet2!K$2,(ROW(J213))*3,0)</f>
        <v>Damage Observed</v>
      </c>
      <c r="K212" t="str">
        <f ca="1">OFFSET(Sheet2!L$2,(ROW(K213))*3,0)</f>
        <v>Clean</v>
      </c>
      <c r="L212" t="str">
        <f ca="1">OFFSET(Sheet2!M$2,(ROW(L213))*3,0)</f>
        <v>Okay</v>
      </c>
      <c r="M212" t="str">
        <f ca="1">OFFSET(Sheet2!N$2,(ROW(M213))*3,0)</f>
        <v>Good</v>
      </c>
      <c r="N212" t="str">
        <f ca="1">OFFSET(Sheet2!O$2,(ROW(N213))*3,0)</f>
        <v>Okay</v>
      </c>
      <c r="O212" t="str">
        <f ca="1">OFFSET(Sheet2!P$2,(ROW(O213))*3,0)</f>
        <v>Good</v>
      </c>
      <c r="P212" t="str">
        <f ca="1">OFFSET(Sheet2!Q$2,(ROW(P213))*3,0)</f>
        <v>In good Condition</v>
      </c>
      <c r="Q212">
        <f ca="1">OFFSET(Sheet2!R$2,(ROW(Q213))*3,0)</f>
        <v>0</v>
      </c>
      <c r="R212">
        <f ca="1">OFFSET(Sheet2!S$2,(ROW(R213))*3,0)</f>
        <v>0</v>
      </c>
      <c r="S212">
        <f ca="1">OFFSET(Sheet2!T$2,(ROW(S213))*3,0)</f>
        <v>0</v>
      </c>
      <c r="T212">
        <f ca="1">OFFSET(Sheet2!U$2,(ROW(T213))*3,0)</f>
        <v>0</v>
      </c>
      <c r="U212">
        <f ca="1">OFFSET(Sheet2!V$2,(ROW(U213))*3,0)</f>
        <v>0</v>
      </c>
    </row>
    <row r="213" spans="1:21" x14ac:dyDescent="0.35">
      <c r="A213" s="11">
        <f ca="1">OFFSET(Sheet2!B$2,(ROW(A214))*3,0)</f>
        <v>43855</v>
      </c>
      <c r="B213" s="11">
        <f ca="1">OFFSET(Sheet2!A$2,(ROW(A214))*3,0)</f>
        <v>43855</v>
      </c>
      <c r="C213" t="e">
        <f ca="1">OFFSET(Sheet2!C$2,(ROW(C214))*3,0)</f>
        <v>#N/A</v>
      </c>
      <c r="D213" t="str">
        <f ca="1">OFFSET(Sheet2!D$2,(ROW(D214))*3,0)</f>
        <v>South</v>
      </c>
      <c r="E213" t="str">
        <f ca="1">OFFSET(Sheet2!F$2,(ROW(E214))*3,0)</f>
        <v>MAGOMU LATIFU</v>
      </c>
      <c r="F213" t="str">
        <f ca="1">OFFSET(Sheet2!G$2,(ROW(F214))*3,0)</f>
        <v>H2GO</v>
      </c>
      <c r="G213">
        <f ca="1">OFFSET(Sheet2!H$2,(ROW(G214))*3,0)</f>
        <v>0</v>
      </c>
      <c r="H213" t="str">
        <f ca="1">OFFSET(Sheet2!I$2,(ROW(H214))*3,0)</f>
        <v>WEEKLY</v>
      </c>
      <c r="I213">
        <f ca="1">OFFSET(Sheet2!J$2,(ROW(I214))*3,0)</f>
        <v>73</v>
      </c>
      <c r="J213" t="str">
        <f ca="1">OFFSET(Sheet2!K$2,(ROW(J214))*3,0)</f>
        <v>Damage Observed</v>
      </c>
      <c r="K213" t="str">
        <f ca="1">OFFSET(Sheet2!L$2,(ROW(K214))*3,0)</f>
        <v>NOT BAD THOUGH USED UP</v>
      </c>
      <c r="L213" t="str">
        <f ca="1">OFFSET(Sheet2!M$2,(ROW(L214))*3,0)</f>
        <v>GOOD</v>
      </c>
      <c r="M213" t="str">
        <f ca="1">OFFSET(Sheet2!N$2,(ROW(M214))*3,0)</f>
        <v>GOOD</v>
      </c>
      <c r="N213" t="str">
        <f ca="1">OFFSET(Sheet2!O$2,(ROW(N214))*3,0)</f>
        <v>CLEAN</v>
      </c>
      <c r="O213" t="str">
        <f ca="1">OFFSET(Sheet2!P$2,(ROW(O214))*3,0)</f>
        <v>Clean(no soot)</v>
      </c>
      <c r="P213" t="str">
        <f ca="1">OFFSET(Sheet2!Q$2,(ROW(P214))*3,0)</f>
        <v>GOOD</v>
      </c>
      <c r="Q213">
        <f ca="1">OFFSET(Sheet2!R$2,(ROW(Q214))*3,0)</f>
        <v>0</v>
      </c>
      <c r="R213">
        <f ca="1">OFFSET(Sheet2!S$2,(ROW(R214))*3,0)</f>
        <v>0</v>
      </c>
      <c r="S213">
        <f ca="1">OFFSET(Sheet2!T$2,(ROW(S214))*3,0)</f>
        <v>0</v>
      </c>
      <c r="T213">
        <f ca="1">OFFSET(Sheet2!U$2,(ROW(T214))*3,0)</f>
        <v>0</v>
      </c>
      <c r="U213">
        <f ca="1">OFFSET(Sheet2!V$2,(ROW(U214))*3,0)</f>
        <v>0</v>
      </c>
    </row>
    <row r="214" spans="1:21" x14ac:dyDescent="0.35">
      <c r="A214" s="11">
        <f ca="1">OFFSET(Sheet2!B$2,(ROW(A215))*3,0)</f>
        <v>43862</v>
      </c>
      <c r="B214" s="11">
        <f ca="1">OFFSET(Sheet2!A$2,(ROW(A215))*3,0)</f>
        <v>43862</v>
      </c>
      <c r="C214" t="e">
        <f ca="1">OFFSET(Sheet2!C$2,(ROW(C215))*3,0)</f>
        <v>#N/A</v>
      </c>
      <c r="D214" t="str">
        <f ca="1">OFFSET(Sheet2!D$2,(ROW(D215))*3,0)</f>
        <v>South</v>
      </c>
      <c r="E214" t="str">
        <f ca="1">OFFSET(Sheet2!F$2,(ROW(E215))*3,0)</f>
        <v>MAGOMU LATIFU</v>
      </c>
      <c r="F214" t="str">
        <f ca="1">OFFSET(Sheet2!G$2,(ROW(F215))*3,0)</f>
        <v>H2Go</v>
      </c>
      <c r="G214">
        <f ca="1">OFFSET(Sheet2!H$2,(ROW(G215))*3,0)</f>
        <v>0</v>
      </c>
      <c r="H214" t="str">
        <f ca="1">OFFSET(Sheet2!I$2,(ROW(H215))*3,0)</f>
        <v>WEEKLY</v>
      </c>
      <c r="I214">
        <f ca="1">OFFSET(Sheet2!J$2,(ROW(I215))*3,0)</f>
        <v>194</v>
      </c>
      <c r="J214" t="str">
        <f ca="1">OFFSET(Sheet2!K$2,(ROW(J215))*3,0)</f>
        <v>Damage Observed</v>
      </c>
      <c r="K214" t="str">
        <f ca="1">OFFSET(Sheet2!L$2,(ROW(K215))*3,0)</f>
        <v>NOT BAD THOUGH USED UP</v>
      </c>
      <c r="L214" t="str">
        <f ca="1">OFFSET(Sheet2!M$2,(ROW(L215))*3,0)</f>
        <v>GOOD</v>
      </c>
      <c r="M214" t="str">
        <f ca="1">OFFSET(Sheet2!N$2,(ROW(M215))*3,0)</f>
        <v>GOOD</v>
      </c>
      <c r="N214" t="str">
        <f ca="1">OFFSET(Sheet2!O$2,(ROW(N215))*3,0)</f>
        <v>CLEAN</v>
      </c>
      <c r="O214" t="str">
        <f ca="1">OFFSET(Sheet2!P$2,(ROW(O215))*3,0)</f>
        <v>Clean(no soot)</v>
      </c>
      <c r="P214" t="str">
        <f ca="1">OFFSET(Sheet2!Q$2,(ROW(P215))*3,0)</f>
        <v>Good, no damage observed</v>
      </c>
      <c r="Q214">
        <f ca="1">OFFSET(Sheet2!R$2,(ROW(Q215))*3,0)</f>
        <v>0</v>
      </c>
      <c r="R214">
        <f ca="1">OFFSET(Sheet2!S$2,(ROW(R215))*3,0)</f>
        <v>0</v>
      </c>
      <c r="S214">
        <f ca="1">OFFSET(Sheet2!T$2,(ROW(S215))*3,0)</f>
        <v>0</v>
      </c>
      <c r="T214">
        <f ca="1">OFFSET(Sheet2!U$2,(ROW(T215))*3,0)</f>
        <v>0</v>
      </c>
      <c r="U214">
        <f ca="1">OFFSET(Sheet2!V$2,(ROW(U215))*3,0)</f>
        <v>0</v>
      </c>
    </row>
    <row r="215" spans="1:21" x14ac:dyDescent="0.35">
      <c r="A215" s="11">
        <f ca="1">OFFSET(Sheet2!B$2,(ROW(A216))*3,0)</f>
        <v>43876</v>
      </c>
      <c r="B215" s="11">
        <f ca="1">OFFSET(Sheet2!A$2,(ROW(A216))*3,0)</f>
        <v>43876</v>
      </c>
      <c r="C215" t="e">
        <f ca="1">OFFSET(Sheet2!C$2,(ROW(C216))*3,0)</f>
        <v>#N/A</v>
      </c>
      <c r="D215" t="str">
        <f ca="1">OFFSET(Sheet2!D$2,(ROW(D216))*3,0)</f>
        <v>South</v>
      </c>
      <c r="E215" t="str">
        <f ca="1">OFFSET(Sheet2!F$2,(ROW(E216))*3,0)</f>
        <v>MAGOMU LATIFU</v>
      </c>
      <c r="F215" t="str">
        <f ca="1">OFFSET(Sheet2!G$2,(ROW(F216))*3,0)</f>
        <v>H2Go</v>
      </c>
      <c r="G215">
        <f ca="1">OFFSET(Sheet2!H$2,(ROW(G216))*3,0)</f>
        <v>0</v>
      </c>
      <c r="H215" t="str">
        <f ca="1">OFFSET(Sheet2!I$2,(ROW(H216))*3,0)</f>
        <v>WEEKLY</v>
      </c>
      <c r="I215">
        <f ca="1">OFFSET(Sheet2!J$2,(ROW(I216))*3,0)</f>
        <v>148</v>
      </c>
      <c r="J215" t="str">
        <f ca="1">OFFSET(Sheet2!K$2,(ROW(J216))*3,0)</f>
        <v>Damage Observed</v>
      </c>
      <c r="K215" t="str">
        <f ca="1">OFFSET(Sheet2!L$2,(ROW(K216))*3,0)</f>
        <v>NOT BAD THOUGH USED UP</v>
      </c>
      <c r="L215" t="str">
        <f ca="1">OFFSET(Sheet2!M$2,(ROW(L216))*3,0)</f>
        <v>GOOD</v>
      </c>
      <c r="M215" t="str">
        <f ca="1">OFFSET(Sheet2!N$2,(ROW(M216))*3,0)</f>
        <v>Loose</v>
      </c>
      <c r="N215" t="str">
        <f ca="1">OFFSET(Sheet2!O$2,(ROW(N216))*3,0)</f>
        <v>CLEAN</v>
      </c>
      <c r="O215" t="str">
        <f ca="1">OFFSET(Sheet2!P$2,(ROW(O216))*3,0)</f>
        <v>Clean(no soot)</v>
      </c>
      <c r="P215" t="str">
        <f ca="1">OFFSET(Sheet2!Q$2,(ROW(P216))*3,0)</f>
        <v xml:space="preserve">GOOD </v>
      </c>
      <c r="Q215">
        <f ca="1">OFFSET(Sheet2!R$2,(ROW(Q216))*3,0)</f>
        <v>0</v>
      </c>
      <c r="R215">
        <f ca="1">OFFSET(Sheet2!S$2,(ROW(R216))*3,0)</f>
        <v>0</v>
      </c>
      <c r="S215">
        <f ca="1">OFFSET(Sheet2!T$2,(ROW(S216))*3,0)</f>
        <v>0</v>
      </c>
      <c r="T215">
        <f ca="1">OFFSET(Sheet2!U$2,(ROW(T216))*3,0)</f>
        <v>0</v>
      </c>
      <c r="U215">
        <f ca="1">OFFSET(Sheet2!V$2,(ROW(U216))*3,0)</f>
        <v>0</v>
      </c>
    </row>
    <row r="216" spans="1:21" x14ac:dyDescent="0.35">
      <c r="A216" s="11">
        <f ca="1">OFFSET(Sheet2!B$2,(ROW(A217))*3,0)</f>
        <v>43885</v>
      </c>
      <c r="B216" s="11">
        <f ca="1">OFFSET(Sheet2!A$2,(ROW(A217))*3,0)</f>
        <v>43885</v>
      </c>
      <c r="C216" t="e">
        <f ca="1">OFFSET(Sheet2!C$2,(ROW(C217))*3,0)</f>
        <v>#N/A</v>
      </c>
      <c r="D216" t="str">
        <f ca="1">OFFSET(Sheet2!D$2,(ROW(D217))*3,0)</f>
        <v>South</v>
      </c>
      <c r="E216" t="str">
        <f ca="1">OFFSET(Sheet2!F$2,(ROW(E217))*3,0)</f>
        <v>MAGOMU LATIFU</v>
      </c>
      <c r="F216" t="str">
        <f ca="1">OFFSET(Sheet2!G$2,(ROW(F217))*3,0)</f>
        <v>CONTROL</v>
      </c>
      <c r="G216">
        <f ca="1">OFFSET(Sheet2!H$2,(ROW(G217))*3,0)</f>
        <v>0</v>
      </c>
      <c r="H216" t="str">
        <f ca="1">OFFSET(Sheet2!I$2,(ROW(H217))*3,0)</f>
        <v>WEEKLY</v>
      </c>
      <c r="I216">
        <f ca="1">OFFSET(Sheet2!J$2,(ROW(I217))*3,0)</f>
        <v>131</v>
      </c>
      <c r="J216" t="str">
        <f ca="1">OFFSET(Sheet2!K$2,(ROW(J217))*3,0)</f>
        <v>Damage Observed</v>
      </c>
      <c r="K216" t="str">
        <f ca="1">OFFSET(Sheet2!L$2,(ROW(K217))*3,0)</f>
        <v>Clean</v>
      </c>
      <c r="L216" t="str">
        <f ca="1">OFFSET(Sheet2!M$2,(ROW(L217))*3,0)</f>
        <v>Clean</v>
      </c>
      <c r="M216" t="str">
        <f ca="1">OFFSET(Sheet2!N$2,(ROW(M217))*3,0)</f>
        <v>Misaligned</v>
      </c>
      <c r="N216" t="str">
        <f ca="1">OFFSET(Sheet2!O$2,(ROW(N217))*3,0)</f>
        <v>Dirty</v>
      </c>
      <c r="O216" t="str">
        <f ca="1">OFFSET(Sheet2!P$2,(ROW(O217))*3,0)</f>
        <v>Good</v>
      </c>
      <c r="P216" t="str">
        <f ca="1">OFFSET(Sheet2!Q$2,(ROW(P217))*3,0)</f>
        <v>In good Condition</v>
      </c>
      <c r="Q216">
        <f ca="1">OFFSET(Sheet2!R$2,(ROW(Q217))*3,0)</f>
        <v>0</v>
      </c>
      <c r="R216">
        <f ca="1">OFFSET(Sheet2!S$2,(ROW(R217))*3,0)</f>
        <v>0</v>
      </c>
      <c r="S216">
        <f ca="1">OFFSET(Sheet2!T$2,(ROW(S217))*3,0)</f>
        <v>0</v>
      </c>
      <c r="T216">
        <f ca="1">OFFSET(Sheet2!U$2,(ROW(T217))*3,0)</f>
        <v>0</v>
      </c>
      <c r="U216">
        <f ca="1">OFFSET(Sheet2!V$2,(ROW(U217))*3,0)</f>
        <v>0</v>
      </c>
    </row>
    <row r="217" spans="1:21" x14ac:dyDescent="0.35">
      <c r="A217" s="11">
        <f ca="1">OFFSET(Sheet2!B$2,(ROW(A218))*3,0)</f>
        <v>43892</v>
      </c>
      <c r="B217" s="11">
        <f ca="1">OFFSET(Sheet2!A$2,(ROW(A218))*3,0)</f>
        <v>43892</v>
      </c>
      <c r="C217" t="e">
        <f ca="1">OFFSET(Sheet2!C$2,(ROW(C218))*3,0)</f>
        <v>#N/A</v>
      </c>
      <c r="D217" t="str">
        <f ca="1">OFFSET(Sheet2!D$2,(ROW(D218))*3,0)</f>
        <v>South</v>
      </c>
      <c r="E217" t="str">
        <f ca="1">OFFSET(Sheet2!F$2,(ROW(E218))*3,0)</f>
        <v>NAGOMU LATIF</v>
      </c>
      <c r="F217" t="str">
        <f ca="1">OFFSET(Sheet2!G$2,(ROW(F218))*3,0)</f>
        <v>CONTROL</v>
      </c>
      <c r="G217">
        <f ca="1">OFFSET(Sheet2!H$2,(ROW(G218))*3,0)</f>
        <v>0</v>
      </c>
      <c r="H217" t="str">
        <f ca="1">OFFSET(Sheet2!I$2,(ROW(H218))*3,0)</f>
        <v>WEEKLY</v>
      </c>
      <c r="I217">
        <f ca="1">OFFSET(Sheet2!J$2,(ROW(I218))*3,0)</f>
        <v>130</v>
      </c>
      <c r="J217" t="str">
        <f ca="1">OFFSET(Sheet2!K$2,(ROW(J218))*3,0)</f>
        <v>Damage Observed</v>
      </c>
      <c r="K217" t="str">
        <f ca="1">OFFSET(Sheet2!L$2,(ROW(K218))*3,0)</f>
        <v>Clean</v>
      </c>
      <c r="L217" t="str">
        <f ca="1">OFFSET(Sheet2!M$2,(ROW(L218))*3,0)</f>
        <v>Okay</v>
      </c>
      <c r="M217" t="str">
        <f ca="1">OFFSET(Sheet2!N$2,(ROW(M218))*3,0)</f>
        <v>Good</v>
      </c>
      <c r="N217" t="str">
        <f ca="1">OFFSET(Sheet2!O$2,(ROW(N218))*3,0)</f>
        <v>Okay</v>
      </c>
      <c r="O217" t="str">
        <f ca="1">OFFSET(Sheet2!P$2,(ROW(O218))*3,0)</f>
        <v>Good</v>
      </c>
      <c r="P217" t="str">
        <f ca="1">OFFSET(Sheet2!Q$2,(ROW(P218))*3,0)</f>
        <v>In good Condition</v>
      </c>
      <c r="Q217">
        <f ca="1">OFFSET(Sheet2!R$2,(ROW(Q218))*3,0)</f>
        <v>0</v>
      </c>
      <c r="R217">
        <f ca="1">OFFSET(Sheet2!S$2,(ROW(R218))*3,0)</f>
        <v>0</v>
      </c>
      <c r="S217">
        <f ca="1">OFFSET(Sheet2!T$2,(ROW(S218))*3,0)</f>
        <v>0</v>
      </c>
      <c r="T217">
        <f ca="1">OFFSET(Sheet2!U$2,(ROW(T218))*3,0)</f>
        <v>0</v>
      </c>
      <c r="U217">
        <f ca="1">OFFSET(Sheet2!V$2,(ROW(U218))*3,0)</f>
        <v>0</v>
      </c>
    </row>
    <row r="218" spans="1:21" x14ac:dyDescent="0.35">
      <c r="A218" s="11">
        <f ca="1">OFFSET(Sheet2!B$2,(ROW(A219))*3,0)</f>
        <v>43898</v>
      </c>
      <c r="B218" s="11">
        <f ca="1">OFFSET(Sheet2!A$2,(ROW(A219))*3,0)</f>
        <v>43898</v>
      </c>
      <c r="C218">
        <f ca="1">OFFSET(Sheet2!C$2,(ROW(C219))*3,0)</f>
        <v>0</v>
      </c>
      <c r="D218" t="str">
        <f ca="1">OFFSET(Sheet2!D$2,(ROW(D219))*3,0)</f>
        <v>North</v>
      </c>
      <c r="E218" t="str">
        <f ca="1">OFFSET(Sheet2!F$2,(ROW(E219))*3,0)</f>
        <v>Makona Lameka</v>
      </c>
      <c r="F218" t="str">
        <f ca="1">OFFSET(Sheet2!G$2,(ROW(F219))*3,0)</f>
        <v>Control</v>
      </c>
      <c r="G218">
        <f ca="1">OFFSET(Sheet2!H$2,(ROW(G219))*3,0)</f>
        <v>0</v>
      </c>
      <c r="H218" t="str">
        <f ca="1">OFFSET(Sheet2!I$2,(ROW(H219))*3,0)</f>
        <v>Comprehensive</v>
      </c>
      <c r="I218">
        <f ca="1">OFFSET(Sheet2!J$2,(ROW(I219))*3,0)</f>
        <v>252</v>
      </c>
      <c r="J218" t="str">
        <f ca="1">OFFSET(Sheet2!K$2,(ROW(J219))*3,0)</f>
        <v>Damage Observed</v>
      </c>
      <c r="K218" t="str">
        <f ca="1">OFFSET(Sheet2!L$2,(ROW(K219))*3,0)</f>
        <v>Dirty</v>
      </c>
      <c r="L218" t="str">
        <f ca="1">OFFSET(Sheet2!M$2,(ROW(L219))*3,0)</f>
        <v>Dirty</v>
      </c>
      <c r="M218" t="str">
        <f ca="1">OFFSET(Sheet2!N$2,(ROW(M219))*3,0)</f>
        <v>Tight</v>
      </c>
      <c r="N218" t="str">
        <f ca="1">OFFSET(Sheet2!O$2,(ROW(N219))*3,0)</f>
        <v>Dirty</v>
      </c>
      <c r="O218" t="str">
        <f ca="1">OFFSET(Sheet2!P$2,(ROW(O219))*3,0)</f>
        <v>Good</v>
      </c>
      <c r="P218" t="str">
        <f ca="1">OFFSET(Sheet2!Q$2,(ROW(P219))*3,0)</f>
        <v>In good Condition</v>
      </c>
      <c r="Q218">
        <f ca="1">OFFSET(Sheet2!R$2,(ROW(Q219))*3,0)</f>
        <v>0</v>
      </c>
      <c r="R218">
        <f ca="1">OFFSET(Sheet2!S$2,(ROW(R219))*3,0)</f>
        <v>0</v>
      </c>
      <c r="S218">
        <f ca="1">OFFSET(Sheet2!T$2,(ROW(S219))*3,0)</f>
        <v>0</v>
      </c>
      <c r="T218">
        <f ca="1">OFFSET(Sheet2!U$2,(ROW(T219))*3,0)</f>
        <v>0</v>
      </c>
      <c r="U218">
        <f ca="1">OFFSET(Sheet2!V$2,(ROW(U219))*3,0)</f>
        <v>0</v>
      </c>
    </row>
    <row r="219" spans="1:21" x14ac:dyDescent="0.35">
      <c r="A219" s="11">
        <f ca="1">OFFSET(Sheet2!B$2,(ROW(A220))*3,0)</f>
        <v>43898</v>
      </c>
      <c r="B219" s="11">
        <f ca="1">OFFSET(Sheet2!A$2,(ROW(A220))*3,0)</f>
        <v>43898</v>
      </c>
      <c r="C219">
        <f ca="1">OFFSET(Sheet2!C$2,(ROW(C220))*3,0)</f>
        <v>0</v>
      </c>
      <c r="D219" t="str">
        <f ca="1">OFFSET(Sheet2!D$2,(ROW(D220))*3,0)</f>
        <v>North</v>
      </c>
      <c r="E219" t="str">
        <f ca="1">OFFSET(Sheet2!F$2,(ROW(E220))*3,0)</f>
        <v>Mwambu Denis</v>
      </c>
      <c r="F219" t="str">
        <f ca="1">OFFSET(Sheet2!G$2,(ROW(F220))*3,0)</f>
        <v>Control</v>
      </c>
      <c r="G219">
        <f ca="1">OFFSET(Sheet2!H$2,(ROW(G220))*3,0)</f>
        <v>0</v>
      </c>
      <c r="H219" t="str">
        <f ca="1">OFFSET(Sheet2!I$2,(ROW(H220))*3,0)</f>
        <v>Comprehensive</v>
      </c>
      <c r="I219">
        <f ca="1">OFFSET(Sheet2!J$2,(ROW(I220))*3,0)</f>
        <v>242</v>
      </c>
      <c r="J219" t="str">
        <f ca="1">OFFSET(Sheet2!K$2,(ROW(J220))*3,0)</f>
        <v>Damage Observed</v>
      </c>
      <c r="K219" t="str">
        <f ca="1">OFFSET(Sheet2!L$2,(ROW(K220))*3,0)</f>
        <v>Very Dirty</v>
      </c>
      <c r="L219" t="str">
        <f ca="1">OFFSET(Sheet2!M$2,(ROW(L220))*3,0)</f>
        <v>Dirty</v>
      </c>
      <c r="M219" t="str">
        <f ca="1">OFFSET(Sheet2!N$2,(ROW(M220))*3,0)</f>
        <v>Good</v>
      </c>
      <c r="N219" t="str">
        <f ca="1">OFFSET(Sheet2!O$2,(ROW(N220))*3,0)</f>
        <v>Dirty</v>
      </c>
      <c r="O219" t="str">
        <f ca="1">OFFSET(Sheet2!P$2,(ROW(O220))*3,0)</f>
        <v>Good</v>
      </c>
      <c r="P219" t="str">
        <f ca="1">OFFSET(Sheet2!Q$2,(ROW(P220))*3,0)</f>
        <v>In good Condition</v>
      </c>
      <c r="Q219">
        <f ca="1">OFFSET(Sheet2!R$2,(ROW(Q220))*3,0)</f>
        <v>0</v>
      </c>
      <c r="R219">
        <f ca="1">OFFSET(Sheet2!S$2,(ROW(R220))*3,0)</f>
        <v>0</v>
      </c>
      <c r="S219">
        <f ca="1">OFFSET(Sheet2!T$2,(ROW(S220))*3,0)</f>
        <v>0</v>
      </c>
      <c r="T219">
        <f ca="1">OFFSET(Sheet2!U$2,(ROW(T220))*3,0)</f>
        <v>0</v>
      </c>
      <c r="U219">
        <f ca="1">OFFSET(Sheet2!V$2,(ROW(U220))*3,0)</f>
        <v>0</v>
      </c>
    </row>
    <row r="220" spans="1:21" x14ac:dyDescent="0.35">
      <c r="A220" s="11">
        <f ca="1">OFFSET(Sheet2!B$2,(ROW(A221))*3,0)</f>
        <v>43898</v>
      </c>
      <c r="B220" s="11">
        <f ca="1">OFFSET(Sheet2!A$2,(ROW(A221))*3,0)</f>
        <v>43898</v>
      </c>
      <c r="C220">
        <f ca="1">OFFSET(Sheet2!C$2,(ROW(C221))*3,0)</f>
        <v>0</v>
      </c>
      <c r="D220" t="str">
        <f ca="1">OFFSET(Sheet2!D$2,(ROW(D221))*3,0)</f>
        <v>North</v>
      </c>
      <c r="E220" t="str">
        <f ca="1">OFFSET(Sheet2!F$2,(ROW(E221))*3,0)</f>
        <v>Nabwambi micheal</v>
      </c>
      <c r="F220" t="str">
        <f ca="1">OFFSET(Sheet2!G$2,(ROW(F221))*3,0)</f>
        <v>Control</v>
      </c>
      <c r="G220">
        <f ca="1">OFFSET(Sheet2!H$2,(ROW(G221))*3,0)</f>
        <v>0</v>
      </c>
      <c r="H220" t="str">
        <f ca="1">OFFSET(Sheet2!I$2,(ROW(H221))*3,0)</f>
        <v>WEEKLY</v>
      </c>
      <c r="I220">
        <f ca="1">OFFSET(Sheet2!J$2,(ROW(I221))*3,0)</f>
        <v>248</v>
      </c>
      <c r="J220" t="str">
        <f ca="1">OFFSET(Sheet2!K$2,(ROW(J221))*3,0)</f>
        <v>Damage Observed</v>
      </c>
      <c r="K220" t="str">
        <f ca="1">OFFSET(Sheet2!L$2,(ROW(K221))*3,0)</f>
        <v>Very Dirty</v>
      </c>
      <c r="L220" t="str">
        <f ca="1">OFFSET(Sheet2!M$2,(ROW(L221))*3,0)</f>
        <v>Dirty</v>
      </c>
      <c r="M220" t="str">
        <f ca="1">OFFSET(Sheet2!N$2,(ROW(M221))*3,0)</f>
        <v>Good</v>
      </c>
      <c r="N220" t="str">
        <f ca="1">OFFSET(Sheet2!O$2,(ROW(N221))*3,0)</f>
        <v>Dirty</v>
      </c>
      <c r="O220" t="str">
        <f ca="1">OFFSET(Sheet2!P$2,(ROW(O221))*3,0)</f>
        <v>Good</v>
      </c>
      <c r="P220" t="str">
        <f ca="1">OFFSET(Sheet2!Q$2,(ROW(P221))*3,0)</f>
        <v>In good Condition</v>
      </c>
      <c r="Q220">
        <f ca="1">OFFSET(Sheet2!R$2,(ROW(Q221))*3,0)</f>
        <v>0</v>
      </c>
      <c r="R220">
        <f ca="1">OFFSET(Sheet2!S$2,(ROW(R221))*3,0)</f>
        <v>0</v>
      </c>
      <c r="S220">
        <f ca="1">OFFSET(Sheet2!T$2,(ROW(S221))*3,0)</f>
        <v>0</v>
      </c>
      <c r="T220">
        <f ca="1">OFFSET(Sheet2!U$2,(ROW(T221))*3,0)</f>
        <v>0</v>
      </c>
      <c r="U220">
        <f ca="1">OFFSET(Sheet2!V$2,(ROW(U221))*3,0)</f>
        <v>0</v>
      </c>
    </row>
    <row r="221" spans="1:21" x14ac:dyDescent="0.35">
      <c r="A221" s="11">
        <f ca="1">OFFSET(Sheet2!B$2,(ROW(A222))*3,0)</f>
        <v>43899</v>
      </c>
      <c r="B221" s="11">
        <f ca="1">OFFSET(Sheet2!A$2,(ROW(A222))*3,0)</f>
        <v>43899</v>
      </c>
      <c r="C221">
        <f ca="1">OFFSET(Sheet2!C$2,(ROW(C222))*3,0)</f>
        <v>0</v>
      </c>
      <c r="D221" t="str">
        <f ca="1">OFFSET(Sheet2!D$2,(ROW(D222))*3,0)</f>
        <v>North</v>
      </c>
      <c r="E221" t="str">
        <f ca="1">OFFSET(Sheet2!F$2,(ROW(E222))*3,0)</f>
        <v>Wakamweli Agrey</v>
      </c>
      <c r="F221" t="str">
        <f ca="1">OFFSET(Sheet2!G$2,(ROW(F222))*3,0)</f>
        <v>H2Go</v>
      </c>
      <c r="G221">
        <f ca="1">OFFSET(Sheet2!H$2,(ROW(G222))*3,0)</f>
        <v>0</v>
      </c>
      <c r="H221" t="str">
        <f ca="1">OFFSET(Sheet2!I$2,(ROW(H222))*3,0)</f>
        <v>Comprehensive</v>
      </c>
      <c r="I221">
        <f ca="1">OFFSET(Sheet2!J$2,(ROW(I222))*3,0)</f>
        <v>271</v>
      </c>
      <c r="J221" t="str">
        <f ca="1">OFFSET(Sheet2!K$2,(ROW(J222))*3,0)</f>
        <v>Damage Observed</v>
      </c>
      <c r="K221" t="str">
        <f ca="1">OFFSET(Sheet2!L$2,(ROW(K222))*3,0)</f>
        <v>Clean</v>
      </c>
      <c r="L221" t="str">
        <f ca="1">OFFSET(Sheet2!M$2,(ROW(L222))*3,0)</f>
        <v>Okay</v>
      </c>
      <c r="M221" t="str">
        <f ca="1">OFFSET(Sheet2!N$2,(ROW(M222))*3,0)</f>
        <v>Loose</v>
      </c>
      <c r="N221" t="str">
        <f ca="1">OFFSET(Sheet2!O$2,(ROW(N222))*3,0)</f>
        <v>Clean</v>
      </c>
      <c r="O221" t="str">
        <f ca="1">OFFSET(Sheet2!P$2,(ROW(O222))*3,0)</f>
        <v>Needs to be Changed</v>
      </c>
      <c r="P221" t="str">
        <f ca="1">OFFSET(Sheet2!Q$2,(ROW(P222))*3,0)</f>
        <v>In good Condition</v>
      </c>
      <c r="Q221">
        <f ca="1">OFFSET(Sheet2!R$2,(ROW(Q222))*3,0)</f>
        <v>0</v>
      </c>
      <c r="R221">
        <f ca="1">OFFSET(Sheet2!S$2,(ROW(R222))*3,0)</f>
        <v>0</v>
      </c>
      <c r="S221">
        <f ca="1">OFFSET(Sheet2!T$2,(ROW(S222))*3,0)</f>
        <v>0</v>
      </c>
      <c r="T221">
        <f ca="1">OFFSET(Sheet2!U$2,(ROW(T222))*3,0)</f>
        <v>0</v>
      </c>
      <c r="U221">
        <f ca="1">OFFSET(Sheet2!V$2,(ROW(U222))*3,0)</f>
        <v>0</v>
      </c>
    </row>
    <row r="222" spans="1:21" x14ac:dyDescent="0.35">
      <c r="A222" s="11"/>
      <c r="B222" s="11"/>
    </row>
    <row r="223" spans="1:21" x14ac:dyDescent="0.35">
      <c r="A223" s="11"/>
    </row>
    <row r="224" spans="1:21" x14ac:dyDescent="0.35">
      <c r="A224" s="11"/>
    </row>
    <row r="225" spans="1:1" x14ac:dyDescent="0.35">
      <c r="A225" s="11"/>
    </row>
    <row r="226" spans="1:1" x14ac:dyDescent="0.35">
      <c r="A226" s="11"/>
    </row>
    <row r="227" spans="1:1" x14ac:dyDescent="0.35">
      <c r="A227" s="11"/>
    </row>
  </sheetData>
  <sortState xmlns:xlrd2="http://schemas.microsoft.com/office/spreadsheetml/2017/richdata2" ref="A2:U221">
    <sortCondition ref="C2:C221"/>
    <sortCondition ref="A2:A22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222"/>
  <sheetViews>
    <sheetView topLeftCell="B100" workbookViewId="0">
      <selection activeCell="J105" sqref="J105"/>
    </sheetView>
  </sheetViews>
  <sheetFormatPr defaultRowHeight="14.5" x14ac:dyDescent="0.35"/>
  <cols>
    <col min="1" max="1" width="16.7265625" customWidth="1"/>
    <col min="2" max="2" width="8.81640625" customWidth="1"/>
    <col min="4" max="4" width="24.26953125" customWidth="1"/>
    <col min="6" max="6" width="13.453125" customWidth="1"/>
    <col min="7" max="7" width="21" customWidth="1"/>
    <col min="9" max="9" width="16.26953125" customWidth="1"/>
    <col min="10" max="10" width="54.26953125" customWidth="1"/>
    <col min="11" max="11" width="36.26953125" bestFit="1" customWidth="1"/>
    <col min="12" max="12" width="24.26953125" bestFit="1" customWidth="1"/>
    <col min="13" max="13" width="21.7265625" bestFit="1" customWidth="1"/>
    <col min="14" max="14" width="27.7265625" bestFit="1" customWidth="1"/>
    <col min="15" max="15" width="45.7265625" bestFit="1" customWidth="1"/>
    <col min="16" max="16" width="35.453125" bestFit="1" customWidth="1"/>
    <col min="17" max="17" width="23.7265625" bestFit="1" customWidth="1"/>
    <col min="18" max="18" width="32.1796875" bestFit="1" customWidth="1"/>
  </cols>
  <sheetData>
    <row r="1" spans="1:20" s="9" customFormat="1" x14ac:dyDescent="0.35">
      <c r="A1" s="9" t="s">
        <v>54</v>
      </c>
      <c r="B1" s="10" t="s">
        <v>7</v>
      </c>
      <c r="C1" s="9" t="s">
        <v>8</v>
      </c>
      <c r="D1" s="9" t="s">
        <v>4</v>
      </c>
      <c r="E1" s="9" t="s">
        <v>5</v>
      </c>
      <c r="F1" s="9" t="s">
        <v>49</v>
      </c>
      <c r="G1" s="9" t="s">
        <v>55</v>
      </c>
      <c r="H1" s="10" t="s">
        <v>53</v>
      </c>
      <c r="I1" s="10" t="s">
        <v>87</v>
      </c>
      <c r="J1" s="10" t="s">
        <v>76</v>
      </c>
      <c r="K1" s="10" t="s">
        <v>77</v>
      </c>
      <c r="L1" s="10" t="s">
        <v>78</v>
      </c>
      <c r="M1" s="10" t="s">
        <v>79</v>
      </c>
      <c r="N1" s="10" t="s">
        <v>80</v>
      </c>
      <c r="O1" s="10" t="s">
        <v>81</v>
      </c>
      <c r="P1" s="10" t="s">
        <v>82</v>
      </c>
      <c r="Q1" s="10" t="s">
        <v>83</v>
      </c>
      <c r="R1" s="10" t="s">
        <v>84</v>
      </c>
      <c r="S1" s="9" t="s">
        <v>850</v>
      </c>
      <c r="T1" s="9" t="s">
        <v>848</v>
      </c>
    </row>
    <row r="2" spans="1:20" x14ac:dyDescent="0.35">
      <c r="A2">
        <f ca="1">OFFSET(Sheet2!B$2,(ROW(A3))*3,0)</f>
        <v>43876</v>
      </c>
      <c r="B2">
        <f ca="1">OFFSET(Sheet2!C$2,(ROW(B3))*3,0)</f>
        <v>1</v>
      </c>
      <c r="C2" t="str">
        <f ca="1">OFFSET(Sheet2!D$2,(ROW(C3))*3,0)</f>
        <v>North</v>
      </c>
      <c r="D2" t="str">
        <f ca="1">OFFSET(Sheet2!F$2,(ROW(D3))*3,0)</f>
        <v>Mwalye Eric Sam</v>
      </c>
      <c r="E2" t="str">
        <f ca="1">OFFSET(Sheet2!G$2,(ROW(E3))*3,0)</f>
        <v>H2Go</v>
      </c>
      <c r="F2">
        <f ca="1">OFFSET(Sheet2!H$2,(ROW(F3))*3,0)</f>
        <v>0</v>
      </c>
      <c r="G2" t="str">
        <f ca="1">OFFSET(Sheet2!I$2,(ROW(G3))*3,0)</f>
        <v>WEEKLY</v>
      </c>
      <c r="H2">
        <f ca="1">OFFSET(Sheet2!J$2,(ROW(H3))*3,0)</f>
        <v>294</v>
      </c>
      <c r="I2" t="str">
        <f ca="1">OFFSET(Sheet2!K$2,(ROW(I3))*3,0)</f>
        <v>Damage Observed</v>
      </c>
      <c r="J2" t="str">
        <f ca="1">OFFSET(Sheet2!L$2,(ROW(J3))*3,0)</f>
        <v>Dirty</v>
      </c>
      <c r="K2" t="str">
        <f ca="1">OFFSET(Sheet2!M$2,(ROW(K3))*3,0)</f>
        <v>Okay</v>
      </c>
      <c r="L2" t="str">
        <f ca="1">OFFSET(Sheet2!N$2,(ROW(L3))*3,0)</f>
        <v>Good</v>
      </c>
      <c r="M2" t="str">
        <f ca="1">OFFSET(Sheet2!O$2,(ROW(M3))*3,0)</f>
        <v>Okay</v>
      </c>
      <c r="N2" t="str">
        <f ca="1">OFFSET(Sheet2!P$2,(ROW(N3))*3,0)</f>
        <v>Good</v>
      </c>
      <c r="O2" t="str">
        <f ca="1">OFFSET(Sheet2!Q$2,(ROW(O3))*3,0)</f>
        <v>Nut and washer showing wear</v>
      </c>
      <c r="P2">
        <f ca="1">OFFSET(Sheet2!R$2,(ROW(P3))*3,0)</f>
        <v>0</v>
      </c>
      <c r="Q2">
        <f ca="1">OFFSET(Sheet2!S$2,(ROW(Q3))*3,0)</f>
        <v>0</v>
      </c>
      <c r="R2">
        <f ca="1">OFFSET(Sheet2!T$2,(ROW(R3))*3,0)</f>
        <v>0</v>
      </c>
      <c r="S2">
        <f ca="1">OFFSET(Sheet2!U$2,(ROW(S3))*3,0)</f>
        <v>0</v>
      </c>
      <c r="T2">
        <f ca="1">OFFSET(Sheet2!V$2,(ROW(T3))*3,0)</f>
        <v>0</v>
      </c>
    </row>
    <row r="3" spans="1:20" x14ac:dyDescent="0.35">
      <c r="A3">
        <f ca="1">OFFSET(Sheet2!B$3,(ROW(A4))*3,0)</f>
        <v>43886</v>
      </c>
      <c r="B3">
        <f ca="1">OFFSET(Sheet2!C$3,(ROW(B4))*3,0)</f>
        <v>1</v>
      </c>
      <c r="C3" t="str">
        <f ca="1">OFFSET(Sheet2!D$3,(ROW(C4))*3,0)</f>
        <v>North</v>
      </c>
      <c r="D3" t="str">
        <f ca="1">OFFSET(Sheet2!F$3,(ROW(D4))*3,0)</f>
        <v>Mwalye Eric Sam</v>
      </c>
      <c r="E3" t="str">
        <f ca="1">OFFSET(Sheet2!G$3,(ROW(E4))*3,0)</f>
        <v>H2Go</v>
      </c>
      <c r="F3">
        <f ca="1">OFFSET(Sheet2!H$3,(ROW(F4))*3,0)</f>
        <v>0</v>
      </c>
      <c r="G3" t="str">
        <f ca="1">OFFSET(Sheet2!I$3,(ROW(G4))*3,0)</f>
        <v>WEEKLY</v>
      </c>
      <c r="H3">
        <f ca="1">OFFSET(Sheet2!J$3,(ROW(H4))*3,0)</f>
        <v>243</v>
      </c>
      <c r="I3" t="str">
        <f ca="1">OFFSET(Sheet2!K$3,(ROW(I4))*3,0)</f>
        <v>Recommendation</v>
      </c>
      <c r="J3" t="str">
        <f ca="1">OFFSET(Sheet2!L$3,(ROW(J4))*3,0)</f>
        <v>Needs to be changed</v>
      </c>
      <c r="K3" t="str">
        <f ca="1">OFFSET(Sheet2!M$3,(ROW(K4))*3,0)</f>
        <v>Monitor, needs to be serviced soon</v>
      </c>
      <c r="L3" t="str">
        <f ca="1">OFFSET(Sheet2!N$3,(ROW(L4))*3,0)</f>
        <v>Needs adjustment</v>
      </c>
      <c r="M3" t="str">
        <f ca="1">OFFSET(Sheet2!O$3,(ROW(M4))*3,0)</f>
        <v>No service needed, looks good, maintain</v>
      </c>
      <c r="N3" t="str">
        <f ca="1">OFFSET(Sheet2!P$3,(ROW(N4))*3,0)</f>
        <v>Monitor closely, will need to be changed soon</v>
      </c>
      <c r="O3" t="str">
        <f ca="1">OFFSET(Sheet2!Q$3,(ROW(O4))*3,0)</f>
        <v>No service needed, looks good, maintain</v>
      </c>
      <c r="P3">
        <f ca="1">OFFSET(Sheet2!R$3,(ROW(P4))*3,0)</f>
        <v>0</v>
      </c>
      <c r="Q3">
        <f ca="1">OFFSET(Sheet2!S$3,(ROW(Q4))*3,0)</f>
        <v>0</v>
      </c>
      <c r="R3">
        <f ca="1">OFFSET(Sheet2!T$3,(ROW(R4))*3,0)</f>
        <v>0</v>
      </c>
      <c r="S3">
        <f ca="1">OFFSET(Sheet2!U$2,(ROW(S4))*3,0)</f>
        <v>0</v>
      </c>
      <c r="T3">
        <f ca="1">OFFSET(Sheet2!V$2,(ROW(T4))*3,0)</f>
        <v>0</v>
      </c>
    </row>
    <row r="4" spans="1:20" x14ac:dyDescent="0.35">
      <c r="A4">
        <f ca="1">OFFSET(Sheet2!B$3,(ROW(A5))*3,0)</f>
        <v>43892</v>
      </c>
      <c r="B4">
        <f ca="1">OFFSET(Sheet2!C$3,(ROW(B5))*3,0)</f>
        <v>1</v>
      </c>
      <c r="C4" t="str">
        <f ca="1">OFFSET(Sheet2!D$3,(ROW(C5))*3,0)</f>
        <v>North</v>
      </c>
      <c r="D4" t="str">
        <f ca="1">OFFSET(Sheet2!F$3,(ROW(D5))*3,0)</f>
        <v>Mwalye Eric Sam</v>
      </c>
      <c r="E4" t="str">
        <f ca="1">OFFSET(Sheet2!G$3,(ROW(E5))*3,0)</f>
        <v>H2Go</v>
      </c>
      <c r="F4">
        <f ca="1">OFFSET(Sheet2!H$3,(ROW(F5))*3,0)</f>
        <v>0</v>
      </c>
      <c r="G4" t="str">
        <f ca="1">OFFSET(Sheet2!I$3,(ROW(G5))*3,0)</f>
        <v>WEEKLY</v>
      </c>
      <c r="H4">
        <f ca="1">OFFSET(Sheet2!J$3,(ROW(H5))*3,0)</f>
        <v>257</v>
      </c>
      <c r="I4" t="str">
        <f ca="1">OFFSET(Sheet2!K$3,(ROW(I5))*3,0)</f>
        <v>Recommendation</v>
      </c>
      <c r="J4" t="str">
        <f ca="1">OFFSET(Sheet2!L$3,(ROW(J5))*3,0)</f>
        <v>Needs to be changed</v>
      </c>
      <c r="K4" t="str">
        <f ca="1">OFFSET(Sheet2!M$3,(ROW(K5))*3,0)</f>
        <v>Needs to be cleaned</v>
      </c>
      <c r="L4" t="str">
        <f ca="1">OFFSET(Sheet2!N$3,(ROW(L5))*3,0)</f>
        <v>No adjustment needed, looks good, maintain</v>
      </c>
      <c r="M4" t="str">
        <f ca="1">OFFSET(Sheet2!O$3,(ROW(M5))*3,0)</f>
        <v>Needs to be cleaned</v>
      </c>
      <c r="N4" t="str">
        <f ca="1">OFFSET(Sheet2!P$3,(ROW(N5))*3,0)</f>
        <v>No service needed, looks good, maintain</v>
      </c>
      <c r="O4" t="str">
        <f ca="1">OFFSET(Sheet2!Q$3,(ROW(O5))*3,0)</f>
        <v>No service needed, looks good, maintain</v>
      </c>
      <c r="P4">
        <f ca="1">OFFSET(Sheet2!R$3,(ROW(P5))*3,0)</f>
        <v>0</v>
      </c>
      <c r="Q4">
        <f ca="1">OFFSET(Sheet2!S$3,(ROW(Q5))*3,0)</f>
        <v>0</v>
      </c>
      <c r="R4">
        <f ca="1">OFFSET(Sheet2!T$3,(ROW(R5))*3,0)</f>
        <v>0</v>
      </c>
      <c r="S4">
        <f ca="1">OFFSET(Sheet2!U$2,(ROW(S5))*3,0)</f>
        <v>0</v>
      </c>
      <c r="T4">
        <f ca="1">OFFSET(Sheet2!V$2,(ROW(T5))*3,0)</f>
        <v>0</v>
      </c>
    </row>
    <row r="5" spans="1:20" x14ac:dyDescent="0.35">
      <c r="A5">
        <f ca="1">OFFSET(Sheet2!B$3,(ROW(A6))*3,0)</f>
        <v>43900</v>
      </c>
      <c r="B5">
        <f ca="1">OFFSET(Sheet2!C$3,(ROW(B6))*3,0)</f>
        <v>1</v>
      </c>
      <c r="C5" t="str">
        <f ca="1">OFFSET(Sheet2!D$3,(ROW(C6))*3,0)</f>
        <v>North</v>
      </c>
      <c r="D5" t="str">
        <f ca="1">OFFSET(Sheet2!F$3,(ROW(D6))*3,0)</f>
        <v>Mwalye Eric Sam</v>
      </c>
      <c r="E5" t="str">
        <f ca="1">OFFSET(Sheet2!G$3,(ROW(E6))*3,0)</f>
        <v>H2Go</v>
      </c>
      <c r="F5">
        <f ca="1">OFFSET(Sheet2!H$3,(ROW(F6))*3,0)</f>
        <v>0</v>
      </c>
      <c r="G5" t="str">
        <f ca="1">OFFSET(Sheet2!I$3,(ROW(G6))*3,0)</f>
        <v>WEEKLY</v>
      </c>
      <c r="H5">
        <f ca="1">OFFSET(Sheet2!J$3,(ROW(H6))*3,0)</f>
        <v>207</v>
      </c>
      <c r="I5" t="str">
        <f ca="1">OFFSET(Sheet2!K$3,(ROW(I6))*3,0)</f>
        <v>Recommendation</v>
      </c>
      <c r="J5" t="str">
        <f ca="1">OFFSET(Sheet2!L$3,(ROW(J6))*3,0)</f>
        <v>Needs to be changed</v>
      </c>
      <c r="K5" t="str">
        <f ca="1">OFFSET(Sheet2!M$3,(ROW(K6))*3,0)</f>
        <v>Needs to be cleaned</v>
      </c>
      <c r="L5" t="str">
        <f ca="1">OFFSET(Sheet2!N$3,(ROW(L6))*3,0)</f>
        <v>No adjustment needed, looks good, maintain</v>
      </c>
      <c r="M5" t="str">
        <f ca="1">OFFSET(Sheet2!O$3,(ROW(M6))*3,0)</f>
        <v>Needs to be cleaned</v>
      </c>
      <c r="N5" t="str">
        <f ca="1">OFFSET(Sheet2!P$3,(ROW(N6))*3,0)</f>
        <v>Needs to be Changed</v>
      </c>
      <c r="O5" t="str">
        <f ca="1">OFFSET(Sheet2!Q$3,(ROW(O6))*3,0)</f>
        <v>No service needed, looks good, maintain</v>
      </c>
      <c r="P5">
        <f ca="1">OFFSET(Sheet2!R$3,(ROW(P6))*3,0)</f>
        <v>0</v>
      </c>
      <c r="Q5">
        <f ca="1">OFFSET(Sheet2!S$3,(ROW(Q6))*3,0)</f>
        <v>0</v>
      </c>
      <c r="R5">
        <f ca="1">OFFSET(Sheet2!T$3,(ROW(R6))*3,0)</f>
        <v>0</v>
      </c>
      <c r="S5">
        <f ca="1">OFFSET(Sheet2!U$2,(ROW(S6))*3,0)</f>
        <v>0</v>
      </c>
      <c r="T5">
        <f ca="1">OFFSET(Sheet2!V$2,(ROW(T6))*3,0)</f>
        <v>0</v>
      </c>
    </row>
    <row r="6" spans="1:20" x14ac:dyDescent="0.35">
      <c r="A6">
        <f ca="1">OFFSET(Sheet2!B$3,(ROW(A7))*3,0)</f>
        <v>43840</v>
      </c>
      <c r="B6">
        <f ca="1">OFFSET(Sheet2!C$3,(ROW(B7))*3,0)</f>
        <v>2</v>
      </c>
      <c r="C6" t="str">
        <f ca="1">OFFSET(Sheet2!D$3,(ROW(C7))*3,0)</f>
        <v>North</v>
      </c>
      <c r="D6" t="str">
        <f ca="1">OFFSET(Sheet2!F$3,(ROW(D7))*3,0)</f>
        <v>Masaba leonard</v>
      </c>
      <c r="E6" t="str">
        <f ca="1">OFFSET(Sheet2!G$3,(ROW(E7))*3,0)</f>
        <v>H2Go</v>
      </c>
      <c r="F6">
        <f ca="1">OFFSET(Sheet2!H$3,(ROW(F7))*3,0)</f>
        <v>0</v>
      </c>
      <c r="G6" t="str">
        <f ca="1">OFFSET(Sheet2!I$3,(ROW(G7))*3,0)</f>
        <v>Comprehensive</v>
      </c>
      <c r="H6">
        <f ca="1">OFFSET(Sheet2!J$3,(ROW(H7))*3,0)</f>
        <v>30</v>
      </c>
      <c r="I6" t="str">
        <f ca="1">OFFSET(Sheet2!K$3,(ROW(I7))*3,0)</f>
        <v>Recommendation</v>
      </c>
      <c r="J6" t="str">
        <f ca="1">OFFSET(Sheet2!L$3,(ROW(J7))*3,0)</f>
        <v>Should be changed</v>
      </c>
      <c r="K6" t="str">
        <f ca="1">OFFSET(Sheet2!M$3,(ROW(K7))*3,0)</f>
        <v>Has to be cleaned</v>
      </c>
      <c r="L6" t="str">
        <f ca="1">OFFSET(Sheet2!N$3,(ROW(L7))*3,0)</f>
        <v>Needs setting</v>
      </c>
      <c r="M6" t="str">
        <f ca="1">OFFSET(Sheet2!O$3,(ROW(M7))*3,0)</f>
        <v>Maintain the care</v>
      </c>
      <c r="N6" t="str">
        <f ca="1">OFFSET(Sheet2!P$3,(ROW(N7))*3,0)</f>
        <v>Plug needs to be changed and adjust all the oil rings</v>
      </c>
      <c r="O6" t="str">
        <f ca="1">OFFSET(Sheet2!Q$3,(ROW(O7))*3,0)</f>
        <v>Should maintain the care</v>
      </c>
      <c r="P6" t="str">
        <f ca="1">OFFSET(Sheet2!R$3,(ROW(P7))*3,0)</f>
        <v>Needs to be thoroughly changed</v>
      </c>
      <c r="Q6" t="str">
        <f ca="1">OFFSET(Sheet2!S$3,(ROW(Q7))*3,0)</f>
        <v>Keep on</v>
      </c>
      <c r="R6" t="str">
        <f ca="1">OFFSET(Sheet2!T$3,(ROW(R7))*3,0)</f>
        <v>Maintain</v>
      </c>
      <c r="S6">
        <f ca="1">OFFSET(Sheet2!U$2,(ROW(S7))*3,0)</f>
        <v>0</v>
      </c>
      <c r="T6">
        <f ca="1">OFFSET(Sheet2!V$2,(ROW(T7))*3,0)</f>
        <v>0</v>
      </c>
    </row>
    <row r="7" spans="1:20" x14ac:dyDescent="0.35">
      <c r="A7" t="str">
        <f ca="1">OFFSET(Sheet2!B$3,(ROW(A8))*3,0)</f>
        <v>18/1/2020</v>
      </c>
      <c r="B7">
        <f ca="1">OFFSET(Sheet2!C$3,(ROW(B8))*3,0)</f>
        <v>2</v>
      </c>
      <c r="C7" t="str">
        <f ca="1">OFFSET(Sheet2!D$3,(ROW(C8))*3,0)</f>
        <v>North</v>
      </c>
      <c r="D7" t="str">
        <f ca="1">OFFSET(Sheet2!F$3,(ROW(D8))*3,0)</f>
        <v>Masaba leonard</v>
      </c>
      <c r="E7" t="str">
        <f ca="1">OFFSET(Sheet2!G$3,(ROW(E8))*3,0)</f>
        <v>H2Go</v>
      </c>
      <c r="F7">
        <f ca="1">OFFSET(Sheet2!H$3,(ROW(F8))*3,0)</f>
        <v>0</v>
      </c>
      <c r="G7" t="str">
        <f ca="1">OFFSET(Sheet2!I$3,(ROW(G8))*3,0)</f>
        <v>weekly</v>
      </c>
      <c r="H7">
        <f ca="1">OFFSET(Sheet2!J$3,(ROW(H8))*3,0)</f>
        <v>49</v>
      </c>
      <c r="I7" t="str">
        <f ca="1">OFFSET(Sheet2!K$3,(ROW(I8))*3,0)</f>
        <v>Recommendation</v>
      </c>
      <c r="J7" t="str">
        <f ca="1">OFFSET(Sheet2!L$3,(ROW(J8))*3,0)</f>
        <v>Change oil and replace oil rigs</v>
      </c>
      <c r="K7" t="str">
        <f ca="1">OFFSET(Sheet2!M$3,(ROW(K8))*3,0)</f>
        <v>Check and clean atleast after aweelk</v>
      </c>
      <c r="L7" t="str">
        <f ca="1">OFFSET(Sheet2!N$3,(ROW(L8))*3,0)</f>
        <v>Needs setting in time</v>
      </c>
      <c r="M7" t="str">
        <f ca="1">OFFSET(Sheet2!O$3,(ROW(M8))*3,0)</f>
        <v>Clean weekly</v>
      </c>
      <c r="N7" t="str">
        <f ca="1">OFFSET(Sheet2!P$3,(ROW(N8))*3,0)</f>
        <v>Maintain the observation</v>
      </c>
      <c r="O7" t="str">
        <f ca="1">OFFSET(Sheet2!Q$3,(ROW(O8))*3,0)</f>
        <v>Take go0d care</v>
      </c>
      <c r="P7">
        <f ca="1">OFFSET(Sheet2!R$3,(ROW(P8))*3,0)</f>
        <v>0</v>
      </c>
      <c r="Q7">
        <f ca="1">OFFSET(Sheet2!S$3,(ROW(Q8))*3,0)</f>
        <v>0</v>
      </c>
      <c r="R7">
        <f ca="1">OFFSET(Sheet2!T$3,(ROW(R8))*3,0)</f>
        <v>0</v>
      </c>
      <c r="S7">
        <f ca="1">OFFSET(Sheet2!U$2,(ROW(S8))*3,0)</f>
        <v>0</v>
      </c>
      <c r="T7">
        <f ca="1">OFFSET(Sheet2!V$2,(ROW(T8))*3,0)</f>
        <v>0</v>
      </c>
    </row>
    <row r="8" spans="1:20" x14ac:dyDescent="0.35">
      <c r="A8" t="str">
        <f ca="1">OFFSET(Sheet2!B$3,(ROW(A9))*3,0)</f>
        <v>24/1/12020</v>
      </c>
      <c r="B8">
        <f ca="1">OFFSET(Sheet2!C$3,(ROW(B9))*3,0)</f>
        <v>2</v>
      </c>
      <c r="C8" t="str">
        <f ca="1">OFFSET(Sheet2!D$3,(ROW(C9))*3,0)</f>
        <v>North</v>
      </c>
      <c r="D8" t="str">
        <f ca="1">OFFSET(Sheet2!F$3,(ROW(D9))*3,0)</f>
        <v>Masaba leonard</v>
      </c>
      <c r="E8" t="str">
        <f ca="1">OFFSET(Sheet2!G$3,(ROW(E9))*3,0)</f>
        <v>H2Go</v>
      </c>
      <c r="F8">
        <f ca="1">OFFSET(Sheet2!H$3,(ROW(F9))*3,0)</f>
        <v>0</v>
      </c>
      <c r="G8" t="str">
        <f ca="1">OFFSET(Sheet2!I$3,(ROW(G9))*3,0)</f>
        <v>Weekly</v>
      </c>
      <c r="H8">
        <f ca="1">OFFSET(Sheet2!J$3,(ROW(H9))*3,0)</f>
        <v>44</v>
      </c>
      <c r="I8" t="str">
        <f ca="1">OFFSET(Sheet2!K$3,(ROW(I9))*3,0)</f>
        <v>Recommendation</v>
      </c>
      <c r="J8" t="str">
        <f ca="1">OFFSET(Sheet2!L$3,(ROW(J9))*3,0)</f>
        <v>Change weekly</v>
      </c>
      <c r="K8" t="str">
        <f ca="1">OFFSET(Sheet2!M$3,(ROW(K9))*3,0)</f>
        <v>Needs cleaning</v>
      </c>
      <c r="L8" t="str">
        <f ca="1">OFFSET(Sheet2!N$3,(ROW(L9))*3,0)</f>
        <v>Maintain the care</v>
      </c>
      <c r="M8" t="str">
        <f ca="1">OFFSET(Sheet2!O$3,(ROW(M9))*3,0)</f>
        <v>Clean at least weekly</v>
      </c>
      <c r="N8" t="str">
        <f ca="1">OFFSET(Sheet2!P$3,(ROW(N9))*3,0)</f>
        <v>keep monitoring</v>
      </c>
      <c r="O8" t="str">
        <f ca="1">OFFSET(Sheet2!Q$3,(ROW(O9))*3,0)</f>
        <v>Monitoring either before or after the service</v>
      </c>
      <c r="P8" t="str">
        <f ca="1">OFFSET(Sheet2!R$3,(ROW(P9))*3,0)</f>
        <v>Needs to be replaced</v>
      </c>
      <c r="Q8" t="str">
        <f ca="1">OFFSET(Sheet2!S$3,(ROW(Q9))*3,0)</f>
        <v>Maintain</v>
      </c>
      <c r="R8" t="str">
        <f ca="1">OFFSET(Sheet2!T$3,(ROW(R9))*3,0)</f>
        <v>Maintain</v>
      </c>
      <c r="S8">
        <f ca="1">OFFSET(Sheet2!U$2,(ROW(S9))*3,0)</f>
        <v>0</v>
      </c>
      <c r="T8">
        <f ca="1">OFFSET(Sheet2!V$2,(ROW(T9))*3,0)</f>
        <v>0</v>
      </c>
    </row>
    <row r="9" spans="1:20" x14ac:dyDescent="0.35">
      <c r="A9" t="str">
        <f ca="1">OFFSET(Sheet2!B$3,(ROW(A10))*3,0)</f>
        <v>31/1/2020</v>
      </c>
      <c r="B9">
        <f ca="1">OFFSET(Sheet2!C$3,(ROW(B10))*3,0)</f>
        <v>2</v>
      </c>
      <c r="C9" t="str">
        <f ca="1">OFFSET(Sheet2!D$3,(ROW(C10))*3,0)</f>
        <v>North</v>
      </c>
      <c r="D9" t="str">
        <f ca="1">OFFSET(Sheet2!F$3,(ROW(D10))*3,0)</f>
        <v>Masaba leonard</v>
      </c>
      <c r="E9" t="str">
        <f ca="1">OFFSET(Sheet2!G$3,(ROW(E10))*3,0)</f>
        <v>H2Go</v>
      </c>
      <c r="F9">
        <f ca="1">OFFSET(Sheet2!H$3,(ROW(F10))*3,0)</f>
        <v>0</v>
      </c>
      <c r="G9" t="str">
        <f ca="1">OFFSET(Sheet2!I$3,(ROW(G10))*3,0)</f>
        <v>weekly</v>
      </c>
      <c r="H9">
        <f ca="1">OFFSET(Sheet2!J$3,(ROW(H10))*3,0)</f>
        <v>267</v>
      </c>
      <c r="I9" t="str">
        <f ca="1">OFFSET(Sheet2!K$3,(ROW(I10))*3,0)</f>
        <v>Recommendation</v>
      </c>
      <c r="J9" t="str">
        <f ca="1">OFFSET(Sheet2!L$3,(ROW(J10))*3,0)</f>
        <v>Needs to be changed</v>
      </c>
      <c r="K9" t="str">
        <f ca="1">OFFSET(Sheet2!M$3,(ROW(K10))*3,0)</f>
        <v>Needs to be cleaned</v>
      </c>
      <c r="L9" t="str">
        <f ca="1">OFFSET(Sheet2!N$3,(ROW(L10))*3,0)</f>
        <v>Inspct closely</v>
      </c>
      <c r="M9" t="str">
        <f ca="1">OFFSET(Sheet2!O$3,(ROW(M10))*3,0)</f>
        <v>keep it up</v>
      </c>
      <c r="N9" t="str">
        <f ca="1">OFFSET(Sheet2!P$3,(ROW(N10))*3,0)</f>
        <v>Maintain</v>
      </c>
      <c r="O9" t="str">
        <f ca="1">OFFSET(Sheet2!Q$3,(ROW(O10))*3,0)</f>
        <v>Maintain</v>
      </c>
      <c r="P9" t="str">
        <f ca="1">OFFSET(Sheet2!R$3,(ROW(P10))*3,0)</f>
        <v>Need to e changed</v>
      </c>
      <c r="Q9" t="str">
        <f ca="1">OFFSET(Sheet2!S$3,(ROW(Q10))*3,0)</f>
        <v>Need to be changed</v>
      </c>
      <c r="R9" t="str">
        <f ca="1">OFFSET(Sheet2!T$3,(ROW(R10))*3,0)</f>
        <v xml:space="preserve"> Needs to be cleaned</v>
      </c>
      <c r="S9">
        <f ca="1">OFFSET(Sheet2!U$2,(ROW(S10))*3,0)</f>
        <v>0</v>
      </c>
      <c r="T9">
        <f ca="1">OFFSET(Sheet2!V$2,(ROW(T10))*3,0)</f>
        <v>0</v>
      </c>
    </row>
    <row r="10" spans="1:20" x14ac:dyDescent="0.35">
      <c r="A10">
        <f ca="1">OFFSET(Sheet2!B$3,(ROW(A11))*3,0)</f>
        <v>43868</v>
      </c>
      <c r="B10">
        <f ca="1">OFFSET(Sheet2!C$3,(ROW(B11))*3,0)</f>
        <v>2</v>
      </c>
      <c r="C10" t="str">
        <f ca="1">OFFSET(Sheet2!D$3,(ROW(C11))*3,0)</f>
        <v>North</v>
      </c>
      <c r="D10" t="str">
        <f ca="1">OFFSET(Sheet2!F$3,(ROW(D11))*3,0)</f>
        <v>MASABA LENARD</v>
      </c>
      <c r="E10" t="str">
        <f ca="1">OFFSET(Sheet2!G$3,(ROW(E11))*3,0)</f>
        <v>H2Go</v>
      </c>
      <c r="F10">
        <f ca="1">OFFSET(Sheet2!H$3,(ROW(F11))*3,0)</f>
        <v>0</v>
      </c>
      <c r="G10" t="str">
        <f ca="1">OFFSET(Sheet2!I$3,(ROW(G11))*3,0)</f>
        <v>weekly</v>
      </c>
      <c r="H10">
        <f ca="1">OFFSET(Sheet2!J$3,(ROW(H11))*3,0)</f>
        <v>290</v>
      </c>
      <c r="I10" t="str">
        <f ca="1">OFFSET(Sheet2!K$3,(ROW(I11))*3,0)</f>
        <v>Recommendation</v>
      </c>
      <c r="J10" t="str">
        <f ca="1">OFFSET(Sheet2!L$3,(ROW(J11))*3,0)</f>
        <v>Oil needs to be replaced,oil nut needs to be replaced</v>
      </c>
      <c r="K10" t="str">
        <f ca="1">OFFSET(Sheet2!M$3,(ROW(K11))*3,0)</f>
        <v>Take good care</v>
      </c>
      <c r="L10" t="str">
        <f ca="1">OFFSET(Sheet2!N$3,(ROW(L11))*3,0)</f>
        <v>Observe for any abnomality</v>
      </c>
      <c r="M10" t="str">
        <f ca="1">OFFSET(Sheet2!O$3,(ROW(M11))*3,0)</f>
        <v>Needs to be washed</v>
      </c>
      <c r="N10" t="str">
        <f ca="1">OFFSET(Sheet2!P$3,(ROW(N11))*3,0)</f>
        <v>Needs to be replaced</v>
      </c>
      <c r="O10" t="str">
        <f ca="1">OFFSET(Sheet2!Q$3,(ROW(O11))*3,0)</f>
        <v>Inspect after the service</v>
      </c>
      <c r="P10" t="str">
        <f ca="1">OFFSET(Sheet2!R$3,(ROW(P11))*3,0)</f>
        <v>Regular check up</v>
      </c>
      <c r="Q10" t="str">
        <f ca="1">OFFSET(Sheet2!S$3,(ROW(Q11))*3,0)</f>
        <v>Regular check up</v>
      </c>
      <c r="R10" t="str">
        <f ca="1">OFFSET(Sheet2!T$3,(ROW(R11))*3,0)</f>
        <v>Regular check up</v>
      </c>
      <c r="S10">
        <f ca="1">OFFSET(Sheet2!U$2,(ROW(S11))*3,0)</f>
        <v>0</v>
      </c>
      <c r="T10">
        <f ca="1">OFFSET(Sheet2!V$2,(ROW(T11))*3,0)</f>
        <v>0</v>
      </c>
    </row>
    <row r="11" spans="1:20" x14ac:dyDescent="0.35">
      <c r="A11">
        <f ca="1">OFFSET(Sheet2!B$3,(ROW(A12))*3,0)</f>
        <v>43875</v>
      </c>
      <c r="B11">
        <f ca="1">OFFSET(Sheet2!C$3,(ROW(B12))*3,0)</f>
        <v>2</v>
      </c>
      <c r="C11" t="str">
        <f ca="1">OFFSET(Sheet2!D$3,(ROW(C12))*3,0)</f>
        <v>North</v>
      </c>
      <c r="D11" t="str">
        <f ca="1">OFFSET(Sheet2!F$3,(ROW(D12))*3,0)</f>
        <v>Masaba leonard</v>
      </c>
      <c r="E11" t="str">
        <f ca="1">OFFSET(Sheet2!G$3,(ROW(E12))*3,0)</f>
        <v>H2Go</v>
      </c>
      <c r="F11">
        <f ca="1">OFFSET(Sheet2!H$3,(ROW(F12))*3,0)</f>
        <v>0</v>
      </c>
      <c r="G11" t="str">
        <f ca="1">OFFSET(Sheet2!I$3,(ROW(G12))*3,0)</f>
        <v>WEEKLY</v>
      </c>
      <c r="H11">
        <f ca="1">OFFSET(Sheet2!J$3,(ROW(H12))*3,0)</f>
        <v>297</v>
      </c>
      <c r="I11" t="str">
        <f ca="1">OFFSET(Sheet2!K$3,(ROW(I12))*3,0)</f>
        <v>Recommendation</v>
      </c>
      <c r="J11" t="str">
        <f ca="1">OFFSET(Sheet2!L$3,(ROW(J12))*3,0)</f>
        <v>Needs to be changed</v>
      </c>
      <c r="K11" t="str">
        <f ca="1">OFFSET(Sheet2!M$3,(ROW(K12))*3,0)</f>
        <v>Needs to be cleaned</v>
      </c>
      <c r="L11" t="str">
        <f ca="1">OFFSET(Sheet2!N$3,(ROW(L12))*3,0)</f>
        <v>No adjustment needed, looks good, maintain</v>
      </c>
      <c r="M11" t="str">
        <f ca="1">OFFSET(Sheet2!O$3,(ROW(M12))*3,0)</f>
        <v>No service needed, looks good, maintain</v>
      </c>
      <c r="N11" t="str">
        <f ca="1">OFFSET(Sheet2!P$3,(ROW(N12))*3,0)</f>
        <v>No service needed, looks good, maintain</v>
      </c>
      <c r="O11" t="str">
        <f ca="1">OFFSET(Sheet2!Q$3,(ROW(O12))*3,0)</f>
        <v>Nut showing wear, will need to replace soon</v>
      </c>
      <c r="P11">
        <f ca="1">OFFSET(Sheet2!R$3,(ROW(P12))*3,0)</f>
        <v>0</v>
      </c>
      <c r="Q11">
        <f ca="1">OFFSET(Sheet2!S$3,(ROW(Q12))*3,0)</f>
        <v>0</v>
      </c>
      <c r="R11">
        <f ca="1">OFFSET(Sheet2!T$3,(ROW(R12))*3,0)</f>
        <v>0</v>
      </c>
      <c r="S11">
        <f ca="1">OFFSET(Sheet2!U$2,(ROW(S12))*3,0)</f>
        <v>0</v>
      </c>
      <c r="T11">
        <f ca="1">OFFSET(Sheet2!V$2,(ROW(T12))*3,0)</f>
        <v>0</v>
      </c>
    </row>
    <row r="12" spans="1:20" x14ac:dyDescent="0.35">
      <c r="A12">
        <f ca="1">OFFSET(Sheet2!B$3,(ROW(A13))*3,0)</f>
        <v>43877</v>
      </c>
      <c r="B12">
        <f ca="1">OFFSET(Sheet2!C$3,(ROW(B13))*3,0)</f>
        <v>2</v>
      </c>
      <c r="C12" t="str">
        <f ca="1">OFFSET(Sheet2!D$3,(ROW(C13))*3,0)</f>
        <v>North</v>
      </c>
      <c r="D12" t="str">
        <f ca="1">OFFSET(Sheet2!F$3,(ROW(D13))*3,0)</f>
        <v>Masaba leonard</v>
      </c>
      <c r="E12" t="str">
        <f ca="1">OFFSET(Sheet2!G$3,(ROW(E13))*3,0)</f>
        <v>H2Go</v>
      </c>
      <c r="F12">
        <f ca="1">OFFSET(Sheet2!H$3,(ROW(F13))*3,0)</f>
        <v>0</v>
      </c>
      <c r="G12" t="str">
        <f ca="1">OFFSET(Sheet2!I$3,(ROW(G13))*3,0)</f>
        <v>WEEKLY</v>
      </c>
      <c r="H12">
        <f ca="1">OFFSET(Sheet2!J$3,(ROW(H13))*3,0)</f>
        <v>223</v>
      </c>
      <c r="I12" t="str">
        <f ca="1">OFFSET(Sheet2!K$3,(ROW(I13))*3,0)</f>
        <v>Recommendation</v>
      </c>
      <c r="J12" t="str">
        <f ca="1">OFFSET(Sheet2!L$3,(ROW(J13))*3,0)</f>
        <v>Needs to be changed</v>
      </c>
      <c r="K12" t="str">
        <f ca="1">OFFSET(Sheet2!M$3,(ROW(K13))*3,0)</f>
        <v>No service needed, looks good, maintain</v>
      </c>
      <c r="L12" t="str">
        <f ca="1">OFFSET(Sheet2!N$3,(ROW(L13))*3,0)</f>
        <v>No adjustment needed, looks good, maintain</v>
      </c>
      <c r="M12" t="str">
        <f ca="1">OFFSET(Sheet2!O$3,(ROW(M13))*3,0)</f>
        <v>No service needed, looks good, maintain</v>
      </c>
      <c r="N12" t="str">
        <f ca="1">OFFSET(Sheet2!P$3,(ROW(N13))*3,0)</f>
        <v>Monitor closely, will need to be changed soon</v>
      </c>
      <c r="O12" t="str">
        <f ca="1">OFFSET(Sheet2!Q$3,(ROW(O13))*3,0)</f>
        <v>No service needed, looks good, maintain</v>
      </c>
      <c r="P12">
        <f ca="1">OFFSET(Sheet2!R$3,(ROW(P13))*3,0)</f>
        <v>0</v>
      </c>
      <c r="Q12">
        <f ca="1">OFFSET(Sheet2!S$3,(ROW(Q13))*3,0)</f>
        <v>0</v>
      </c>
      <c r="R12">
        <f ca="1">OFFSET(Sheet2!T$3,(ROW(R13))*3,0)</f>
        <v>0</v>
      </c>
      <c r="S12">
        <f ca="1">OFFSET(Sheet2!U$2,(ROW(S13))*3,0)</f>
        <v>0</v>
      </c>
      <c r="T12">
        <f ca="1">OFFSET(Sheet2!V$2,(ROW(T13))*3,0)</f>
        <v>0</v>
      </c>
    </row>
    <row r="13" spans="1:20" x14ac:dyDescent="0.35">
      <c r="A13">
        <f ca="1">OFFSET(Sheet2!B$3,(ROW(A14))*3,0)</f>
        <v>43884</v>
      </c>
      <c r="B13">
        <f ca="1">OFFSET(Sheet2!C$3,(ROW(B14))*3,0)</f>
        <v>2</v>
      </c>
      <c r="C13" t="str">
        <f ca="1">OFFSET(Sheet2!D$3,(ROW(C14))*3,0)</f>
        <v>North</v>
      </c>
      <c r="D13" t="str">
        <f ca="1">OFFSET(Sheet2!F$3,(ROW(D14))*3,0)</f>
        <v>Masaba leonard</v>
      </c>
      <c r="E13" t="str">
        <f ca="1">OFFSET(Sheet2!G$3,(ROW(E14))*3,0)</f>
        <v>H2Go</v>
      </c>
      <c r="F13">
        <f ca="1">OFFSET(Sheet2!H$3,(ROW(F14))*3,0)</f>
        <v>0</v>
      </c>
      <c r="G13" t="str">
        <f ca="1">OFFSET(Sheet2!I$3,(ROW(G14))*3,0)</f>
        <v>WEEKLY</v>
      </c>
      <c r="H13">
        <f ca="1">OFFSET(Sheet2!J$3,(ROW(H14))*3,0)</f>
        <v>246</v>
      </c>
      <c r="I13" t="str">
        <f ca="1">OFFSET(Sheet2!K$3,(ROW(I14))*3,0)</f>
        <v>Recommendation</v>
      </c>
      <c r="J13" t="str">
        <f ca="1">OFFSET(Sheet2!L$3,(ROW(J14))*3,0)</f>
        <v>Needs to be changed</v>
      </c>
      <c r="K13" t="str">
        <f ca="1">OFFSET(Sheet2!M$3,(ROW(K14))*3,0)</f>
        <v>No service needed, looks good, maintain</v>
      </c>
      <c r="L13" t="str">
        <f ca="1">OFFSET(Sheet2!N$3,(ROW(L14))*3,0)</f>
        <v>No adjustment needed, looks good, maintain</v>
      </c>
      <c r="M13" t="str">
        <f ca="1">OFFSET(Sheet2!O$3,(ROW(M14))*3,0)</f>
        <v>No service needed, looks good, maintain</v>
      </c>
      <c r="N13" t="str">
        <f ca="1">OFFSET(Sheet2!P$3,(ROW(N14))*3,0)</f>
        <v>No service needed, looks good, maintain</v>
      </c>
      <c r="O13" t="str">
        <f ca="1">OFFSET(Sheet2!Q$3,(ROW(O14))*3,0)</f>
        <v>No service needed, looks good, maintain</v>
      </c>
      <c r="P13">
        <f ca="1">OFFSET(Sheet2!R$3,(ROW(P14))*3,0)</f>
        <v>0</v>
      </c>
      <c r="Q13">
        <f ca="1">OFFSET(Sheet2!S$3,(ROW(Q14))*3,0)</f>
        <v>0</v>
      </c>
      <c r="R13">
        <f ca="1">OFFSET(Sheet2!T$3,(ROW(R14))*3,0)</f>
        <v>0</v>
      </c>
      <c r="S13">
        <f ca="1">OFFSET(Sheet2!U$2,(ROW(S14))*3,0)</f>
        <v>0</v>
      </c>
      <c r="T13">
        <f ca="1">OFFSET(Sheet2!V$2,(ROW(T14))*3,0)</f>
        <v>0</v>
      </c>
    </row>
    <row r="14" spans="1:20" x14ac:dyDescent="0.35">
      <c r="A14">
        <f ca="1">OFFSET(Sheet2!B$3,(ROW(A15))*3,0)</f>
        <v>43894</v>
      </c>
      <c r="B14">
        <f ca="1">OFFSET(Sheet2!C$3,(ROW(B15))*3,0)</f>
        <v>2</v>
      </c>
      <c r="C14" t="str">
        <f ca="1">OFFSET(Sheet2!D$3,(ROW(C15))*3,0)</f>
        <v>North</v>
      </c>
      <c r="D14" t="str">
        <f ca="1">OFFSET(Sheet2!F$3,(ROW(D15))*3,0)</f>
        <v>Masaba leonard</v>
      </c>
      <c r="E14" t="str">
        <f ca="1">OFFSET(Sheet2!G$3,(ROW(E15))*3,0)</f>
        <v>H2GO</v>
      </c>
      <c r="F14">
        <f ca="1">OFFSET(Sheet2!H$3,(ROW(F15))*3,0)</f>
        <v>0</v>
      </c>
      <c r="G14" t="str">
        <f ca="1">OFFSET(Sheet2!I$3,(ROW(G15))*3,0)</f>
        <v>WEEKLY</v>
      </c>
      <c r="H14">
        <f ca="1">OFFSET(Sheet2!J$3,(ROW(H15))*3,0)</f>
        <v>228</v>
      </c>
      <c r="I14" t="str">
        <f ca="1">OFFSET(Sheet2!K$3,(ROW(I15))*3,0)</f>
        <v>Recommendation</v>
      </c>
      <c r="J14" t="str">
        <f ca="1">OFFSET(Sheet2!L$3,(ROW(J15))*3,0)</f>
        <v>Needs to be changed</v>
      </c>
      <c r="K14" t="str">
        <f ca="1">OFFSET(Sheet2!M$3,(ROW(K15))*3,0)</f>
        <v>Needs to be cleaned</v>
      </c>
      <c r="L14" t="str">
        <f ca="1">OFFSET(Sheet2!N$3,(ROW(L15))*3,0)</f>
        <v>Needs adjustment, tappets are tight</v>
      </c>
      <c r="M14" t="str">
        <f ca="1">OFFSET(Sheet2!O$3,(ROW(M15))*3,0)</f>
        <v>Will need to be cleaned next week</v>
      </c>
      <c r="N14" t="str">
        <f ca="1">OFFSET(Sheet2!P$3,(ROW(N15))*3,0)</f>
        <v>Monitor closely, will need to be changed soon</v>
      </c>
      <c r="O14" t="str">
        <f ca="1">OFFSET(Sheet2!Q$3,(ROW(O15))*3,0)</f>
        <v>Replace Magneto</v>
      </c>
      <c r="P14">
        <f ca="1">OFFSET(Sheet2!R$3,(ROW(P15))*3,0)</f>
        <v>0</v>
      </c>
      <c r="Q14">
        <f ca="1">OFFSET(Sheet2!S$3,(ROW(Q15))*3,0)</f>
        <v>0</v>
      </c>
      <c r="R14">
        <f ca="1">OFFSET(Sheet2!T$3,(ROW(R15))*3,0)</f>
        <v>0</v>
      </c>
      <c r="S14">
        <f ca="1">OFFSET(Sheet2!U$2,(ROW(S15))*3,0)</f>
        <v>0</v>
      </c>
      <c r="T14">
        <f ca="1">OFFSET(Sheet2!V$2,(ROW(T15))*3,0)</f>
        <v>0</v>
      </c>
    </row>
    <row r="15" spans="1:20" x14ac:dyDescent="0.35">
      <c r="A15">
        <f ca="1">OFFSET(Sheet2!B$3,(ROW(A16))*3,0)</f>
        <v>43842</v>
      </c>
      <c r="B15">
        <f ca="1">OFFSET(Sheet2!C$3,(ROW(B16))*3,0)</f>
        <v>3</v>
      </c>
      <c r="C15" t="str">
        <f ca="1">OFFSET(Sheet2!D$3,(ROW(C16))*3,0)</f>
        <v>North</v>
      </c>
      <c r="D15" t="str">
        <f ca="1">OFFSET(Sheet2!F$3,(ROW(D16))*3,0)</f>
        <v xml:space="preserve">Bwayo Rogers </v>
      </c>
      <c r="E15" t="str">
        <f ca="1">OFFSET(Sheet2!G$3,(ROW(E16))*3,0)</f>
        <v>H2Go</v>
      </c>
      <c r="F15">
        <f ca="1">OFFSET(Sheet2!H$3,(ROW(F16))*3,0)</f>
        <v>0</v>
      </c>
      <c r="G15" t="str">
        <f ca="1">OFFSET(Sheet2!I$3,(ROW(G16))*3,0)</f>
        <v>Comprehensive</v>
      </c>
      <c r="H15">
        <f ca="1">OFFSET(Sheet2!J$3,(ROW(H16))*3,0)</f>
        <v>28</v>
      </c>
      <c r="I15" t="str">
        <f ca="1">OFFSET(Sheet2!K$3,(ROW(I16))*3,0)</f>
        <v>Recommendation</v>
      </c>
      <c r="J15" t="str">
        <f ca="1">OFFSET(Sheet2!L$3,(ROW(J16))*3,0)</f>
        <v>Needs replacement on weekly basis</v>
      </c>
      <c r="K15" t="str">
        <f ca="1">OFFSET(Sheet2!M$3,(ROW(K16))*3,0)</f>
        <v>Has to be changed</v>
      </c>
      <c r="L15" t="str">
        <f ca="1">OFFSET(Sheet2!N$3,(ROW(L16))*3,0)</f>
        <v>Needs setting</v>
      </c>
      <c r="M15" t="str">
        <f ca="1">OFFSET(Sheet2!O$3,(ROW(M16))*3,0)</f>
        <v>Has to be Cleaned</v>
      </c>
      <c r="N15" t="str">
        <f ca="1">OFFSET(Sheet2!P$3,(ROW(N16))*3,0)</f>
        <v>Has to be changed</v>
      </c>
      <c r="O15" t="str">
        <f ca="1">OFFSET(Sheet2!Q$3,(ROW(O16))*3,0)</f>
        <v>Maintain</v>
      </c>
      <c r="P15" t="str">
        <f ca="1">OFFSET(Sheet2!R$3,(ROW(P16))*3,0)</f>
        <v>It needs to buy a new one</v>
      </c>
      <c r="Q15" t="str">
        <f ca="1">OFFSET(Sheet2!S$3,(ROW(Q16))*3,0)</f>
        <v>Maintain</v>
      </c>
      <c r="R15" t="str">
        <f ca="1">OFFSET(Sheet2!T$3,(ROW(R16))*3,0)</f>
        <v>Needs to be cleaned</v>
      </c>
      <c r="S15">
        <f ca="1">OFFSET(Sheet2!U$2,(ROW(S16))*3,0)</f>
        <v>0</v>
      </c>
      <c r="T15">
        <f ca="1">OFFSET(Sheet2!V$2,(ROW(T16))*3,0)</f>
        <v>0</v>
      </c>
    </row>
    <row r="16" spans="1:20" x14ac:dyDescent="0.35">
      <c r="A16" t="str">
        <f ca="1">OFFSET(Sheet2!B$3,(ROW(A17))*3,0)</f>
        <v>19/1/2020</v>
      </c>
      <c r="B16">
        <f ca="1">OFFSET(Sheet2!C$3,(ROW(B17))*3,0)</f>
        <v>3</v>
      </c>
      <c r="C16" t="str">
        <f ca="1">OFFSET(Sheet2!D$3,(ROW(C17))*3,0)</f>
        <v>North</v>
      </c>
      <c r="D16" t="str">
        <f ca="1">OFFSET(Sheet2!F$3,(ROW(D17))*3,0)</f>
        <v xml:space="preserve">Bwayo Rogers </v>
      </c>
      <c r="E16" t="str">
        <f ca="1">OFFSET(Sheet2!G$3,(ROW(E17))*3,0)</f>
        <v>H2Go</v>
      </c>
      <c r="F16">
        <f ca="1">OFFSET(Sheet2!H$3,(ROW(F17))*3,0)</f>
        <v>0</v>
      </c>
      <c r="G16" t="str">
        <f ca="1">OFFSET(Sheet2!I$3,(ROW(G17))*3,0)</f>
        <v>weekly</v>
      </c>
      <c r="H16">
        <f ca="1">OFFSET(Sheet2!J$3,(ROW(H17))*3,0)</f>
        <v>42</v>
      </c>
      <c r="I16" t="str">
        <f ca="1">OFFSET(Sheet2!K$3,(ROW(I17))*3,0)</f>
        <v>Recommendation</v>
      </c>
      <c r="J16" t="str">
        <f ca="1">OFFSET(Sheet2!L$3,(ROW(J17))*3,0)</f>
        <v>Has to be changed</v>
      </c>
      <c r="K16" t="str">
        <f ca="1">OFFSET(Sheet2!M$3,(ROW(K17))*3,0)</f>
        <v>Keep close monitoring</v>
      </c>
      <c r="L16" t="str">
        <f ca="1">OFFSET(Sheet2!N$3,(ROW(L17))*3,0)</f>
        <v>Keep monitoring for any looseness</v>
      </c>
      <c r="M16" t="str">
        <f ca="1">OFFSET(Sheet2!O$3,(ROW(M17))*3,0)</f>
        <v>Clean it weekly</v>
      </c>
      <c r="N16" t="str">
        <f ca="1">OFFSET(Sheet2!P$3,(ROW(N17))*3,0)</f>
        <v>Keep close inspection</v>
      </c>
      <c r="O16" t="str">
        <f ca="1">OFFSET(Sheet2!Q$3,(ROW(O17))*3,0)</f>
        <v>Maintain the care</v>
      </c>
      <c r="P16">
        <f ca="1">OFFSET(Sheet2!R$3,(ROW(P17))*3,0)</f>
        <v>0</v>
      </c>
      <c r="Q16">
        <f ca="1">OFFSET(Sheet2!S$3,(ROW(Q17))*3,0)</f>
        <v>0</v>
      </c>
      <c r="R16">
        <f ca="1">OFFSET(Sheet2!T$3,(ROW(R17))*3,0)</f>
        <v>0</v>
      </c>
      <c r="S16">
        <f ca="1">OFFSET(Sheet2!U$2,(ROW(S17))*3,0)</f>
        <v>0</v>
      </c>
      <c r="T16">
        <f ca="1">OFFSET(Sheet2!V$2,(ROW(T17))*3,0)</f>
        <v>0</v>
      </c>
    </row>
    <row r="17" spans="1:20" x14ac:dyDescent="0.35">
      <c r="A17" t="str">
        <f ca="1">OFFSET(Sheet2!B$3,(ROW(A18))*3,0)</f>
        <v>24/1/2020</v>
      </c>
      <c r="B17">
        <f ca="1">OFFSET(Sheet2!C$3,(ROW(B18))*3,0)</f>
        <v>3</v>
      </c>
      <c r="C17" t="str">
        <f ca="1">OFFSET(Sheet2!D$3,(ROW(C18))*3,0)</f>
        <v>North</v>
      </c>
      <c r="D17" t="str">
        <f ca="1">OFFSET(Sheet2!F$3,(ROW(D18))*3,0)</f>
        <v xml:space="preserve">Bwayo Rogers </v>
      </c>
      <c r="E17" t="str">
        <f ca="1">OFFSET(Sheet2!G$3,(ROW(E18))*3,0)</f>
        <v>H2Go</v>
      </c>
      <c r="F17">
        <f ca="1">OFFSET(Sheet2!H$3,(ROW(F18))*3,0)</f>
        <v>0</v>
      </c>
      <c r="G17" t="str">
        <f ca="1">OFFSET(Sheet2!I$3,(ROW(G18))*3,0)</f>
        <v>weekly</v>
      </c>
      <c r="H17">
        <f ca="1">OFFSET(Sheet2!J$3,(ROW(H18))*3,0)</f>
        <v>11</v>
      </c>
      <c r="I17" t="str">
        <f ca="1">OFFSET(Sheet2!K$3,(ROW(I18))*3,0)</f>
        <v>Recommendation</v>
      </c>
      <c r="J17" t="str">
        <f ca="1">OFFSET(Sheet2!L$3,(ROW(J18))*3,0)</f>
        <v>Has to be changed</v>
      </c>
      <c r="K17" t="str">
        <f ca="1">OFFSET(Sheet2!M$3,(ROW(K18))*3,0)</f>
        <v>Needs maintainance</v>
      </c>
      <c r="L17" t="str">
        <f ca="1">OFFSET(Sheet2!N$3,(ROW(L18))*3,0)</f>
        <v>Maintain the care</v>
      </c>
      <c r="M17" t="str">
        <f ca="1">OFFSET(Sheet2!O$3,(ROW(M18))*3,0)</f>
        <v>Maintain</v>
      </c>
      <c r="N17" t="str">
        <f ca="1">OFFSET(Sheet2!P$3,(ROW(N18))*3,0)</f>
        <v>keep it up</v>
      </c>
      <c r="O17" t="str">
        <f ca="1">OFFSET(Sheet2!Q$3,(ROW(O18))*3,0)</f>
        <v>Needs to be changed</v>
      </c>
      <c r="P17">
        <f ca="1">OFFSET(Sheet2!R$3,(ROW(P18))*3,0)</f>
        <v>0</v>
      </c>
      <c r="Q17">
        <f ca="1">OFFSET(Sheet2!S$3,(ROW(Q18))*3,0)</f>
        <v>0</v>
      </c>
      <c r="R17">
        <f ca="1">OFFSET(Sheet2!T$3,(ROW(R18))*3,0)</f>
        <v>0</v>
      </c>
      <c r="S17">
        <f ca="1">OFFSET(Sheet2!U$2,(ROW(S18))*3,0)</f>
        <v>0</v>
      </c>
      <c r="T17">
        <f ca="1">OFFSET(Sheet2!V$2,(ROW(T18))*3,0)</f>
        <v>0</v>
      </c>
    </row>
    <row r="18" spans="1:20" x14ac:dyDescent="0.35">
      <c r="A18" t="str">
        <f ca="1">OFFSET(Sheet2!B$3,(ROW(A19))*3,0)</f>
        <v>31/1/2020</v>
      </c>
      <c r="B18">
        <f ca="1">OFFSET(Sheet2!C$3,(ROW(B19))*3,0)</f>
        <v>3</v>
      </c>
      <c r="C18" t="str">
        <f ca="1">OFFSET(Sheet2!D$3,(ROW(C19))*3,0)</f>
        <v>North</v>
      </c>
      <c r="D18" t="str">
        <f ca="1">OFFSET(Sheet2!F$3,(ROW(D19))*3,0)</f>
        <v xml:space="preserve">Bwayo Rogers </v>
      </c>
      <c r="E18" t="str">
        <f ca="1">OFFSET(Sheet2!G$3,(ROW(E19))*3,0)</f>
        <v>H2Go</v>
      </c>
      <c r="F18">
        <f ca="1">OFFSET(Sheet2!H$3,(ROW(F19))*3,0)</f>
        <v>0</v>
      </c>
      <c r="G18" t="str">
        <f ca="1">OFFSET(Sheet2!I$3,(ROW(G19))*3,0)</f>
        <v>weekly</v>
      </c>
      <c r="H18">
        <f ca="1">OFFSET(Sheet2!J$3,(ROW(H19))*3,0)</f>
        <v>54</v>
      </c>
      <c r="I18" t="str">
        <f ca="1">OFFSET(Sheet2!K$3,(ROW(I19))*3,0)</f>
        <v>Recommendation</v>
      </c>
      <c r="J18" t="str">
        <f ca="1">OFFSET(Sheet2!L$3,(ROW(J19))*3,0)</f>
        <v>Requires changing</v>
      </c>
      <c r="K18" t="str">
        <f ca="1">OFFSET(Sheet2!M$3,(ROW(K19))*3,0)</f>
        <v>Needs maintainance</v>
      </c>
      <c r="L18" t="str">
        <f ca="1">OFFSET(Sheet2!N$3,(ROW(L19))*3,0)</f>
        <v>Has to be tighteuned</v>
      </c>
      <c r="M18" t="str">
        <f ca="1">OFFSET(Sheet2!O$3,(ROW(M19))*3,0)</f>
        <v>Needs to be cleaned</v>
      </c>
      <c r="N18" t="str">
        <f ca="1">OFFSET(Sheet2!P$3,(ROW(N19))*3,0)</f>
        <v>Maintain</v>
      </c>
      <c r="O18" t="str">
        <f ca="1">OFFSET(Sheet2!Q$3,(ROW(O19))*3,0)</f>
        <v>Needsto be changed</v>
      </c>
      <c r="P18" t="str">
        <f ca="1">OFFSET(Sheet2!R$3,(ROW(P19))*3,0)</f>
        <v>Maintain</v>
      </c>
      <c r="Q18" t="str">
        <f ca="1">OFFSET(Sheet2!S$3,(ROW(Q19))*3,0)</f>
        <v>monitor closely</v>
      </c>
      <c r="R18" t="str">
        <f ca="1">OFFSET(Sheet2!T$3,(ROW(R19))*3,0)</f>
        <v>watch it closely</v>
      </c>
      <c r="S18">
        <f ca="1">OFFSET(Sheet2!U$2,(ROW(S19))*3,0)</f>
        <v>0</v>
      </c>
      <c r="T18">
        <f ca="1">OFFSET(Sheet2!V$2,(ROW(T19))*3,0)</f>
        <v>0</v>
      </c>
    </row>
    <row r="19" spans="1:20" x14ac:dyDescent="0.35">
      <c r="A19">
        <f ca="1">OFFSET(Sheet2!B$3,(ROW(A20))*3,0)</f>
        <v>43868</v>
      </c>
      <c r="B19">
        <f ca="1">OFFSET(Sheet2!C$3,(ROW(B20))*3,0)</f>
        <v>3</v>
      </c>
      <c r="C19" t="str">
        <f ca="1">OFFSET(Sheet2!D$3,(ROW(C20))*3,0)</f>
        <v>North</v>
      </c>
      <c r="D19" t="str">
        <f ca="1">OFFSET(Sheet2!F$3,(ROW(D20))*3,0)</f>
        <v>Bwayo Rogers</v>
      </c>
      <c r="E19" t="str">
        <f ca="1">OFFSET(Sheet2!G$3,(ROW(E20))*3,0)</f>
        <v>H2Go</v>
      </c>
      <c r="F19">
        <f ca="1">OFFSET(Sheet2!H$3,(ROW(F20))*3,0)</f>
        <v>0</v>
      </c>
      <c r="G19" t="str">
        <f ca="1">OFFSET(Sheet2!I$3,(ROW(G20))*3,0)</f>
        <v>WEEKLY</v>
      </c>
      <c r="H19">
        <f ca="1">OFFSET(Sheet2!J$3,(ROW(H20))*3,0)</f>
        <v>261</v>
      </c>
      <c r="I19" t="str">
        <f ca="1">OFFSET(Sheet2!K$3,(ROW(I20))*3,0)</f>
        <v>Recommendation</v>
      </c>
      <c r="J19" t="str">
        <f ca="1">OFFSET(Sheet2!L$3,(ROW(J20))*3,0)</f>
        <v>Change engine oil</v>
      </c>
      <c r="K19" t="str">
        <f ca="1">OFFSET(Sheet2!M$3,(ROW(K20))*3,0)</f>
        <v>Nothing recommended</v>
      </c>
      <c r="L19" t="str">
        <f ca="1">OFFSET(Sheet2!N$3,(ROW(L20))*3,0)</f>
        <v>Nothing recommended</v>
      </c>
      <c r="M19" t="str">
        <f ca="1">OFFSET(Sheet2!O$3,(ROW(M20))*3,0)</f>
        <v>Requires cleaning</v>
      </c>
      <c r="N19" t="str">
        <f ca="1">OFFSET(Sheet2!P$3,(ROW(N20))*3,0)</f>
        <v>Nothing to be done</v>
      </c>
      <c r="O19" t="str">
        <f ca="1">OFFSET(Sheet2!Q$3,(ROW(O20))*3,0)</f>
        <v>Nothing recommended</v>
      </c>
      <c r="P19" t="str">
        <f ca="1">OFFSET(Sheet2!R$3,(ROW(P20))*3,0)</f>
        <v>Check up required</v>
      </c>
      <c r="Q19" t="str">
        <f ca="1">OFFSET(Sheet2!S$3,(ROW(Q20))*3,0)</f>
        <v>Regular check up</v>
      </c>
      <c r="R19" t="str">
        <f ca="1">OFFSET(Sheet2!T$3,(ROW(R20))*3,0)</f>
        <v>Reguar inspection required</v>
      </c>
      <c r="S19">
        <f ca="1">OFFSET(Sheet2!U$2,(ROW(S20))*3,0)</f>
        <v>0</v>
      </c>
      <c r="T19">
        <f ca="1">OFFSET(Sheet2!V$2,(ROW(T20))*3,0)</f>
        <v>0</v>
      </c>
    </row>
    <row r="20" spans="1:20" x14ac:dyDescent="0.35">
      <c r="A20">
        <f ca="1">OFFSET(Sheet2!B$3,(ROW(A21))*3,0)</f>
        <v>43880</v>
      </c>
      <c r="B20">
        <f ca="1">OFFSET(Sheet2!C$3,(ROW(B21))*3,0)</f>
        <v>3</v>
      </c>
      <c r="C20" t="str">
        <f ca="1">OFFSET(Sheet2!D$3,(ROW(C21))*3,0)</f>
        <v>North</v>
      </c>
      <c r="D20" t="str">
        <f ca="1">OFFSET(Sheet2!F$3,(ROW(D21))*3,0)</f>
        <v xml:space="preserve">Bwayo Rogers </v>
      </c>
      <c r="E20" t="str">
        <f ca="1">OFFSET(Sheet2!G$3,(ROW(E21))*3,0)</f>
        <v>H2Go</v>
      </c>
      <c r="F20">
        <f ca="1">OFFSET(Sheet2!H$3,(ROW(F21))*3,0)</f>
        <v>0</v>
      </c>
      <c r="G20" t="str">
        <f ca="1">OFFSET(Sheet2!I$3,(ROW(G21))*3,0)</f>
        <v>WEEKLY</v>
      </c>
      <c r="H20">
        <f ca="1">OFFSET(Sheet2!J$3,(ROW(H21))*3,0)</f>
        <v>255</v>
      </c>
      <c r="I20" t="str">
        <f ca="1">OFFSET(Sheet2!K$3,(ROW(I21))*3,0)</f>
        <v>Recommendation</v>
      </c>
      <c r="J20" t="str">
        <f ca="1">OFFSET(Sheet2!L$3,(ROW(J21))*3,0)</f>
        <v>Needs to be changed</v>
      </c>
      <c r="K20" t="str">
        <f ca="1">OFFSET(Sheet2!M$3,(ROW(K21))*3,0)</f>
        <v>Monitor, needs to be serviced soon</v>
      </c>
      <c r="L20" t="str">
        <f ca="1">OFFSET(Sheet2!N$3,(ROW(L21))*3,0)</f>
        <v>No adjustment needed, looks good, maintain</v>
      </c>
      <c r="M20" t="str">
        <f ca="1">OFFSET(Sheet2!O$3,(ROW(M21))*3,0)</f>
        <v>Needs to be cleaned</v>
      </c>
      <c r="N20" t="str">
        <f ca="1">OFFSET(Sheet2!P$3,(ROW(N21))*3,0)</f>
        <v>No service needed, looks good, maintain</v>
      </c>
      <c r="O20" t="str">
        <f ca="1">OFFSET(Sheet2!Q$3,(ROW(O21))*3,0)</f>
        <v>No service needed, looks good, maintain</v>
      </c>
      <c r="P20">
        <f ca="1">OFFSET(Sheet2!R$3,(ROW(P21))*3,0)</f>
        <v>0</v>
      </c>
      <c r="Q20">
        <f ca="1">OFFSET(Sheet2!S$3,(ROW(Q21))*3,0)</f>
        <v>0</v>
      </c>
      <c r="R20">
        <f ca="1">OFFSET(Sheet2!T$3,(ROW(R21))*3,0)</f>
        <v>0</v>
      </c>
      <c r="S20">
        <f ca="1">OFFSET(Sheet2!U$2,(ROW(S21))*3,0)</f>
        <v>0</v>
      </c>
      <c r="T20">
        <f ca="1">OFFSET(Sheet2!V$2,(ROW(T21))*3,0)</f>
        <v>0</v>
      </c>
    </row>
    <row r="21" spans="1:20" x14ac:dyDescent="0.35">
      <c r="A21">
        <f ca="1">OFFSET(Sheet2!B$3,(ROW(A22))*3,0)</f>
        <v>43900</v>
      </c>
      <c r="B21">
        <f ca="1">OFFSET(Sheet2!C$3,(ROW(B22))*3,0)</f>
        <v>3</v>
      </c>
      <c r="C21" t="str">
        <f ca="1">OFFSET(Sheet2!D$3,(ROW(C22))*3,0)</f>
        <v>North</v>
      </c>
      <c r="D21" t="str">
        <f ca="1">OFFSET(Sheet2!F$3,(ROW(D22))*3,0)</f>
        <v xml:space="preserve">Bwayo Rogers </v>
      </c>
      <c r="E21" t="str">
        <f ca="1">OFFSET(Sheet2!G$3,(ROW(E22))*3,0)</f>
        <v>H2Go</v>
      </c>
      <c r="F21">
        <f ca="1">OFFSET(Sheet2!H$3,(ROW(F22))*3,0)</f>
        <v>0</v>
      </c>
      <c r="G21" t="str">
        <f ca="1">OFFSET(Sheet2!I$3,(ROW(G22))*3,0)</f>
        <v>WEEKLY</v>
      </c>
      <c r="H21">
        <f ca="1">OFFSET(Sheet2!J$3,(ROW(H22))*3,0)</f>
        <v>201</v>
      </c>
      <c r="I21" t="str">
        <f ca="1">OFFSET(Sheet2!K$3,(ROW(I22))*3,0)</f>
        <v>Recommendation</v>
      </c>
      <c r="J21" t="str">
        <f ca="1">OFFSET(Sheet2!L$3,(ROW(J22))*3,0)</f>
        <v>Needs to be changed</v>
      </c>
      <c r="K21" t="str">
        <f ca="1">OFFSET(Sheet2!M$3,(ROW(K22))*3,0)</f>
        <v>No service needed, looks good, maintain</v>
      </c>
      <c r="L21" t="str">
        <f ca="1">OFFSET(Sheet2!N$3,(ROW(L22))*3,0)</f>
        <v>Needs adjustment, tappets are tight</v>
      </c>
      <c r="M21" t="str">
        <f ca="1">OFFSET(Sheet2!O$3,(ROW(M22))*3,0)</f>
        <v>No service needed, looks good, maintain</v>
      </c>
      <c r="N21" t="str">
        <f ca="1">OFFSET(Sheet2!P$3,(ROW(N22))*3,0)</f>
        <v>No service needed, looks good, maintain</v>
      </c>
      <c r="O21" t="str">
        <f ca="1">OFFSET(Sheet2!Q$3,(ROW(O22))*3,0)</f>
        <v>No service needed, looks good, maintain</v>
      </c>
      <c r="P21">
        <f ca="1">OFFSET(Sheet2!R$3,(ROW(P22))*3,0)</f>
        <v>0</v>
      </c>
      <c r="Q21">
        <f ca="1">OFFSET(Sheet2!S$3,(ROW(Q22))*3,0)</f>
        <v>0</v>
      </c>
      <c r="R21">
        <f ca="1">OFFSET(Sheet2!T$3,(ROW(R22))*3,0)</f>
        <v>0</v>
      </c>
      <c r="S21">
        <f ca="1">OFFSET(Sheet2!U$2,(ROW(S22))*3,0)</f>
        <v>0</v>
      </c>
      <c r="T21">
        <f ca="1">OFFSET(Sheet2!V$2,(ROW(T22))*3,0)</f>
        <v>0</v>
      </c>
    </row>
    <row r="22" spans="1:20" x14ac:dyDescent="0.35">
      <c r="A22">
        <f ca="1">OFFSET(Sheet2!B$3,(ROW(A23))*3,0)</f>
        <v>43840</v>
      </c>
      <c r="B22">
        <f ca="1">OFFSET(Sheet2!C$3,(ROW(B23))*3,0)</f>
        <v>4</v>
      </c>
      <c r="C22" t="str">
        <f ca="1">OFFSET(Sheet2!D$3,(ROW(C23))*3,0)</f>
        <v>North</v>
      </c>
      <c r="D22" t="str">
        <f ca="1">OFFSET(Sheet2!F$3,(ROW(D23))*3,0)</f>
        <v>Kissa Brahim</v>
      </c>
      <c r="E22" t="str">
        <f ca="1">OFFSET(Sheet2!G$3,(ROW(E23))*3,0)</f>
        <v>H2Go</v>
      </c>
      <c r="F22">
        <f ca="1">OFFSET(Sheet2!H$3,(ROW(F23))*3,0)</f>
        <v>0</v>
      </c>
      <c r="G22" t="str">
        <f ca="1">OFFSET(Sheet2!I$3,(ROW(G23))*3,0)</f>
        <v>Comprehensive</v>
      </c>
      <c r="H22">
        <f ca="1">OFFSET(Sheet2!J$3,(ROW(H23))*3,0)</f>
        <v>29</v>
      </c>
      <c r="I22" t="str">
        <f ca="1">OFFSET(Sheet2!K$3,(ROW(I23))*3,0)</f>
        <v>Recommendation</v>
      </c>
      <c r="J22" t="str">
        <f ca="1">OFFSET(Sheet2!L$3,(ROW(J23))*3,0)</f>
        <v>Needs to changed</v>
      </c>
      <c r="K22" t="str">
        <f ca="1">OFFSET(Sheet2!M$3,(ROW(K23))*3,0)</f>
        <v>Needs to be cleaned</v>
      </c>
      <c r="L22" t="str">
        <f ca="1">OFFSET(Sheet2!N$3,(ROW(L23))*3,0)</f>
        <v>Keep monitoring for any looseness</v>
      </c>
      <c r="M22" t="str">
        <f ca="1">OFFSET(Sheet2!O$3,(ROW(M23))*3,0)</f>
        <v>Maintain weekly cleaning</v>
      </c>
      <c r="N22" t="str">
        <f ca="1">OFFSET(Sheet2!P$3,(ROW(N23))*3,0)</f>
        <v>Keep it on</v>
      </c>
      <c r="O22" t="str">
        <f ca="1">OFFSET(Sheet2!Q$3,(ROW(O23))*3,0)</f>
        <v>Keep monitoring</v>
      </c>
      <c r="P22" t="str">
        <f ca="1">OFFSET(Sheet2!R$3,(ROW(P23))*3,0)</f>
        <v>Keep inspecting</v>
      </c>
      <c r="Q22" t="str">
        <f ca="1">OFFSET(Sheet2!S$3,(ROW(Q23))*3,0)</f>
        <v>Nothing done</v>
      </c>
      <c r="R22" t="str">
        <f ca="1">OFFSET(Sheet2!T$3,(ROW(R23))*3,0)</f>
        <v>Change oil rings</v>
      </c>
      <c r="S22">
        <f ca="1">OFFSET(Sheet2!U$2,(ROW(S23))*3,0)</f>
        <v>0</v>
      </c>
      <c r="T22">
        <f ca="1">OFFSET(Sheet2!V$2,(ROW(T23))*3,0)</f>
        <v>0</v>
      </c>
    </row>
    <row r="23" spans="1:20" x14ac:dyDescent="0.35">
      <c r="A23" t="str">
        <f ca="1">OFFSET(Sheet2!B$3,(ROW(A24))*3,0)</f>
        <v>19/1/2020</v>
      </c>
      <c r="B23">
        <f ca="1">OFFSET(Sheet2!C$3,(ROW(B24))*3,0)</f>
        <v>4</v>
      </c>
      <c r="C23" t="str">
        <f ca="1">OFFSET(Sheet2!D$3,(ROW(C24))*3,0)</f>
        <v>North</v>
      </c>
      <c r="D23" t="str">
        <f ca="1">OFFSET(Sheet2!F$3,(ROW(D24))*3,0)</f>
        <v>Kissa Brahim</v>
      </c>
      <c r="E23" t="str">
        <f ca="1">OFFSET(Sheet2!G$3,(ROW(E24))*3,0)</f>
        <v>H2Go</v>
      </c>
      <c r="F23">
        <f ca="1">OFFSET(Sheet2!H$3,(ROW(F24))*3,0)</f>
        <v>0</v>
      </c>
      <c r="G23" t="str">
        <f ca="1">OFFSET(Sheet2!I$3,(ROW(G24))*3,0)</f>
        <v>weekly</v>
      </c>
      <c r="H23">
        <f ca="1">OFFSET(Sheet2!J$3,(ROW(H24))*3,0)</f>
        <v>12</v>
      </c>
      <c r="I23" t="str">
        <f ca="1">OFFSET(Sheet2!K$3,(ROW(I24))*3,0)</f>
        <v>Recommendation</v>
      </c>
      <c r="J23" t="str">
        <f ca="1">OFFSET(Sheet2!L$3,(ROW(J24))*3,0)</f>
        <v>Change weekly</v>
      </c>
      <c r="K23" t="str">
        <f ca="1">OFFSET(Sheet2!M$3,(ROW(K24))*3,0)</f>
        <v>Clean weekly</v>
      </c>
      <c r="L23" t="str">
        <f ca="1">OFFSET(Sheet2!N$3,(ROW(L24))*3,0)</f>
        <v>Keep monitoring for any looseness</v>
      </c>
      <c r="M23" t="str">
        <f ca="1">OFFSET(Sheet2!O$3,(ROW(M24))*3,0)</f>
        <v>Cleaning it once in the while</v>
      </c>
      <c r="N23" t="str">
        <f ca="1">OFFSET(Sheet2!P$3,(ROW(N24))*3,0)</f>
        <v>Observe closely</v>
      </c>
      <c r="O23" t="str">
        <f ca="1">OFFSET(Sheet2!Q$3,(ROW(O24))*3,0)</f>
        <v>Inspect closely</v>
      </c>
      <c r="P23">
        <f ca="1">OFFSET(Sheet2!R$3,(ROW(P24))*3,0)</f>
        <v>0</v>
      </c>
      <c r="Q23">
        <f ca="1">OFFSET(Sheet2!S$3,(ROW(Q24))*3,0)</f>
        <v>0</v>
      </c>
      <c r="R23">
        <f ca="1">OFFSET(Sheet2!T$3,(ROW(R24))*3,0)</f>
        <v>0</v>
      </c>
      <c r="S23">
        <f ca="1">OFFSET(Sheet2!U$2,(ROW(S24))*3,0)</f>
        <v>0</v>
      </c>
      <c r="T23">
        <f ca="1">OFFSET(Sheet2!V$2,(ROW(T24))*3,0)</f>
        <v>0</v>
      </c>
    </row>
    <row r="24" spans="1:20" x14ac:dyDescent="0.35">
      <c r="A24" t="str">
        <f ca="1">OFFSET(Sheet2!B$3,(ROW(A25))*3,0)</f>
        <v>24/1/2020</v>
      </c>
      <c r="B24">
        <f ca="1">OFFSET(Sheet2!C$3,(ROW(B25))*3,0)</f>
        <v>4</v>
      </c>
      <c r="C24" t="str">
        <f ca="1">OFFSET(Sheet2!D$3,(ROW(C25))*3,0)</f>
        <v>North</v>
      </c>
      <c r="D24" t="str">
        <f ca="1">OFFSET(Sheet2!F$3,(ROW(D25))*3,0)</f>
        <v>Kissa Brahim</v>
      </c>
      <c r="E24" t="str">
        <f ca="1">OFFSET(Sheet2!G$3,(ROW(E25))*3,0)</f>
        <v>H2Go</v>
      </c>
      <c r="F24">
        <f ca="1">OFFSET(Sheet2!H$3,(ROW(F25))*3,0)</f>
        <v>0</v>
      </c>
      <c r="G24" t="str">
        <f ca="1">OFFSET(Sheet2!I$3,(ROW(G25))*3,0)</f>
        <v>weekly</v>
      </c>
      <c r="H24">
        <f ca="1">OFFSET(Sheet2!J$3,(ROW(H25))*3,0)</f>
        <v>19</v>
      </c>
      <c r="I24" t="str">
        <f ca="1">OFFSET(Sheet2!K$3,(ROW(I25))*3,0)</f>
        <v>Recommendation</v>
      </c>
      <c r="J24" t="str">
        <f ca="1">OFFSET(Sheet2!L$3,(ROW(J25))*3,0)</f>
        <v>Change weekly</v>
      </c>
      <c r="K24" t="str">
        <f ca="1">OFFSET(Sheet2!M$3,(ROW(K25))*3,0)</f>
        <v>Maintain the care</v>
      </c>
      <c r="L24" t="str">
        <f ca="1">OFFSET(Sheet2!N$3,(ROW(L25))*3,0)</f>
        <v>Monitor for any looseness</v>
      </c>
      <c r="M24" t="str">
        <f ca="1">OFFSET(Sheet2!O$3,(ROW(M25))*3,0)</f>
        <v>Clean weekly</v>
      </c>
      <c r="N24" t="str">
        <f ca="1">OFFSET(Sheet2!P$3,(ROW(N25))*3,0)</f>
        <v>Maintain</v>
      </c>
      <c r="O24" t="str">
        <f ca="1">OFFSET(Sheet2!Q$3,(ROW(O25))*3,0)</f>
        <v>Needs replacement</v>
      </c>
      <c r="P24">
        <f ca="1">OFFSET(Sheet2!R$3,(ROW(P25))*3,0)</f>
        <v>0</v>
      </c>
      <c r="Q24">
        <f ca="1">OFFSET(Sheet2!S$3,(ROW(Q25))*3,0)</f>
        <v>0</v>
      </c>
      <c r="R24">
        <f ca="1">OFFSET(Sheet2!T$3,(ROW(R25))*3,0)</f>
        <v>0</v>
      </c>
      <c r="S24">
        <f ca="1">OFFSET(Sheet2!U$2,(ROW(S25))*3,0)</f>
        <v>0</v>
      </c>
      <c r="T24">
        <f ca="1">OFFSET(Sheet2!V$2,(ROW(T25))*3,0)</f>
        <v>0</v>
      </c>
    </row>
    <row r="25" spans="1:20" x14ac:dyDescent="0.35">
      <c r="A25" t="str">
        <f ca="1">OFFSET(Sheet2!B$3,(ROW(A26))*3,0)</f>
        <v>31/1/2020</v>
      </c>
      <c r="B25">
        <f ca="1">OFFSET(Sheet2!C$3,(ROW(B26))*3,0)</f>
        <v>4</v>
      </c>
      <c r="C25" t="str">
        <f ca="1">OFFSET(Sheet2!D$3,(ROW(C26))*3,0)</f>
        <v>North</v>
      </c>
      <c r="D25" t="str">
        <f ca="1">OFFSET(Sheet2!F$3,(ROW(D26))*3,0)</f>
        <v>Kissa Brahim</v>
      </c>
      <c r="E25" t="str">
        <f ca="1">OFFSET(Sheet2!G$3,(ROW(E26))*3,0)</f>
        <v>H2Go</v>
      </c>
      <c r="F25">
        <f ca="1">OFFSET(Sheet2!H$3,(ROW(F26))*3,0)</f>
        <v>0</v>
      </c>
      <c r="G25" t="str">
        <f ca="1">OFFSET(Sheet2!I$3,(ROW(G26))*3,0)</f>
        <v>weekly</v>
      </c>
      <c r="H25">
        <f ca="1">OFFSET(Sheet2!J$3,(ROW(H26))*3,0)</f>
        <v>262</v>
      </c>
      <c r="I25" t="str">
        <f ca="1">OFFSET(Sheet2!K$3,(ROW(I26))*3,0)</f>
        <v>Recommendation</v>
      </c>
      <c r="J25" t="str">
        <f ca="1">OFFSET(Sheet2!L$3,(ROW(J26))*3,0)</f>
        <v>Requires changing</v>
      </c>
      <c r="K25" t="str">
        <f ca="1">OFFSET(Sheet2!M$3,(ROW(K26))*3,0)</f>
        <v>Maintain</v>
      </c>
      <c r="L25" t="str">
        <f ca="1">OFFSET(Sheet2!N$3,(ROW(L26))*3,0)</f>
        <v>Inspect cloely for any abnormal functioning</v>
      </c>
      <c r="M25" t="str">
        <f ca="1">OFFSET(Sheet2!O$3,(ROW(M26))*3,0)</f>
        <v>Needs cleaning on time on daily basis</v>
      </c>
      <c r="N25" t="str">
        <f ca="1">OFFSET(Sheet2!P$3,(ROW(N26))*3,0)</f>
        <v>Maintain</v>
      </c>
      <c r="O25" t="str">
        <f ca="1">OFFSET(Sheet2!Q$3,(ROW(O26))*3,0)</f>
        <v>Inspect either after or before the service</v>
      </c>
      <c r="P25" t="str">
        <f ca="1">OFFSET(Sheet2!R$3,(ROW(P26))*3,0)</f>
        <v>Maintain</v>
      </c>
      <c r="Q25" t="str">
        <f ca="1">OFFSET(Sheet2!S$3,(ROW(Q26))*3,0)</f>
        <v>Maintain</v>
      </c>
      <c r="R25" t="str">
        <f ca="1">OFFSET(Sheet2!T$3,(ROW(R26))*3,0)</f>
        <v>Inpect once in the while</v>
      </c>
      <c r="S25">
        <f ca="1">OFFSET(Sheet2!U$2,(ROW(S26))*3,0)</f>
        <v>0</v>
      </c>
      <c r="T25">
        <f ca="1">OFFSET(Sheet2!V$2,(ROW(T26))*3,0)</f>
        <v>0</v>
      </c>
    </row>
    <row r="26" spans="1:20" x14ac:dyDescent="0.35">
      <c r="A26">
        <f ca="1">OFFSET(Sheet2!B$3,(ROW(A27))*3,0)</f>
        <v>43868</v>
      </c>
      <c r="B26">
        <f ca="1">OFFSET(Sheet2!C$3,(ROW(B27))*3,0)</f>
        <v>4</v>
      </c>
      <c r="C26" t="str">
        <f ca="1">OFFSET(Sheet2!D$3,(ROW(C27))*3,0)</f>
        <v>North</v>
      </c>
      <c r="D26" t="str">
        <f ca="1">OFFSET(Sheet2!F$3,(ROW(D27))*3,0)</f>
        <v>KISSA BRAHIM</v>
      </c>
      <c r="E26" t="str">
        <f ca="1">OFFSET(Sheet2!G$3,(ROW(E27))*3,0)</f>
        <v>H2Go</v>
      </c>
      <c r="F26">
        <f ca="1">OFFSET(Sheet2!H$3,(ROW(F27))*3,0)</f>
        <v>0</v>
      </c>
      <c r="G26" t="str">
        <f ca="1">OFFSET(Sheet2!I$3,(ROW(G27))*3,0)</f>
        <v>WEEKLY</v>
      </c>
      <c r="H26">
        <f ca="1">OFFSET(Sheet2!J$3,(ROW(H27))*3,0)</f>
        <v>281</v>
      </c>
      <c r="I26" t="str">
        <f ca="1">OFFSET(Sheet2!K$3,(ROW(I27))*3,0)</f>
        <v>Recommendation</v>
      </c>
      <c r="J26" t="str">
        <f ca="1">OFFSET(Sheet2!L$3,(ROW(J27))*3,0)</f>
        <v>Requires changing oil</v>
      </c>
      <c r="K26" t="str">
        <f ca="1">OFFSET(Sheet2!M$3,(ROW(K27))*3,0)</f>
        <v>Check regularly</v>
      </c>
      <c r="L26" t="str">
        <f ca="1">OFFSET(Sheet2!N$3,(ROW(L27))*3,0)</f>
        <v>Regular check up</v>
      </c>
      <c r="M26" t="str">
        <f ca="1">OFFSET(Sheet2!O$3,(ROW(M27))*3,0)</f>
        <v>Clean regulariy</v>
      </c>
      <c r="N26" t="str">
        <f ca="1">OFFSET(Sheet2!P$3,(ROW(N27))*3,0)</f>
        <v>Check up regularly</v>
      </c>
      <c r="O26" t="str">
        <f ca="1">OFFSET(Sheet2!Q$3,(ROW(O27))*3,0)</f>
        <v>Check periodically</v>
      </c>
      <c r="P26" t="str">
        <f ca="1">OFFSET(Sheet2!R$3,(ROW(P27))*3,0)</f>
        <v>Regular inspection</v>
      </c>
      <c r="Q26" t="str">
        <f ca="1">OFFSET(Sheet2!S$3,(ROW(Q27))*3,0)</f>
        <v>Regular inspection required</v>
      </c>
      <c r="R26" t="str">
        <f ca="1">OFFSET(Sheet2!T$3,(ROW(R27))*3,0)</f>
        <v>Regular check up</v>
      </c>
      <c r="S26">
        <f ca="1">OFFSET(Sheet2!U$2,(ROW(S27))*3,0)</f>
        <v>0</v>
      </c>
      <c r="T26">
        <f ca="1">OFFSET(Sheet2!V$2,(ROW(T27))*3,0)</f>
        <v>0</v>
      </c>
    </row>
    <row r="27" spans="1:20" x14ac:dyDescent="0.35">
      <c r="A27">
        <f ca="1">OFFSET(Sheet2!B$3,(ROW(A28))*3,0)</f>
        <v>43877</v>
      </c>
      <c r="B27">
        <f ca="1">OFFSET(Sheet2!C$3,(ROW(B28))*3,0)</f>
        <v>4</v>
      </c>
      <c r="C27" t="str">
        <f ca="1">OFFSET(Sheet2!D$3,(ROW(C28))*3,0)</f>
        <v>North</v>
      </c>
      <c r="D27" t="str">
        <f ca="1">OFFSET(Sheet2!F$3,(ROW(D28))*3,0)</f>
        <v>KISSA BRAHIM</v>
      </c>
      <c r="E27" t="str">
        <f ca="1">OFFSET(Sheet2!G$3,(ROW(E28))*3,0)</f>
        <v>H2Go</v>
      </c>
      <c r="F27">
        <f ca="1">OFFSET(Sheet2!H$3,(ROW(F28))*3,0)</f>
        <v>0</v>
      </c>
      <c r="G27" t="str">
        <f ca="1">OFFSET(Sheet2!I$3,(ROW(G28))*3,0)</f>
        <v>WEEKLY</v>
      </c>
      <c r="H27">
        <f ca="1">OFFSET(Sheet2!J$3,(ROW(H28))*3,0)</f>
        <v>222</v>
      </c>
      <c r="I27" t="str">
        <f ca="1">OFFSET(Sheet2!K$3,(ROW(I28))*3,0)</f>
        <v>Recommendation</v>
      </c>
      <c r="J27" t="str">
        <f ca="1">OFFSET(Sheet2!L$3,(ROW(J28))*3,0)</f>
        <v>Needs to be changed</v>
      </c>
      <c r="K27" t="str">
        <f ca="1">OFFSET(Sheet2!M$3,(ROW(K28))*3,0)</f>
        <v>Needs to be cleaned</v>
      </c>
      <c r="L27" t="str">
        <f ca="1">OFFSET(Sheet2!N$3,(ROW(L28))*3,0)</f>
        <v>No adjustment needed, looks good, maintain</v>
      </c>
      <c r="M27" t="str">
        <f ca="1">OFFSET(Sheet2!O$3,(ROW(M28))*3,0)</f>
        <v>No service needed, looks good, maintain</v>
      </c>
      <c r="N27" t="str">
        <f ca="1">OFFSET(Sheet2!P$3,(ROW(N28))*3,0)</f>
        <v>Needs to be Changed</v>
      </c>
      <c r="O27" t="str">
        <f ca="1">OFFSET(Sheet2!Q$3,(ROW(O28))*3,0)</f>
        <v>Nut showing wear, will need to replace soon</v>
      </c>
      <c r="P27">
        <f ca="1">OFFSET(Sheet2!R$3,(ROW(P28))*3,0)</f>
        <v>0</v>
      </c>
      <c r="Q27">
        <f ca="1">OFFSET(Sheet2!S$3,(ROW(Q28))*3,0)</f>
        <v>0</v>
      </c>
      <c r="R27">
        <f ca="1">OFFSET(Sheet2!T$3,(ROW(R28))*3,0)</f>
        <v>0</v>
      </c>
      <c r="S27">
        <f ca="1">OFFSET(Sheet2!U$2,(ROW(S28))*3,0)</f>
        <v>0</v>
      </c>
      <c r="T27">
        <f ca="1">OFFSET(Sheet2!V$2,(ROW(T28))*3,0)</f>
        <v>0</v>
      </c>
    </row>
    <row r="28" spans="1:20" x14ac:dyDescent="0.35">
      <c r="A28">
        <f ca="1">OFFSET(Sheet2!B$3,(ROW(A29))*3,0)</f>
        <v>43884</v>
      </c>
      <c r="B28">
        <f ca="1">OFFSET(Sheet2!C$3,(ROW(B29))*3,0)</f>
        <v>4</v>
      </c>
      <c r="C28" t="str">
        <f ca="1">OFFSET(Sheet2!D$3,(ROW(C29))*3,0)</f>
        <v>North</v>
      </c>
      <c r="D28" t="str">
        <f ca="1">OFFSET(Sheet2!F$3,(ROW(D29))*3,0)</f>
        <v>Kissa Brahim</v>
      </c>
      <c r="E28" t="str">
        <f ca="1">OFFSET(Sheet2!G$3,(ROW(E29))*3,0)</f>
        <v>H2Go</v>
      </c>
      <c r="F28">
        <f ca="1">OFFSET(Sheet2!H$3,(ROW(F29))*3,0)</f>
        <v>0</v>
      </c>
      <c r="G28" t="str">
        <f ca="1">OFFSET(Sheet2!I$3,(ROW(G29))*3,0)</f>
        <v>WEEKLY</v>
      </c>
      <c r="H28">
        <f ca="1">OFFSET(Sheet2!J$3,(ROW(H29))*3,0)</f>
        <v>244</v>
      </c>
      <c r="I28" t="str">
        <f ca="1">OFFSET(Sheet2!K$3,(ROW(I29))*3,0)</f>
        <v>Recommendation</v>
      </c>
      <c r="J28" t="str">
        <f ca="1">OFFSET(Sheet2!L$3,(ROW(J29))*3,0)</f>
        <v>Needs to be changed</v>
      </c>
      <c r="K28" t="str">
        <f ca="1">OFFSET(Sheet2!M$3,(ROW(K29))*3,0)</f>
        <v>No service needed, looks good, maintain</v>
      </c>
      <c r="L28" t="str">
        <f ca="1">OFFSET(Sheet2!N$3,(ROW(L29))*3,0)</f>
        <v>No adjustment needed, looks good, maintain</v>
      </c>
      <c r="M28" t="str">
        <f ca="1">OFFSET(Sheet2!O$3,(ROW(M29))*3,0)</f>
        <v>No service needed, looks good, maintain</v>
      </c>
      <c r="N28" t="str">
        <f ca="1">OFFSET(Sheet2!P$3,(ROW(N29))*3,0)</f>
        <v>No service needed, looks good, maintain</v>
      </c>
      <c r="O28" t="str">
        <f ca="1">OFFSET(Sheet2!Q$3,(ROW(O29))*3,0)</f>
        <v>No service needed, looks good, maintain</v>
      </c>
      <c r="P28">
        <f ca="1">OFFSET(Sheet2!R$3,(ROW(P29))*3,0)</f>
        <v>0</v>
      </c>
      <c r="Q28">
        <f ca="1">OFFSET(Sheet2!S$3,(ROW(Q29))*3,0)</f>
        <v>0</v>
      </c>
      <c r="R28">
        <f ca="1">OFFSET(Sheet2!T$3,(ROW(R29))*3,0)</f>
        <v>0</v>
      </c>
      <c r="S28">
        <f ca="1">OFFSET(Sheet2!U$2,(ROW(S29))*3,0)</f>
        <v>0</v>
      </c>
      <c r="T28">
        <f ca="1">OFFSET(Sheet2!V$2,(ROW(T29))*3,0)</f>
        <v>0</v>
      </c>
    </row>
    <row r="29" spans="1:20" x14ac:dyDescent="0.35">
      <c r="A29">
        <f ca="1">OFFSET(Sheet2!B$3,(ROW(A30))*3,0)</f>
        <v>43892</v>
      </c>
      <c r="B29">
        <f ca="1">OFFSET(Sheet2!C$3,(ROW(B30))*3,0)</f>
        <v>4</v>
      </c>
      <c r="C29" t="str">
        <f ca="1">OFFSET(Sheet2!D$3,(ROW(C30))*3,0)</f>
        <v>North</v>
      </c>
      <c r="D29" t="str">
        <f ca="1">OFFSET(Sheet2!F$3,(ROW(D30))*3,0)</f>
        <v>Kissa Brahim</v>
      </c>
      <c r="E29" t="str">
        <f ca="1">OFFSET(Sheet2!G$3,(ROW(E30))*3,0)</f>
        <v>H2GO</v>
      </c>
      <c r="F29">
        <f ca="1">OFFSET(Sheet2!H$3,(ROW(F30))*3,0)</f>
        <v>0</v>
      </c>
      <c r="G29" t="str">
        <f ca="1">OFFSET(Sheet2!I$3,(ROW(G30))*3,0)</f>
        <v>WEEKLY</v>
      </c>
      <c r="H29">
        <f ca="1">OFFSET(Sheet2!J$3,(ROW(H30))*3,0)</f>
        <v>254</v>
      </c>
      <c r="I29" t="str">
        <f ca="1">OFFSET(Sheet2!K$3,(ROW(I30))*3,0)</f>
        <v>Recommendation</v>
      </c>
      <c r="J29" t="str">
        <f ca="1">OFFSET(Sheet2!L$3,(ROW(J30))*3,0)</f>
        <v>Needs to be changed</v>
      </c>
      <c r="K29" t="str">
        <f ca="1">OFFSET(Sheet2!M$3,(ROW(K30))*3,0)</f>
        <v>Needs to be cleaned</v>
      </c>
      <c r="L29" t="str">
        <f ca="1">OFFSET(Sheet2!N$3,(ROW(L30))*3,0)</f>
        <v>No adjustment needed, looks good, maintain</v>
      </c>
      <c r="M29" t="str">
        <f ca="1">OFFSET(Sheet2!O$3,(ROW(M30))*3,0)</f>
        <v>No service needed, looks good, maintain</v>
      </c>
      <c r="N29" t="str">
        <f ca="1">OFFSET(Sheet2!P$3,(ROW(N30))*3,0)</f>
        <v>No service needed, looks good, maintain</v>
      </c>
      <c r="O29" t="str">
        <f ca="1">OFFSET(Sheet2!Q$3,(ROW(O30))*3,0)</f>
        <v>No service needed, looks good, maintain</v>
      </c>
      <c r="P29">
        <f ca="1">OFFSET(Sheet2!R$3,(ROW(P30))*3,0)</f>
        <v>0</v>
      </c>
      <c r="Q29">
        <f ca="1">OFFSET(Sheet2!S$3,(ROW(Q30))*3,0)</f>
        <v>0</v>
      </c>
      <c r="R29">
        <f ca="1">OFFSET(Sheet2!T$3,(ROW(R30))*3,0)</f>
        <v>0</v>
      </c>
      <c r="S29">
        <f ca="1">OFFSET(Sheet2!U$2,(ROW(S30))*3,0)</f>
        <v>0</v>
      </c>
      <c r="T29">
        <f ca="1">OFFSET(Sheet2!V$2,(ROW(T30))*3,0)</f>
        <v>0</v>
      </c>
    </row>
    <row r="30" spans="1:20" x14ac:dyDescent="0.35">
      <c r="A30">
        <f ca="1">OFFSET(Sheet2!B$3,(ROW(A31))*3,0)</f>
        <v>43900</v>
      </c>
      <c r="B30">
        <f ca="1">OFFSET(Sheet2!C$3,(ROW(B31))*3,0)</f>
        <v>4</v>
      </c>
      <c r="C30" t="str">
        <f ca="1">OFFSET(Sheet2!D$3,(ROW(C31))*3,0)</f>
        <v>North</v>
      </c>
      <c r="D30" t="str">
        <f ca="1">OFFSET(Sheet2!F$3,(ROW(D31))*3,0)</f>
        <v>Kissa Brahim</v>
      </c>
      <c r="E30" t="str">
        <f ca="1">OFFSET(Sheet2!G$3,(ROW(E31))*3,0)</f>
        <v>H2Go</v>
      </c>
      <c r="F30">
        <f ca="1">OFFSET(Sheet2!H$3,(ROW(F31))*3,0)</f>
        <v>0</v>
      </c>
      <c r="G30" t="str">
        <f ca="1">OFFSET(Sheet2!I$3,(ROW(G31))*3,0)</f>
        <v>WEEKLY</v>
      </c>
      <c r="H30">
        <f ca="1">OFFSET(Sheet2!J$3,(ROW(H31))*3,0)</f>
        <v>210</v>
      </c>
      <c r="I30" t="str">
        <f ca="1">OFFSET(Sheet2!K$3,(ROW(I31))*3,0)</f>
        <v>Recommendation</v>
      </c>
      <c r="J30" t="str">
        <f ca="1">OFFSET(Sheet2!L$3,(ROW(J31))*3,0)</f>
        <v>Needs to be changed</v>
      </c>
      <c r="K30" t="str">
        <f ca="1">OFFSET(Sheet2!M$3,(ROW(K31))*3,0)</f>
        <v>No service needed, looks good, maintain</v>
      </c>
      <c r="L30" t="str">
        <f ca="1">OFFSET(Sheet2!N$3,(ROW(L31))*3,0)</f>
        <v>No adjustment needed, looks good, maintain</v>
      </c>
      <c r="M30" t="str">
        <f ca="1">OFFSET(Sheet2!O$3,(ROW(M31))*3,0)</f>
        <v>Will need to be cleaned in a few days</v>
      </c>
      <c r="N30" t="str">
        <f ca="1">OFFSET(Sheet2!P$3,(ROW(N31))*3,0)</f>
        <v>No service needed, looks good, maintain</v>
      </c>
      <c r="O30" t="str">
        <f ca="1">OFFSET(Sheet2!Q$3,(ROW(O31))*3,0)</f>
        <v>No service needed, looks good, maintain</v>
      </c>
      <c r="P30">
        <f ca="1">OFFSET(Sheet2!R$3,(ROW(P31))*3,0)</f>
        <v>0</v>
      </c>
      <c r="Q30">
        <f ca="1">OFFSET(Sheet2!S$3,(ROW(Q31))*3,0)</f>
        <v>0</v>
      </c>
      <c r="R30">
        <f ca="1">OFFSET(Sheet2!T$3,(ROW(R31))*3,0)</f>
        <v>0</v>
      </c>
      <c r="S30">
        <f ca="1">OFFSET(Sheet2!U$2,(ROW(S31))*3,0)</f>
        <v>0</v>
      </c>
      <c r="T30">
        <f ca="1">OFFSET(Sheet2!V$2,(ROW(T31))*3,0)</f>
        <v>0</v>
      </c>
    </row>
    <row r="31" spans="1:20" x14ac:dyDescent="0.35">
      <c r="A31">
        <f ca="1">OFFSET(Sheet2!B$3,(ROW(A32))*3,0)</f>
        <v>43838</v>
      </c>
      <c r="B31">
        <f ca="1">OFFSET(Sheet2!C$3,(ROW(B32))*3,0)</f>
        <v>5</v>
      </c>
      <c r="C31" t="str">
        <f ca="1">OFFSET(Sheet2!D$3,(ROW(C32))*3,0)</f>
        <v>North</v>
      </c>
      <c r="D31" t="str">
        <f ca="1">OFFSET(Sheet2!F$3,(ROW(D32))*3,0)</f>
        <v>Gibisiwa Benson</v>
      </c>
      <c r="E31" t="str">
        <f ca="1">OFFSET(Sheet2!G$3,(ROW(E32))*3,0)</f>
        <v>H2Go</v>
      </c>
      <c r="F31">
        <f ca="1">OFFSET(Sheet2!H$3,(ROW(F32))*3,0)</f>
        <v>0</v>
      </c>
      <c r="G31" t="str">
        <f ca="1">OFFSET(Sheet2!I$3,(ROW(G32))*3,0)</f>
        <v>Comprehensive</v>
      </c>
      <c r="H31">
        <f ca="1">OFFSET(Sheet2!J$3,(ROW(H32))*3,0)</f>
        <v>6</v>
      </c>
      <c r="I31" t="str">
        <f ca="1">OFFSET(Sheet2!K$3,(ROW(I32))*3,0)</f>
        <v>Recommendation</v>
      </c>
      <c r="J31" t="str">
        <f ca="1">OFFSET(Sheet2!L$3,(ROW(J32))*3,0)</f>
        <v xml:space="preserve">Change at least weekly </v>
      </c>
      <c r="K31" t="str">
        <f ca="1">OFFSET(Sheet2!M$3,(ROW(K32))*3,0)</f>
        <v>Has to be cleaned once in the while</v>
      </c>
      <c r="L31" t="str">
        <f ca="1">OFFSET(Sheet2!N$3,(ROW(L32))*3,0)</f>
        <v>Needs setting</v>
      </c>
      <c r="M31" t="str">
        <f ca="1">OFFSET(Sheet2!O$3,(ROW(M32))*3,0)</f>
        <v>Maintain servicing</v>
      </c>
      <c r="N31" t="str">
        <f ca="1">OFFSET(Sheet2!P$3,(ROW(N32))*3,0)</f>
        <v>Carefully take note</v>
      </c>
      <c r="O31" t="str">
        <f ca="1">OFFSET(Sheet2!Q$3,(ROW(O32))*3,0)</f>
        <v>maintain</v>
      </c>
      <c r="P31" t="str">
        <f ca="1">OFFSET(Sheet2!R$3,(ROW(P32))*3,0)</f>
        <v>Keep close inspection</v>
      </c>
      <c r="Q31" t="str">
        <f ca="1">OFFSET(Sheet2!S$3,(ROW(Q32))*3,0)</f>
        <v>Maintain checking</v>
      </c>
      <c r="R31" t="str">
        <f ca="1">OFFSET(Sheet2!T$3,(ROW(R32))*3,0)</f>
        <v>Needs to be cleaned once in the while</v>
      </c>
      <c r="S31">
        <f ca="1">OFFSET(Sheet2!U$2,(ROW(S32))*3,0)</f>
        <v>0</v>
      </c>
      <c r="T31">
        <f ca="1">OFFSET(Sheet2!V$2,(ROW(T32))*3,0)</f>
        <v>0</v>
      </c>
    </row>
    <row r="32" spans="1:20" x14ac:dyDescent="0.35">
      <c r="A32">
        <f ca="1">OFFSET(Sheet2!B$3,(ROW(A33))*3,0)</f>
        <v>43869</v>
      </c>
      <c r="B32">
        <f ca="1">OFFSET(Sheet2!C$3,(ROW(B33))*3,0)</f>
        <v>5</v>
      </c>
      <c r="C32" t="str">
        <f ca="1">OFFSET(Sheet2!D$3,(ROW(C33))*3,0)</f>
        <v>North</v>
      </c>
      <c r="D32" t="str">
        <f ca="1">OFFSET(Sheet2!F$3,(ROW(D33))*3,0)</f>
        <v>Gibisiwa Benson</v>
      </c>
      <c r="E32" t="str">
        <f ca="1">OFFSET(Sheet2!G$3,(ROW(E33))*3,0)</f>
        <v>H2Go</v>
      </c>
      <c r="F32">
        <f ca="1">OFFSET(Sheet2!H$3,(ROW(F33))*3,0)</f>
        <v>0</v>
      </c>
      <c r="G32" t="str">
        <f ca="1">OFFSET(Sheet2!I$3,(ROW(G33))*3,0)</f>
        <v>WEEKLY</v>
      </c>
      <c r="H32">
        <f ca="1">OFFSET(Sheet2!J$3,(ROW(H33))*3,0)</f>
        <v>292</v>
      </c>
      <c r="I32" t="str">
        <f ca="1">OFFSET(Sheet2!K$3,(ROW(I33))*3,0)</f>
        <v>Recommendation</v>
      </c>
      <c r="J32" t="str">
        <f ca="1">OFFSET(Sheet2!L$3,(ROW(J33))*3,0)</f>
        <v>Needs to be changed</v>
      </c>
      <c r="K32" t="str">
        <f ca="1">OFFSET(Sheet2!M$3,(ROW(K33))*3,0)</f>
        <v>Needs to be cleaned</v>
      </c>
      <c r="L32" t="str">
        <f ca="1">OFFSET(Sheet2!N$3,(ROW(L33))*3,0)</f>
        <v>No adjustment needed, looks good, maintain</v>
      </c>
      <c r="M32" t="str">
        <f ca="1">OFFSET(Sheet2!O$3,(ROW(M33))*3,0)</f>
        <v>Needs to be cleaned</v>
      </c>
      <c r="N32" t="str">
        <f ca="1">OFFSET(Sheet2!P$3,(ROW(N33))*3,0)</f>
        <v>Needs to be Changed</v>
      </c>
      <c r="O32" t="str">
        <f ca="1">OFFSET(Sheet2!Q$3,(ROW(O33))*3,0)</f>
        <v>No service needed, looks good, maintain</v>
      </c>
      <c r="P32">
        <f ca="1">OFFSET(Sheet2!R$3,(ROW(P33))*3,0)</f>
        <v>0</v>
      </c>
      <c r="Q32">
        <f ca="1">OFFSET(Sheet2!S$3,(ROW(Q33))*3,0)</f>
        <v>0</v>
      </c>
      <c r="R32">
        <f ca="1">OFFSET(Sheet2!T$3,(ROW(R33))*3,0)</f>
        <v>0</v>
      </c>
      <c r="S32">
        <f ca="1">OFFSET(Sheet2!U$2,(ROW(S33))*3,0)</f>
        <v>0</v>
      </c>
      <c r="T32">
        <f ca="1">OFFSET(Sheet2!V$2,(ROW(T33))*3,0)</f>
        <v>0</v>
      </c>
    </row>
    <row r="33" spans="1:20" x14ac:dyDescent="0.35">
      <c r="A33">
        <f ca="1">OFFSET(Sheet2!B$3,(ROW(A34))*3,0)</f>
        <v>43877</v>
      </c>
      <c r="B33">
        <f ca="1">OFFSET(Sheet2!C$3,(ROW(B34))*3,0)</f>
        <v>5</v>
      </c>
      <c r="C33" t="str">
        <f ca="1">OFFSET(Sheet2!D$3,(ROW(C34))*3,0)</f>
        <v>North</v>
      </c>
      <c r="D33" t="str">
        <f ca="1">OFFSET(Sheet2!F$3,(ROW(D34))*3,0)</f>
        <v>Gibisiwa Benson</v>
      </c>
      <c r="E33" t="str">
        <f ca="1">OFFSET(Sheet2!G$3,(ROW(E34))*3,0)</f>
        <v>H2Go</v>
      </c>
      <c r="F33">
        <f ca="1">OFFSET(Sheet2!H$3,(ROW(F34))*3,0)</f>
        <v>0</v>
      </c>
      <c r="G33" t="str">
        <f ca="1">OFFSET(Sheet2!I$3,(ROW(G34))*3,0)</f>
        <v>WEEKLY</v>
      </c>
      <c r="H33">
        <f ca="1">OFFSET(Sheet2!J$3,(ROW(H34))*3,0)</f>
        <v>296</v>
      </c>
      <c r="I33" t="str">
        <f ca="1">OFFSET(Sheet2!K$3,(ROW(I34))*3,0)</f>
        <v>Recommendation</v>
      </c>
      <c r="J33" t="str">
        <f ca="1">OFFSET(Sheet2!L$3,(ROW(J34))*3,0)</f>
        <v>Needs to be changed</v>
      </c>
      <c r="K33" t="str">
        <f ca="1">OFFSET(Sheet2!M$3,(ROW(K34))*3,0)</f>
        <v>Needs to be cleaned</v>
      </c>
      <c r="L33" t="str">
        <f ca="1">OFFSET(Sheet2!N$3,(ROW(L34))*3,0)</f>
        <v>No adjustment needed, looks good, maintain</v>
      </c>
      <c r="M33" t="str">
        <f ca="1">OFFSET(Sheet2!O$3,(ROW(M34))*3,0)</f>
        <v>Needs to be cleaned</v>
      </c>
      <c r="N33" t="str">
        <f ca="1">OFFSET(Sheet2!P$3,(ROW(N34))*3,0)</f>
        <v>Monitor closely, will need to be changed soon</v>
      </c>
      <c r="O33" t="str">
        <f ca="1">OFFSET(Sheet2!Q$3,(ROW(O34))*3,0)</f>
        <v>No service needed, looks good, maintain</v>
      </c>
      <c r="P33">
        <f ca="1">OFFSET(Sheet2!R$3,(ROW(P34))*3,0)</f>
        <v>0</v>
      </c>
      <c r="Q33">
        <f ca="1">OFFSET(Sheet2!S$3,(ROW(Q34))*3,0)</f>
        <v>0</v>
      </c>
      <c r="R33">
        <f ca="1">OFFSET(Sheet2!T$3,(ROW(R34))*3,0)</f>
        <v>0</v>
      </c>
      <c r="S33">
        <f ca="1">OFFSET(Sheet2!U$2,(ROW(S34))*3,0)</f>
        <v>0</v>
      </c>
      <c r="T33">
        <f ca="1">OFFSET(Sheet2!V$2,(ROW(T34))*3,0)</f>
        <v>0</v>
      </c>
    </row>
    <row r="34" spans="1:20" x14ac:dyDescent="0.35">
      <c r="A34">
        <f ca="1">OFFSET(Sheet2!B$3,(ROW(A35))*3,0)</f>
        <v>43884</v>
      </c>
      <c r="B34">
        <f ca="1">OFFSET(Sheet2!C$3,(ROW(B35))*3,0)</f>
        <v>5</v>
      </c>
      <c r="C34" t="str">
        <f ca="1">OFFSET(Sheet2!D$3,(ROW(C35))*3,0)</f>
        <v>North</v>
      </c>
      <c r="D34" t="str">
        <f ca="1">OFFSET(Sheet2!F$3,(ROW(D35))*3,0)</f>
        <v>Gibisiwa Benson</v>
      </c>
      <c r="E34" t="str">
        <f ca="1">OFFSET(Sheet2!G$3,(ROW(E35))*3,0)</f>
        <v>H2Go</v>
      </c>
      <c r="F34">
        <f ca="1">OFFSET(Sheet2!H$3,(ROW(F35))*3,0)</f>
        <v>0</v>
      </c>
      <c r="G34" t="str">
        <f ca="1">OFFSET(Sheet2!I$3,(ROW(G35))*3,0)</f>
        <v>WEEKLY</v>
      </c>
      <c r="H34">
        <f ca="1">OFFSET(Sheet2!J$3,(ROW(H35))*3,0)</f>
        <v>230</v>
      </c>
      <c r="I34" t="str">
        <f ca="1">OFFSET(Sheet2!K$3,(ROW(I35))*3,0)</f>
        <v>Recommendation</v>
      </c>
      <c r="J34" t="str">
        <f ca="1">OFFSET(Sheet2!L$3,(ROW(J35))*3,0)</f>
        <v>Needs to be changed</v>
      </c>
      <c r="K34" t="str">
        <f ca="1">OFFSET(Sheet2!M$3,(ROW(K35))*3,0)</f>
        <v>Monitor, needs to be serviced soon</v>
      </c>
      <c r="L34" t="str">
        <f ca="1">OFFSET(Sheet2!N$3,(ROW(L35))*3,0)</f>
        <v>No adjustment needed, looks good, maintain</v>
      </c>
      <c r="M34" t="str">
        <f ca="1">OFFSET(Sheet2!O$3,(ROW(M35))*3,0)</f>
        <v>Needs to be cleaned</v>
      </c>
      <c r="N34" t="str">
        <f ca="1">OFFSET(Sheet2!P$3,(ROW(N35))*3,0)</f>
        <v>Monitor closely, will need to be changed soon</v>
      </c>
      <c r="O34" t="str">
        <f ca="1">OFFSET(Sheet2!Q$3,(ROW(O35))*3,0)</f>
        <v>No service needed, looks good, maintain</v>
      </c>
      <c r="P34">
        <f ca="1">OFFSET(Sheet2!R$3,(ROW(P35))*3,0)</f>
        <v>0</v>
      </c>
      <c r="Q34">
        <f ca="1">OFFSET(Sheet2!S$3,(ROW(Q35))*3,0)</f>
        <v>0</v>
      </c>
      <c r="R34">
        <f ca="1">OFFSET(Sheet2!T$3,(ROW(R35))*3,0)</f>
        <v>0</v>
      </c>
      <c r="S34">
        <f ca="1">OFFSET(Sheet2!U$2,(ROW(S35))*3,0)</f>
        <v>0</v>
      </c>
      <c r="T34">
        <f ca="1">OFFSET(Sheet2!V$2,(ROW(T35))*3,0)</f>
        <v>0</v>
      </c>
    </row>
    <row r="35" spans="1:20" x14ac:dyDescent="0.35">
      <c r="A35">
        <f ca="1">OFFSET(Sheet2!B$3,(ROW(A36))*3,0)</f>
        <v>43894</v>
      </c>
      <c r="B35">
        <f ca="1">OFFSET(Sheet2!C$3,(ROW(B36))*3,0)</f>
        <v>5</v>
      </c>
      <c r="C35" t="str">
        <f ca="1">OFFSET(Sheet2!D$3,(ROW(C36))*3,0)</f>
        <v>North</v>
      </c>
      <c r="D35" t="str">
        <f ca="1">OFFSET(Sheet2!F$3,(ROW(D36))*3,0)</f>
        <v>Gibisiwa Benson</v>
      </c>
      <c r="E35" t="str">
        <f ca="1">OFFSET(Sheet2!G$3,(ROW(E36))*3,0)</f>
        <v>H2GO</v>
      </c>
      <c r="F35">
        <f ca="1">OFFSET(Sheet2!H$3,(ROW(F36))*3,0)</f>
        <v>0</v>
      </c>
      <c r="G35" t="str">
        <f ca="1">OFFSET(Sheet2!I$3,(ROW(G36))*3,0)</f>
        <v>WEEKLY</v>
      </c>
      <c r="H35">
        <f ca="1">OFFSET(Sheet2!J$3,(ROW(H36))*3,0)</f>
        <v>250</v>
      </c>
      <c r="I35" t="str">
        <f ca="1">OFFSET(Sheet2!K$3,(ROW(I36))*3,0)</f>
        <v>Recommendation</v>
      </c>
      <c r="J35" t="str">
        <f ca="1">OFFSET(Sheet2!L$3,(ROW(J36))*3,0)</f>
        <v>Needs to be changed</v>
      </c>
      <c r="K35" t="str">
        <f ca="1">OFFSET(Sheet2!M$3,(ROW(K36))*3,0)</f>
        <v>Needs to be cleaned</v>
      </c>
      <c r="L35" t="str">
        <f ca="1">OFFSET(Sheet2!N$3,(ROW(L36))*3,0)</f>
        <v>No adjustment needed, looks good, maintain</v>
      </c>
      <c r="M35" t="str">
        <f ca="1">OFFSET(Sheet2!O$3,(ROW(M36))*3,0)</f>
        <v>Needs to be cleaned</v>
      </c>
      <c r="N35" t="str">
        <f ca="1">OFFSET(Sheet2!P$3,(ROW(N36))*3,0)</f>
        <v>No service needed, looks good, maintain</v>
      </c>
      <c r="O35" t="str">
        <f ca="1">OFFSET(Sheet2!Q$3,(ROW(O36))*3,0)</f>
        <v>No service needed, looks good, maintain</v>
      </c>
      <c r="P35">
        <f ca="1">OFFSET(Sheet2!R$3,(ROW(P36))*3,0)</f>
        <v>0</v>
      </c>
      <c r="Q35">
        <f ca="1">OFFSET(Sheet2!S$3,(ROW(Q36))*3,0)</f>
        <v>0</v>
      </c>
      <c r="R35">
        <f ca="1">OFFSET(Sheet2!T$3,(ROW(R36))*3,0)</f>
        <v>0</v>
      </c>
      <c r="S35">
        <f ca="1">OFFSET(Sheet2!U$2,(ROW(S36))*3,0)</f>
        <v>0</v>
      </c>
      <c r="T35">
        <f ca="1">OFFSET(Sheet2!V$2,(ROW(T36))*3,0)</f>
        <v>0</v>
      </c>
    </row>
    <row r="36" spans="1:20" x14ac:dyDescent="0.35">
      <c r="A36">
        <f ca="1">OFFSET(Sheet2!B$3,(ROW(A37))*3,0)</f>
        <v>43838</v>
      </c>
      <c r="B36">
        <f ca="1">OFFSET(Sheet2!C$3,(ROW(B37))*3,0)</f>
        <v>6</v>
      </c>
      <c r="C36" t="str">
        <f ca="1">OFFSET(Sheet2!D$3,(ROW(C37))*3,0)</f>
        <v>North</v>
      </c>
      <c r="D36" t="str">
        <f ca="1">OFFSET(Sheet2!F$3,(ROW(D37))*3,0)</f>
        <v>Namasoko Joel</v>
      </c>
      <c r="E36" t="str">
        <f ca="1">OFFSET(Sheet2!G$3,(ROW(E37))*3,0)</f>
        <v>H2Go</v>
      </c>
      <c r="F36">
        <f ca="1">OFFSET(Sheet2!H$3,(ROW(F37))*3,0)</f>
        <v>0</v>
      </c>
      <c r="G36" t="str">
        <f ca="1">OFFSET(Sheet2!I$3,(ROW(G37))*3,0)</f>
        <v>Comprehensive</v>
      </c>
      <c r="H36">
        <f ca="1">OFFSET(Sheet2!J$3,(ROW(H37))*3,0)</f>
        <v>8</v>
      </c>
      <c r="I36" t="str">
        <f ca="1">OFFSET(Sheet2!K$3,(ROW(I37))*3,0)</f>
        <v>Recommendation</v>
      </c>
      <c r="J36" t="str">
        <f ca="1">OFFSET(Sheet2!L$3,(ROW(J37))*3,0)</f>
        <v>Needs to be changed</v>
      </c>
      <c r="K36" t="str">
        <f ca="1">OFFSET(Sheet2!M$3,(ROW(K37))*3,0)</f>
        <v>Has to be changed once in the while</v>
      </c>
      <c r="L36" t="str">
        <f ca="1">OFFSET(Sheet2!N$3,(ROW(L37))*3,0)</f>
        <v>Nothing done</v>
      </c>
      <c r="M36" t="str">
        <f ca="1">OFFSET(Sheet2!O$3,(ROW(M37))*3,0)</f>
        <v>Nothing done</v>
      </c>
      <c r="N36" t="str">
        <f ca="1">OFFSET(Sheet2!P$3,(ROW(N37))*3,0)</f>
        <v>Needs to be changed</v>
      </c>
      <c r="O36" t="str">
        <f ca="1">OFFSET(Sheet2!Q$3,(ROW(O37))*3,0)</f>
        <v>Maintain</v>
      </c>
      <c r="P36" t="str">
        <f ca="1">OFFSET(Sheet2!R$3,(ROW(P37))*3,0)</f>
        <v>Inspect regularly</v>
      </c>
      <c r="Q36" t="str">
        <f ca="1">OFFSET(Sheet2!S$3,(ROW(Q37))*3,0)</f>
        <v>Maintain</v>
      </c>
      <c r="R36" t="str">
        <f ca="1">OFFSET(Sheet2!T$3,(ROW(R37))*3,0)</f>
        <v>Needs to be cleaned</v>
      </c>
      <c r="S36">
        <f ca="1">OFFSET(Sheet2!U$2,(ROW(S37))*3,0)</f>
        <v>0</v>
      </c>
      <c r="T36">
        <f ca="1">OFFSET(Sheet2!V$2,(ROW(T37))*3,0)</f>
        <v>0</v>
      </c>
    </row>
    <row r="37" spans="1:20" x14ac:dyDescent="0.35">
      <c r="A37" t="str">
        <f ca="1">OFFSET(Sheet2!B$3,(ROW(A38))*3,0)</f>
        <v>24/1/2020</v>
      </c>
      <c r="B37">
        <f ca="1">OFFSET(Sheet2!C$3,(ROW(B38))*3,0)</f>
        <v>6</v>
      </c>
      <c r="C37" t="str">
        <f ca="1">OFFSET(Sheet2!D$3,(ROW(C38))*3,0)</f>
        <v>North</v>
      </c>
      <c r="D37" t="str">
        <f ca="1">OFFSET(Sheet2!F$3,(ROW(D38))*3,0)</f>
        <v>Namasoko Joel</v>
      </c>
      <c r="E37" t="str">
        <f ca="1">OFFSET(Sheet2!G$3,(ROW(E38))*3,0)</f>
        <v>H2Go</v>
      </c>
      <c r="F37">
        <f ca="1">OFFSET(Sheet2!H$3,(ROW(F38))*3,0)</f>
        <v>0</v>
      </c>
      <c r="G37" t="str">
        <f ca="1">OFFSET(Sheet2!I$3,(ROW(G38))*3,0)</f>
        <v>weekly</v>
      </c>
      <c r="H37">
        <f ca="1">OFFSET(Sheet2!J$3,(ROW(H38))*3,0)</f>
        <v>53</v>
      </c>
      <c r="I37" t="str">
        <f ca="1">OFFSET(Sheet2!K$3,(ROW(I38))*3,0)</f>
        <v>Recommendation</v>
      </c>
      <c r="J37" t="str">
        <f ca="1">OFFSET(Sheet2!L$3,(ROW(J38))*3,0)</f>
        <v>Change weekly and on time</v>
      </c>
      <c r="K37" t="str">
        <f ca="1">OFFSET(Sheet2!M$3,(ROW(K38))*3,0)</f>
        <v>Maintain</v>
      </c>
      <c r="L37" t="str">
        <f ca="1">OFFSET(Sheet2!N$3,(ROW(L38))*3,0)</f>
        <v>Monitor closely for any unsual functioning</v>
      </c>
      <c r="M37" t="str">
        <f ca="1">OFFSET(Sheet2!O$3,(ROW(M38))*3,0)</f>
        <v>Clean after seeing any dirt</v>
      </c>
      <c r="N37" t="str">
        <f ca="1">OFFSET(Sheet2!P$3,(ROW(N38))*3,0)</f>
        <v>Needs replacement</v>
      </c>
      <c r="O37" t="str">
        <f ca="1">OFFSET(Sheet2!Q$3,(ROW(O38))*3,0)</f>
        <v>Always check after the service</v>
      </c>
      <c r="P37">
        <f ca="1">OFFSET(Sheet2!R$3,(ROW(P38))*3,0)</f>
        <v>0</v>
      </c>
      <c r="Q37">
        <f ca="1">OFFSET(Sheet2!S$3,(ROW(Q38))*3,0)</f>
        <v>0</v>
      </c>
      <c r="R37">
        <f ca="1">OFFSET(Sheet2!T$3,(ROW(R38))*3,0)</f>
        <v>0</v>
      </c>
      <c r="S37">
        <f ca="1">OFFSET(Sheet2!U$2,(ROW(S38))*3,0)</f>
        <v>0</v>
      </c>
      <c r="T37">
        <f ca="1">OFFSET(Sheet2!V$2,(ROW(T38))*3,0)</f>
        <v>0</v>
      </c>
    </row>
    <row r="38" spans="1:20" x14ac:dyDescent="0.35">
      <c r="A38">
        <f ca="1">OFFSET(Sheet2!B$3,(ROW(A39))*3,0)</f>
        <v>43868</v>
      </c>
      <c r="B38">
        <f ca="1">OFFSET(Sheet2!C$3,(ROW(B39))*3,0)</f>
        <v>6</v>
      </c>
      <c r="C38" t="str">
        <f ca="1">OFFSET(Sheet2!D$3,(ROW(C39))*3,0)</f>
        <v>North</v>
      </c>
      <c r="D38" t="str">
        <f ca="1">OFFSET(Sheet2!F$3,(ROW(D39))*3,0)</f>
        <v>NAMASOKO JOEL</v>
      </c>
      <c r="E38" t="str">
        <f ca="1">OFFSET(Sheet2!G$3,(ROW(E39))*3,0)</f>
        <v>H2Go</v>
      </c>
      <c r="F38">
        <f ca="1">OFFSET(Sheet2!H$3,(ROW(F39))*3,0)</f>
        <v>0</v>
      </c>
      <c r="G38" t="str">
        <f ca="1">OFFSET(Sheet2!I$3,(ROW(G39))*3,0)</f>
        <v>WEEKLY</v>
      </c>
      <c r="H38">
        <f ca="1">OFFSET(Sheet2!J$3,(ROW(H39))*3,0)</f>
        <v>264</v>
      </c>
      <c r="I38" t="str">
        <f ca="1">OFFSET(Sheet2!K$3,(ROW(I39))*3,0)</f>
        <v>Recommendation</v>
      </c>
      <c r="J38" t="str">
        <f ca="1">OFFSET(Sheet2!L$3,(ROW(J39))*3,0)</f>
        <v>Regular checking of engine oil</v>
      </c>
      <c r="K38" t="str">
        <f ca="1">OFFSET(Sheet2!M$3,(ROW(K39))*3,0)</f>
        <v>Regular checking required</v>
      </c>
      <c r="L38" t="str">
        <f ca="1">OFFSET(Sheet2!N$3,(ROW(L39))*3,0)</f>
        <v>Regular check up required</v>
      </c>
      <c r="M38" t="str">
        <f ca="1">OFFSET(Sheet2!O$3,(ROW(M39))*3,0)</f>
        <v>Requires checking and cleaning</v>
      </c>
      <c r="N38" t="str">
        <f ca="1">OFFSET(Sheet2!P$3,(ROW(N39))*3,0)</f>
        <v>Regular checking required</v>
      </c>
      <c r="O38" t="str">
        <f ca="1">OFFSET(Sheet2!Q$3,(ROW(O39))*3,0)</f>
        <v>Regular check up</v>
      </c>
      <c r="P38" t="str">
        <f ca="1">OFFSET(Sheet2!R$3,(ROW(P39))*3,0)</f>
        <v>Maintain</v>
      </c>
      <c r="Q38" t="str">
        <f ca="1">OFFSET(Sheet2!S$3,(ROW(Q39))*3,0)</f>
        <v>Maintain</v>
      </c>
      <c r="R38" t="str">
        <f ca="1">OFFSET(Sheet2!T$3,(ROW(R39))*3,0)</f>
        <v>Keep monitoring</v>
      </c>
      <c r="S38">
        <f ca="1">OFFSET(Sheet2!U$2,(ROW(S39))*3,0)</f>
        <v>0</v>
      </c>
      <c r="T38">
        <f ca="1">OFFSET(Sheet2!V$2,(ROW(T39))*3,0)</f>
        <v>0</v>
      </c>
    </row>
    <row r="39" spans="1:20" x14ac:dyDescent="0.35">
      <c r="A39">
        <f ca="1">OFFSET(Sheet2!B$3,(ROW(A40))*3,0)</f>
        <v>43877</v>
      </c>
      <c r="B39">
        <f ca="1">OFFSET(Sheet2!C$3,(ROW(B40))*3,0)</f>
        <v>6</v>
      </c>
      <c r="C39" t="str">
        <f ca="1">OFFSET(Sheet2!D$3,(ROW(C40))*3,0)</f>
        <v>North</v>
      </c>
      <c r="D39" t="str">
        <f ca="1">OFFSET(Sheet2!F$3,(ROW(D40))*3,0)</f>
        <v>NAMASOKO JOEL</v>
      </c>
      <c r="E39" t="str">
        <f ca="1">OFFSET(Sheet2!G$3,(ROW(E40))*3,0)</f>
        <v>H2Go</v>
      </c>
      <c r="F39">
        <f ca="1">OFFSET(Sheet2!H$3,(ROW(F40))*3,0)</f>
        <v>0</v>
      </c>
      <c r="G39" t="str">
        <f ca="1">OFFSET(Sheet2!I$3,(ROW(G40))*3,0)</f>
        <v>WEEKLY</v>
      </c>
      <c r="H39">
        <f ca="1">OFFSET(Sheet2!J$3,(ROW(H40))*3,0)</f>
        <v>300</v>
      </c>
      <c r="I39" t="str">
        <f ca="1">OFFSET(Sheet2!K$3,(ROW(I40))*3,0)</f>
        <v>Recommendation</v>
      </c>
      <c r="J39" t="str">
        <f ca="1">OFFSET(Sheet2!L$3,(ROW(J40))*3,0)</f>
        <v>Needs to be changed</v>
      </c>
      <c r="K39" t="str">
        <f ca="1">OFFSET(Sheet2!M$3,(ROW(K40))*3,0)</f>
        <v>Needs to be adjusted</v>
      </c>
      <c r="L39" t="str">
        <f ca="1">OFFSET(Sheet2!N$3,(ROW(L40))*3,0)</f>
        <v>No adjustment needed, looks good, maintain</v>
      </c>
      <c r="M39" t="str">
        <f ca="1">OFFSET(Sheet2!O$3,(ROW(M40))*3,0)</f>
        <v>Needs to be cleaned</v>
      </c>
      <c r="N39" t="str">
        <f ca="1">OFFSET(Sheet2!P$3,(ROW(N40))*3,0)</f>
        <v>No service needed, looks good, maintain</v>
      </c>
      <c r="O39" t="str">
        <f ca="1">OFFSET(Sheet2!Q$3,(ROW(O40))*3,0)</f>
        <v>Nut showing wear, will need to replace soon</v>
      </c>
      <c r="P39">
        <f ca="1">OFFSET(Sheet2!R$3,(ROW(P40))*3,0)</f>
        <v>0</v>
      </c>
      <c r="Q39">
        <f ca="1">OFFSET(Sheet2!S$3,(ROW(Q40))*3,0)</f>
        <v>0</v>
      </c>
      <c r="R39">
        <f ca="1">OFFSET(Sheet2!T$3,(ROW(R40))*3,0)</f>
        <v>0</v>
      </c>
      <c r="S39">
        <f ca="1">OFFSET(Sheet2!U$2,(ROW(S40))*3,0)</f>
        <v>0</v>
      </c>
      <c r="T39">
        <f ca="1">OFFSET(Sheet2!V$2,(ROW(T40))*3,0)</f>
        <v>0</v>
      </c>
    </row>
    <row r="40" spans="1:20" x14ac:dyDescent="0.35">
      <c r="A40">
        <f ca="1">OFFSET(Sheet2!B$3,(ROW(A41))*3,0)</f>
        <v>43884</v>
      </c>
      <c r="B40">
        <f ca="1">OFFSET(Sheet2!C$3,(ROW(B41))*3,0)</f>
        <v>6</v>
      </c>
      <c r="C40" t="str">
        <f ca="1">OFFSET(Sheet2!D$3,(ROW(C41))*3,0)</f>
        <v>North</v>
      </c>
      <c r="D40" t="str">
        <f ca="1">OFFSET(Sheet2!F$3,(ROW(D41))*3,0)</f>
        <v>Namasoko Joel</v>
      </c>
      <c r="E40" t="str">
        <f ca="1">OFFSET(Sheet2!G$3,(ROW(E41))*3,0)</f>
        <v>H2Go</v>
      </c>
      <c r="F40">
        <f ca="1">OFFSET(Sheet2!H$3,(ROW(F41))*3,0)</f>
        <v>0</v>
      </c>
      <c r="G40" t="str">
        <f ca="1">OFFSET(Sheet2!I$3,(ROW(G41))*3,0)</f>
        <v>WEEKLY</v>
      </c>
      <c r="H40">
        <f ca="1">OFFSET(Sheet2!J$3,(ROW(H41))*3,0)</f>
        <v>241</v>
      </c>
      <c r="I40" t="str">
        <f ca="1">OFFSET(Sheet2!K$3,(ROW(I41))*3,0)</f>
        <v>Recommendation</v>
      </c>
      <c r="J40" t="str">
        <f ca="1">OFFSET(Sheet2!L$3,(ROW(J41))*3,0)</f>
        <v>Needs to be changed</v>
      </c>
      <c r="K40" t="str">
        <f ca="1">OFFSET(Sheet2!M$3,(ROW(K41))*3,0)</f>
        <v>Needs to be cleaned</v>
      </c>
      <c r="L40" t="str">
        <f ca="1">OFFSET(Sheet2!N$3,(ROW(L41))*3,0)</f>
        <v>No adjustment needed, looks good, maintain</v>
      </c>
      <c r="M40" t="str">
        <f ca="1">OFFSET(Sheet2!O$3,(ROW(M41))*3,0)</f>
        <v>Needs to be cleaned</v>
      </c>
      <c r="N40" t="str">
        <f ca="1">OFFSET(Sheet2!P$3,(ROW(N41))*3,0)</f>
        <v>No service needed, looks good, maintain</v>
      </c>
      <c r="O40" t="str">
        <f ca="1">OFFSET(Sheet2!Q$3,(ROW(O41))*3,0)</f>
        <v>No service needed, looks good, maintain</v>
      </c>
      <c r="P40">
        <f ca="1">OFFSET(Sheet2!R$3,(ROW(P41))*3,0)</f>
        <v>0</v>
      </c>
      <c r="Q40">
        <f ca="1">OFFSET(Sheet2!S$3,(ROW(Q41))*3,0)</f>
        <v>0</v>
      </c>
      <c r="R40">
        <f ca="1">OFFSET(Sheet2!T$3,(ROW(R41))*3,0)</f>
        <v>0</v>
      </c>
      <c r="S40">
        <f ca="1">OFFSET(Sheet2!U$2,(ROW(S41))*3,0)</f>
        <v>0</v>
      </c>
      <c r="T40">
        <f ca="1">OFFSET(Sheet2!V$2,(ROW(T41))*3,0)</f>
        <v>0</v>
      </c>
    </row>
    <row r="41" spans="1:20" x14ac:dyDescent="0.35">
      <c r="A41">
        <f ca="1">OFFSET(Sheet2!B$3,(ROW(A42))*3,0)</f>
        <v>43894</v>
      </c>
      <c r="B41">
        <f ca="1">OFFSET(Sheet2!C$3,(ROW(B42))*3,0)</f>
        <v>6</v>
      </c>
      <c r="C41" t="str">
        <f ca="1">OFFSET(Sheet2!D$3,(ROW(C42))*3,0)</f>
        <v>North</v>
      </c>
      <c r="D41" t="str">
        <f ca="1">OFFSET(Sheet2!F$3,(ROW(D42))*3,0)</f>
        <v>Namasoko Joel</v>
      </c>
      <c r="E41" t="str">
        <f ca="1">OFFSET(Sheet2!G$3,(ROW(E42))*3,0)</f>
        <v>H2GO</v>
      </c>
      <c r="F41">
        <f ca="1">OFFSET(Sheet2!H$3,(ROW(F42))*3,0)</f>
        <v>0</v>
      </c>
      <c r="G41" t="str">
        <f ca="1">OFFSET(Sheet2!I$3,(ROW(G42))*3,0)</f>
        <v>WEEKLY</v>
      </c>
      <c r="H41">
        <f ca="1">OFFSET(Sheet2!J$3,(ROW(H42))*3,0)</f>
        <v>247</v>
      </c>
      <c r="I41" t="str">
        <f ca="1">OFFSET(Sheet2!K$3,(ROW(I42))*3,0)</f>
        <v>Recommendation</v>
      </c>
      <c r="J41" t="str">
        <f ca="1">OFFSET(Sheet2!L$3,(ROW(J42))*3,0)</f>
        <v>Needs to be changed</v>
      </c>
      <c r="K41" t="str">
        <f ca="1">OFFSET(Sheet2!M$3,(ROW(K42))*3,0)</f>
        <v>No service needed, looks good, maintain</v>
      </c>
      <c r="L41" t="str">
        <f ca="1">OFFSET(Sheet2!N$3,(ROW(L42))*3,0)</f>
        <v>No adjustment needed, looks good, maintain</v>
      </c>
      <c r="M41" t="str">
        <f ca="1">OFFSET(Sheet2!O$3,(ROW(M42))*3,0)</f>
        <v>Needs to be cleaned</v>
      </c>
      <c r="N41" t="str">
        <f ca="1">OFFSET(Sheet2!P$3,(ROW(N42))*3,0)</f>
        <v>No service needed, looks good, maintain</v>
      </c>
      <c r="O41" t="str">
        <f ca="1">OFFSET(Sheet2!Q$3,(ROW(O42))*3,0)</f>
        <v>No service needed, looks good, maintain</v>
      </c>
      <c r="P41">
        <f ca="1">OFFSET(Sheet2!R$3,(ROW(P42))*3,0)</f>
        <v>0</v>
      </c>
      <c r="Q41">
        <f ca="1">OFFSET(Sheet2!S$3,(ROW(Q42))*3,0)</f>
        <v>0</v>
      </c>
      <c r="R41">
        <f ca="1">OFFSET(Sheet2!T$3,(ROW(R42))*3,0)</f>
        <v>0</v>
      </c>
      <c r="S41">
        <f ca="1">OFFSET(Sheet2!U$2,(ROW(S42))*3,0)</f>
        <v>0</v>
      </c>
      <c r="T41">
        <f ca="1">OFFSET(Sheet2!V$2,(ROW(T42))*3,0)</f>
        <v>0</v>
      </c>
    </row>
    <row r="42" spans="1:20" x14ac:dyDescent="0.35">
      <c r="A42">
        <f ca="1">OFFSET(Sheet2!B$3,(ROW(A43))*3,0)</f>
        <v>43899</v>
      </c>
      <c r="B42">
        <f ca="1">OFFSET(Sheet2!C$3,(ROW(B43))*3,0)</f>
        <v>6</v>
      </c>
      <c r="C42" t="str">
        <f ca="1">OFFSET(Sheet2!D$3,(ROW(C43))*3,0)</f>
        <v>North</v>
      </c>
      <c r="D42" t="str">
        <f ca="1">OFFSET(Sheet2!F$3,(ROW(D43))*3,0)</f>
        <v>Namasoko Joel</v>
      </c>
      <c r="E42" t="str">
        <f ca="1">OFFSET(Sheet2!G$3,(ROW(E43))*3,0)</f>
        <v>H2Go</v>
      </c>
      <c r="F42">
        <f ca="1">OFFSET(Sheet2!H$3,(ROW(F43))*3,0)</f>
        <v>0</v>
      </c>
      <c r="G42" t="str">
        <f ca="1">OFFSET(Sheet2!I$3,(ROW(G43))*3,0)</f>
        <v>WEEKLY</v>
      </c>
      <c r="H42">
        <f ca="1">OFFSET(Sheet2!J$3,(ROW(H43))*3,0)</f>
        <v>206</v>
      </c>
      <c r="I42" t="str">
        <f ca="1">OFFSET(Sheet2!K$3,(ROW(I43))*3,0)</f>
        <v>Recommendation</v>
      </c>
      <c r="J42" t="str">
        <f ca="1">OFFSET(Sheet2!L$3,(ROW(J43))*3,0)</f>
        <v>Needs to be changed</v>
      </c>
      <c r="K42" t="str">
        <f ca="1">OFFSET(Sheet2!M$3,(ROW(K43))*3,0)</f>
        <v>No service needed, looks good, maintain</v>
      </c>
      <c r="L42" t="str">
        <f ca="1">OFFSET(Sheet2!N$3,(ROW(L43))*3,0)</f>
        <v>No adjustment needed, looks good, maintain</v>
      </c>
      <c r="M42" t="str">
        <f ca="1">OFFSET(Sheet2!O$3,(ROW(M43))*3,0)</f>
        <v>No service needed, looks good, maintain</v>
      </c>
      <c r="N42" t="str">
        <f ca="1">OFFSET(Sheet2!P$3,(ROW(N43))*3,0)</f>
        <v>No service needed, looks good, maintain</v>
      </c>
      <c r="O42" t="str">
        <f ca="1">OFFSET(Sheet2!Q$3,(ROW(O43))*3,0)</f>
        <v>No service needed, looks good, maintain</v>
      </c>
      <c r="P42">
        <f ca="1">OFFSET(Sheet2!R$3,(ROW(P43))*3,0)</f>
        <v>0</v>
      </c>
      <c r="Q42">
        <f ca="1">OFFSET(Sheet2!S$3,(ROW(Q43))*3,0)</f>
        <v>0</v>
      </c>
      <c r="R42">
        <f ca="1">OFFSET(Sheet2!T$3,(ROW(R43))*3,0)</f>
        <v>0</v>
      </c>
      <c r="S42">
        <f ca="1">OFFSET(Sheet2!U$2,(ROW(S43))*3,0)</f>
        <v>0</v>
      </c>
      <c r="T42">
        <f ca="1">OFFSET(Sheet2!V$2,(ROW(T43))*3,0)</f>
        <v>0</v>
      </c>
    </row>
    <row r="43" spans="1:20" x14ac:dyDescent="0.35">
      <c r="A43">
        <f ca="1">OFFSET(Sheet2!B$3,(ROW(A44))*3,0)</f>
        <v>43838</v>
      </c>
      <c r="B43">
        <f ca="1">OFFSET(Sheet2!C$3,(ROW(B44))*3,0)</f>
        <v>7</v>
      </c>
      <c r="C43" t="str">
        <f ca="1">OFFSET(Sheet2!D$3,(ROW(C44))*3,0)</f>
        <v>North</v>
      </c>
      <c r="D43" t="str">
        <f ca="1">OFFSET(Sheet2!F$3,(ROW(D44))*3,0)</f>
        <v>Semei Mark</v>
      </c>
      <c r="E43" t="str">
        <f ca="1">OFFSET(Sheet2!G$3,(ROW(E44))*3,0)</f>
        <v>H2Go</v>
      </c>
      <c r="F43">
        <f ca="1">OFFSET(Sheet2!H$3,(ROW(F44))*3,0)</f>
        <v>0</v>
      </c>
      <c r="G43" t="str">
        <f ca="1">OFFSET(Sheet2!I$3,(ROW(G44))*3,0)</f>
        <v>Comprehensive</v>
      </c>
      <c r="H43">
        <f ca="1">OFFSET(Sheet2!J$3,(ROW(H44))*3,0)</f>
        <v>3</v>
      </c>
      <c r="I43" t="str">
        <f ca="1">OFFSET(Sheet2!K$3,(ROW(I44))*3,0)</f>
        <v>Recommendation</v>
      </c>
      <c r="J43" t="str">
        <f ca="1">OFFSET(Sheet2!L$3,(ROW(J44))*3,0)</f>
        <v>Needs to be changed</v>
      </c>
      <c r="K43" t="str">
        <f ca="1">OFFSET(Sheet2!M$3,(ROW(K44))*3,0)</f>
        <v>Needs to be washed</v>
      </c>
      <c r="L43" t="str">
        <f ca="1">OFFSET(Sheet2!N$3,(ROW(L44))*3,0)</f>
        <v>Nothing done</v>
      </c>
      <c r="M43" t="str">
        <f ca="1">OFFSET(Sheet2!O$3,(ROW(M44))*3,0)</f>
        <v>Nothing done</v>
      </c>
      <c r="N43" t="str">
        <f ca="1">OFFSET(Sheet2!P$3,(ROW(N44))*3,0)</f>
        <v>Needs to be changed</v>
      </c>
      <c r="O43" t="str">
        <f ca="1">OFFSET(Sheet2!Q$3,(ROW(O44))*3,0)</f>
        <v>Needs to be replaced</v>
      </c>
      <c r="P43" t="str">
        <f ca="1">OFFSET(Sheet2!R$3,(ROW(P44))*3,0)</f>
        <v>Needs replacement</v>
      </c>
      <c r="Q43" t="str">
        <f ca="1">OFFSET(Sheet2!S$3,(ROW(Q44))*3,0)</f>
        <v>Needs to be washed</v>
      </c>
      <c r="R43" t="str">
        <f ca="1">OFFSET(Sheet2!T$3,(ROW(R44))*3,0)</f>
        <v>Needs to be replaced</v>
      </c>
      <c r="S43">
        <f ca="1">OFFSET(Sheet2!U$2,(ROW(S44))*3,0)</f>
        <v>0</v>
      </c>
      <c r="T43">
        <f ca="1">OFFSET(Sheet2!V$2,(ROW(T44))*3,0)</f>
        <v>0</v>
      </c>
    </row>
    <row r="44" spans="1:20" x14ac:dyDescent="0.35">
      <c r="A44">
        <f ca="1">OFFSET(Sheet2!B$3,(ROW(A45))*3,0)</f>
        <v>43840</v>
      </c>
      <c r="B44">
        <f ca="1">OFFSET(Sheet2!C$3,(ROW(B45))*3,0)</f>
        <v>8</v>
      </c>
      <c r="C44" t="str">
        <f ca="1">OFFSET(Sheet2!D$3,(ROW(C45))*3,0)</f>
        <v>North</v>
      </c>
      <c r="D44" t="str">
        <f ca="1">OFFSET(Sheet2!F$3,(ROW(D45))*3,0)</f>
        <v>Mugoya William</v>
      </c>
      <c r="E44" t="str">
        <f ca="1">OFFSET(Sheet2!G$3,(ROW(E45))*3,0)</f>
        <v>H2Go</v>
      </c>
      <c r="F44">
        <f ca="1">OFFSET(Sheet2!H$3,(ROW(F45))*3,0)</f>
        <v>0</v>
      </c>
      <c r="G44" t="str">
        <f ca="1">OFFSET(Sheet2!I$3,(ROW(G45))*3,0)</f>
        <v>Comprehensive</v>
      </c>
      <c r="H44">
        <f ca="1">OFFSET(Sheet2!J$3,(ROW(H45))*3,0)</f>
        <v>21</v>
      </c>
      <c r="I44" t="str">
        <f ca="1">OFFSET(Sheet2!K$3,(ROW(I45))*3,0)</f>
        <v>Recommendation</v>
      </c>
      <c r="J44" t="str">
        <f ca="1">OFFSET(Sheet2!L$3,(ROW(J45))*3,0)</f>
        <v>Needs to be changed</v>
      </c>
      <c r="K44" t="str">
        <f ca="1">OFFSET(Sheet2!M$3,(ROW(K45))*3,0)</f>
        <v>Needs to be cleaned</v>
      </c>
      <c r="L44" t="str">
        <f ca="1">OFFSET(Sheet2!N$3,(ROW(L45))*3,0)</f>
        <v>Needs to be arranged</v>
      </c>
      <c r="M44" t="str">
        <f ca="1">OFFSET(Sheet2!O$3,(ROW(M45))*3,0)</f>
        <v>Has to be cleaned</v>
      </c>
      <c r="N44" t="str">
        <f ca="1">OFFSET(Sheet2!P$3,(ROW(N45))*3,0)</f>
        <v>Needs replacement</v>
      </c>
      <c r="O44" t="str">
        <f ca="1">OFFSET(Sheet2!Q$3,(ROW(O45))*3,0)</f>
        <v>Needs to be changed</v>
      </c>
      <c r="P44" t="str">
        <f ca="1">OFFSET(Sheet2!R$3,(ROW(P45))*3,0)</f>
        <v>Rings have to be replaced</v>
      </c>
      <c r="Q44" t="str">
        <f ca="1">OFFSET(Sheet2!S$3,(ROW(Q45))*3,0)</f>
        <v>monitor closely</v>
      </c>
      <c r="R44" t="str">
        <f ca="1">OFFSET(Sheet2!T$3,(ROW(R45))*3,0)</f>
        <v>Has to be thoroughly cleaned</v>
      </c>
      <c r="S44">
        <f ca="1">OFFSET(Sheet2!U$2,(ROW(S45))*3,0)</f>
        <v>0</v>
      </c>
      <c r="T44">
        <f ca="1">OFFSET(Sheet2!V$2,(ROW(T45))*3,0)</f>
        <v>0</v>
      </c>
    </row>
    <row r="45" spans="1:20" x14ac:dyDescent="0.35">
      <c r="A45" t="str">
        <f ca="1">OFFSET(Sheet2!B$3,(ROW(A46))*3,0)</f>
        <v>23/1/2020</v>
      </c>
      <c r="B45">
        <f ca="1">OFFSET(Sheet2!C$3,(ROW(B46))*3,0)</f>
        <v>10</v>
      </c>
      <c r="C45" t="str">
        <f ca="1">OFFSET(Sheet2!D$3,(ROW(C46))*3,0)</f>
        <v>North</v>
      </c>
      <c r="D45" t="str">
        <f ca="1">OFFSET(Sheet2!F$3,(ROW(D46))*3,0)</f>
        <v>Mugoya Ivan</v>
      </c>
      <c r="E45" t="str">
        <f ca="1">OFFSET(Sheet2!G$3,(ROW(E46))*3,0)</f>
        <v>H2Go</v>
      </c>
      <c r="F45">
        <f ca="1">OFFSET(Sheet2!H$3,(ROW(F46))*3,0)</f>
        <v>0</v>
      </c>
      <c r="G45" t="str">
        <f ca="1">OFFSET(Sheet2!I$3,(ROW(G46))*3,0)</f>
        <v>Comprehensive</v>
      </c>
      <c r="H45">
        <f ca="1">OFFSET(Sheet2!J$3,(ROW(H46))*3,0)</f>
        <v>14</v>
      </c>
      <c r="I45" t="str">
        <f ca="1">OFFSET(Sheet2!K$3,(ROW(I46))*3,0)</f>
        <v>Recommendation</v>
      </c>
      <c r="J45" t="str">
        <f ca="1">OFFSET(Sheet2!L$3,(ROW(J46))*3,0)</f>
        <v>Change on weekly basis</v>
      </c>
      <c r="K45" t="str">
        <f ca="1">OFFSET(Sheet2!M$3,(ROW(K46))*3,0)</f>
        <v>Maintain closely to avoid the same mistake</v>
      </c>
      <c r="L45" t="str">
        <f ca="1">OFFSET(Sheet2!N$3,(ROW(L46))*3,0)</f>
        <v>Observe closel for any loosening</v>
      </c>
      <c r="M45" t="str">
        <f ca="1">OFFSET(Sheet2!O$3,(ROW(M46))*3,0)</f>
        <v>Clean it weekly</v>
      </c>
      <c r="N45" t="str">
        <f ca="1">OFFSET(Sheet2!P$3,(ROW(N46))*3,0)</f>
        <v>Maintain the care</v>
      </c>
      <c r="O45" t="str">
        <f ca="1">OFFSET(Sheet2!Q$3,(ROW(O46))*3,0)</f>
        <v>Monitor closely before and after work</v>
      </c>
      <c r="P45" t="str">
        <f ca="1">OFFSET(Sheet2!R$3,(ROW(P46))*3,0)</f>
        <v>Needs replacement</v>
      </c>
      <c r="Q45" t="str">
        <f ca="1">OFFSET(Sheet2!S$3,(ROW(Q46))*3,0)</f>
        <v>Maintain</v>
      </c>
      <c r="R45" t="str">
        <f ca="1">OFFSET(Sheet2!T$3,(ROW(R46))*3,0)</f>
        <v>Keep monitoring</v>
      </c>
      <c r="S45">
        <f ca="1">OFFSET(Sheet2!U$2,(ROW(S46))*3,0)</f>
        <v>0</v>
      </c>
      <c r="T45">
        <f ca="1">OFFSET(Sheet2!V$2,(ROW(T46))*3,0)</f>
        <v>0</v>
      </c>
    </row>
    <row r="46" spans="1:20" x14ac:dyDescent="0.35">
      <c r="A46">
        <f ca="1">OFFSET(Sheet2!B$3,(ROW(A47))*3,0)</f>
        <v>43868</v>
      </c>
      <c r="B46">
        <f ca="1">OFFSET(Sheet2!C$3,(ROW(B47))*3,0)</f>
        <v>10</v>
      </c>
      <c r="C46" t="str">
        <f ca="1">OFFSET(Sheet2!D$3,(ROW(C47))*3,0)</f>
        <v>North</v>
      </c>
      <c r="D46" t="str">
        <f ca="1">OFFSET(Sheet2!F$3,(ROW(D47))*3,0)</f>
        <v>Mugoya Ivan</v>
      </c>
      <c r="E46" t="str">
        <f ca="1">OFFSET(Sheet2!G$3,(ROW(E47))*3,0)</f>
        <v>H2Go</v>
      </c>
      <c r="F46">
        <f ca="1">OFFSET(Sheet2!H$3,(ROW(F47))*3,0)</f>
        <v>0</v>
      </c>
      <c r="G46" t="str">
        <f ca="1">OFFSET(Sheet2!I$3,(ROW(G47))*3,0)</f>
        <v>WEEKLY</v>
      </c>
      <c r="H46">
        <f ca="1">OFFSET(Sheet2!J$3,(ROW(H47))*3,0)</f>
        <v>284</v>
      </c>
      <c r="I46" t="str">
        <f ca="1">OFFSET(Sheet2!K$3,(ROW(I47))*3,0)</f>
        <v>Recommendation</v>
      </c>
      <c r="J46" t="str">
        <f ca="1">OFFSET(Sheet2!L$3,(ROW(J47))*3,0)</f>
        <v>Regular checking is required</v>
      </c>
      <c r="K46" t="str">
        <f ca="1">OFFSET(Sheet2!M$3,(ROW(K47))*3,0)</f>
        <v>Regular check up</v>
      </c>
      <c r="L46" t="str">
        <f ca="1">OFFSET(Sheet2!N$3,(ROW(L47))*3,0)</f>
        <v>Regular check up required</v>
      </c>
      <c r="M46" t="str">
        <f ca="1">OFFSET(Sheet2!O$3,(ROW(M47))*3,0)</f>
        <v>Regular ceck up required</v>
      </c>
      <c r="N46" t="str">
        <f ca="1">OFFSET(Sheet2!P$3,(ROW(N47))*3,0)</f>
        <v>Regular check up</v>
      </c>
      <c r="O46" t="str">
        <f ca="1">OFFSET(Sheet2!Q$3,(ROW(O47))*3,0)</f>
        <v>Periodic check up</v>
      </c>
      <c r="P46" t="str">
        <f ca="1">OFFSET(Sheet2!R$3,(ROW(P47))*3,0)</f>
        <v>Needs replacement</v>
      </c>
      <c r="Q46" t="str">
        <f ca="1">OFFSET(Sheet2!S$3,(ROW(Q47))*3,0)</f>
        <v>Maiainn</v>
      </c>
      <c r="R46" t="str">
        <f ca="1">OFFSET(Sheet2!T$3,(ROW(R47))*3,0)</f>
        <v>Maintain</v>
      </c>
      <c r="S46">
        <f ca="1">OFFSET(Sheet2!U$2,(ROW(S47))*3,0)</f>
        <v>0</v>
      </c>
      <c r="T46">
        <f ca="1">OFFSET(Sheet2!V$2,(ROW(T47))*3,0)</f>
        <v>0</v>
      </c>
    </row>
    <row r="47" spans="1:20" x14ac:dyDescent="0.35">
      <c r="A47">
        <f ca="1">OFFSET(Sheet2!B$3,(ROW(A48))*3,0)</f>
        <v>43877</v>
      </c>
      <c r="B47">
        <f ca="1">OFFSET(Sheet2!C$3,(ROW(B48))*3,0)</f>
        <v>10</v>
      </c>
      <c r="C47" t="str">
        <f ca="1">OFFSET(Sheet2!D$3,(ROW(C48))*3,0)</f>
        <v>North</v>
      </c>
      <c r="D47" t="str">
        <f ca="1">OFFSET(Sheet2!F$3,(ROW(D48))*3,0)</f>
        <v>Mugoya Ivan</v>
      </c>
      <c r="E47" t="str">
        <f ca="1">OFFSET(Sheet2!G$3,(ROW(E48))*3,0)</f>
        <v>H2Go</v>
      </c>
      <c r="F47">
        <f ca="1">OFFSET(Sheet2!H$3,(ROW(F48))*3,0)</f>
        <v>0</v>
      </c>
      <c r="G47" t="str">
        <f ca="1">OFFSET(Sheet2!I$3,(ROW(G48))*3,0)</f>
        <v>WEEKLY</v>
      </c>
      <c r="H47">
        <f ca="1">OFFSET(Sheet2!J$3,(ROW(H48))*3,0)</f>
        <v>298</v>
      </c>
      <c r="I47" t="str">
        <f ca="1">OFFSET(Sheet2!K$3,(ROW(I48))*3,0)</f>
        <v>Recommendation</v>
      </c>
      <c r="J47" t="str">
        <f ca="1">OFFSET(Sheet2!L$3,(ROW(J48))*3,0)</f>
        <v>Needs to be changed</v>
      </c>
      <c r="K47" t="str">
        <f ca="1">OFFSET(Sheet2!M$3,(ROW(K48))*3,0)</f>
        <v>Monitor, needs to be serviced soon</v>
      </c>
      <c r="L47" t="str">
        <f ca="1">OFFSET(Sheet2!N$3,(ROW(L48))*3,0)</f>
        <v>No adjustment needed, looks good, maintain</v>
      </c>
      <c r="M47" t="str">
        <f ca="1">OFFSET(Sheet2!O$3,(ROW(M48))*3,0)</f>
        <v>Needs to be cleaned</v>
      </c>
      <c r="N47" t="str">
        <f ca="1">OFFSET(Sheet2!P$3,(ROW(N48))*3,0)</f>
        <v>Monitor closely, will need to be changed soon</v>
      </c>
      <c r="O47" t="str">
        <f ca="1">OFFSET(Sheet2!Q$3,(ROW(O48))*3,0)</f>
        <v>Nut showing wear, will need to replace soon</v>
      </c>
      <c r="P47">
        <f ca="1">OFFSET(Sheet2!R$3,(ROW(P48))*3,0)</f>
        <v>0</v>
      </c>
      <c r="Q47">
        <f ca="1">OFFSET(Sheet2!S$3,(ROW(Q48))*3,0)</f>
        <v>0</v>
      </c>
      <c r="R47">
        <f ca="1">OFFSET(Sheet2!T$3,(ROW(R48))*3,0)</f>
        <v>0</v>
      </c>
      <c r="S47">
        <f ca="1">OFFSET(Sheet2!U$2,(ROW(S48))*3,0)</f>
        <v>0</v>
      </c>
      <c r="T47">
        <f ca="1">OFFSET(Sheet2!V$2,(ROW(T48))*3,0)</f>
        <v>0</v>
      </c>
    </row>
    <row r="48" spans="1:20" x14ac:dyDescent="0.35">
      <c r="A48">
        <f ca="1">OFFSET(Sheet2!B$3,(ROW(A49))*3,0)</f>
        <v>43884</v>
      </c>
      <c r="B48">
        <f ca="1">OFFSET(Sheet2!C$3,(ROW(B49))*3,0)</f>
        <v>10</v>
      </c>
      <c r="C48" t="str">
        <f ca="1">OFFSET(Sheet2!D$3,(ROW(C49))*3,0)</f>
        <v>North</v>
      </c>
      <c r="D48" t="str">
        <f ca="1">OFFSET(Sheet2!F$3,(ROW(D49))*3,0)</f>
        <v>Mugoya Ivan</v>
      </c>
      <c r="E48" t="str">
        <f ca="1">OFFSET(Sheet2!G$3,(ROW(E49))*3,0)</f>
        <v>H2Go</v>
      </c>
      <c r="F48">
        <f ca="1">OFFSET(Sheet2!H$3,(ROW(F49))*3,0)</f>
        <v>0</v>
      </c>
      <c r="G48" t="str">
        <f ca="1">OFFSET(Sheet2!I$3,(ROW(G49))*3,0)</f>
        <v>WEEKLY</v>
      </c>
      <c r="H48">
        <f ca="1">OFFSET(Sheet2!J$3,(ROW(H49))*3,0)</f>
        <v>226</v>
      </c>
      <c r="I48" t="str">
        <f ca="1">OFFSET(Sheet2!K$3,(ROW(I49))*3,0)</f>
        <v>Recommendation</v>
      </c>
      <c r="J48" t="str">
        <f ca="1">OFFSET(Sheet2!L$3,(ROW(J49))*3,0)</f>
        <v>Needs to be changed</v>
      </c>
      <c r="K48" t="str">
        <f ca="1">OFFSET(Sheet2!M$3,(ROW(K49))*3,0)</f>
        <v>Needs to be cleaned</v>
      </c>
      <c r="L48" t="str">
        <f ca="1">OFFSET(Sheet2!N$3,(ROW(L49))*3,0)</f>
        <v>No adjustment needed, looks good, maintain</v>
      </c>
      <c r="M48" t="str">
        <f ca="1">OFFSET(Sheet2!O$3,(ROW(M49))*3,0)</f>
        <v>Needs to be cleaned</v>
      </c>
      <c r="N48" t="str">
        <f ca="1">OFFSET(Sheet2!P$3,(ROW(N49))*3,0)</f>
        <v>Monitor closely, will need to be changed soon</v>
      </c>
      <c r="O48" t="str">
        <f ca="1">OFFSET(Sheet2!Q$3,(ROW(O49))*3,0)</f>
        <v>No service needed, looks good, maintain</v>
      </c>
      <c r="P48">
        <f ca="1">OFFSET(Sheet2!R$3,(ROW(P49))*3,0)</f>
        <v>0</v>
      </c>
      <c r="Q48">
        <f ca="1">OFFSET(Sheet2!S$3,(ROW(Q49))*3,0)</f>
        <v>0</v>
      </c>
      <c r="R48">
        <f ca="1">OFFSET(Sheet2!T$3,(ROW(R49))*3,0)</f>
        <v>0</v>
      </c>
      <c r="S48">
        <f ca="1">OFFSET(Sheet2!U$2,(ROW(S49))*3,0)</f>
        <v>0</v>
      </c>
      <c r="T48">
        <f ca="1">OFFSET(Sheet2!V$2,(ROW(T49))*3,0)</f>
        <v>0</v>
      </c>
    </row>
    <row r="49" spans="1:20" x14ac:dyDescent="0.35">
      <c r="A49">
        <f ca="1">OFFSET(Sheet2!B$3,(ROW(A50))*3,0)</f>
        <v>43892</v>
      </c>
      <c r="B49">
        <f ca="1">OFFSET(Sheet2!C$3,(ROW(B50))*3,0)</f>
        <v>10</v>
      </c>
      <c r="C49" t="str">
        <f ca="1">OFFSET(Sheet2!D$3,(ROW(C50))*3,0)</f>
        <v>North</v>
      </c>
      <c r="D49" t="str">
        <f ca="1">OFFSET(Sheet2!F$3,(ROW(D50))*3,0)</f>
        <v>Mugoya Ivan</v>
      </c>
      <c r="E49" t="str">
        <f ca="1">OFFSET(Sheet2!G$3,(ROW(E50))*3,0)</f>
        <v>H2Go</v>
      </c>
      <c r="F49">
        <f ca="1">OFFSET(Sheet2!H$3,(ROW(F50))*3,0)</f>
        <v>0</v>
      </c>
      <c r="G49" t="str">
        <f ca="1">OFFSET(Sheet2!I$3,(ROW(G50))*3,0)</f>
        <v>WEEKLY</v>
      </c>
      <c r="H49">
        <f ca="1">OFFSET(Sheet2!J$3,(ROW(H50))*3,0)</f>
        <v>258</v>
      </c>
      <c r="I49" t="str">
        <f ca="1">OFFSET(Sheet2!K$3,(ROW(I50))*3,0)</f>
        <v>Recommendation</v>
      </c>
      <c r="J49" t="str">
        <f ca="1">OFFSET(Sheet2!L$3,(ROW(J50))*3,0)</f>
        <v>Needs to be changed</v>
      </c>
      <c r="K49" t="str">
        <f ca="1">OFFSET(Sheet2!M$3,(ROW(K50))*3,0)</f>
        <v>Needs to be cleaned</v>
      </c>
      <c r="L49" t="str">
        <f ca="1">OFFSET(Sheet2!N$3,(ROW(L50))*3,0)</f>
        <v>No adjustment needed, looks good, maintain</v>
      </c>
      <c r="M49" t="str">
        <f ca="1">OFFSET(Sheet2!O$3,(ROW(M50))*3,0)</f>
        <v>Needs to be cleaned</v>
      </c>
      <c r="N49" t="str">
        <f ca="1">OFFSET(Sheet2!P$3,(ROW(N50))*3,0)</f>
        <v>No service needed, looks good, maintain</v>
      </c>
      <c r="O49" t="str">
        <f ca="1">OFFSET(Sheet2!Q$3,(ROW(O50))*3,0)</f>
        <v>No service needed, looks good, maintain</v>
      </c>
      <c r="P49">
        <f ca="1">OFFSET(Sheet2!R$3,(ROW(P50))*3,0)</f>
        <v>0</v>
      </c>
      <c r="Q49">
        <f ca="1">OFFSET(Sheet2!S$3,(ROW(Q50))*3,0)</f>
        <v>0</v>
      </c>
      <c r="R49">
        <f ca="1">OFFSET(Sheet2!T$3,(ROW(R50))*3,0)</f>
        <v>0</v>
      </c>
      <c r="S49">
        <f ca="1">OFFSET(Sheet2!U$2,(ROW(S50))*3,0)</f>
        <v>0</v>
      </c>
      <c r="T49">
        <f ca="1">OFFSET(Sheet2!V$2,(ROW(T50))*3,0)</f>
        <v>0</v>
      </c>
    </row>
    <row r="50" spans="1:20" x14ac:dyDescent="0.35">
      <c r="A50">
        <f ca="1">OFFSET(Sheet2!B$3,(ROW(A51))*3,0)</f>
        <v>43900</v>
      </c>
      <c r="B50">
        <f ca="1">OFFSET(Sheet2!C$3,(ROW(B51))*3,0)</f>
        <v>10</v>
      </c>
      <c r="C50" t="str">
        <f ca="1">OFFSET(Sheet2!D$3,(ROW(C51))*3,0)</f>
        <v>North</v>
      </c>
      <c r="D50" t="str">
        <f ca="1">OFFSET(Sheet2!F$3,(ROW(D51))*3,0)</f>
        <v>Mugoya Ivan</v>
      </c>
      <c r="E50" t="str">
        <f ca="1">OFFSET(Sheet2!G$3,(ROW(E51))*3,0)</f>
        <v>H2Go</v>
      </c>
      <c r="F50">
        <f ca="1">OFFSET(Sheet2!H$3,(ROW(F51))*3,0)</f>
        <v>0</v>
      </c>
      <c r="G50" t="str">
        <f ca="1">OFFSET(Sheet2!I$3,(ROW(G51))*3,0)</f>
        <v>WEEKLY</v>
      </c>
      <c r="H50">
        <f ca="1">OFFSET(Sheet2!J$3,(ROW(H51))*3,0)</f>
        <v>208</v>
      </c>
      <c r="I50" t="str">
        <f ca="1">OFFSET(Sheet2!K$3,(ROW(I51))*3,0)</f>
        <v>Recommendation</v>
      </c>
      <c r="J50" t="str">
        <f ca="1">OFFSET(Sheet2!L$3,(ROW(J51))*3,0)</f>
        <v>Needs to be changed</v>
      </c>
      <c r="K50" t="str">
        <f ca="1">OFFSET(Sheet2!M$3,(ROW(K51))*3,0)</f>
        <v>No service needed, looks good, maintain</v>
      </c>
      <c r="L50" t="str">
        <f ca="1">OFFSET(Sheet2!N$3,(ROW(L51))*3,0)</f>
        <v>No adjustment needed, looks good, maintain</v>
      </c>
      <c r="M50" t="str">
        <f ca="1">OFFSET(Sheet2!O$3,(ROW(M51))*3,0)</f>
        <v>Needs to be cleaned</v>
      </c>
      <c r="N50" t="str">
        <f ca="1">OFFSET(Sheet2!P$3,(ROW(N51))*3,0)</f>
        <v>No service needed, looks good, maintain</v>
      </c>
      <c r="O50" t="str">
        <f ca="1">OFFSET(Sheet2!Q$3,(ROW(O51))*3,0)</f>
        <v>No service needed, looks good, maintain</v>
      </c>
      <c r="P50">
        <f ca="1">OFFSET(Sheet2!R$3,(ROW(P51))*3,0)</f>
        <v>0</v>
      </c>
      <c r="Q50">
        <f ca="1">OFFSET(Sheet2!S$3,(ROW(Q51))*3,0)</f>
        <v>0</v>
      </c>
      <c r="R50">
        <f ca="1">OFFSET(Sheet2!T$3,(ROW(R51))*3,0)</f>
        <v>0</v>
      </c>
      <c r="S50">
        <f ca="1">OFFSET(Sheet2!U$2,(ROW(S51))*3,0)</f>
        <v>0</v>
      </c>
      <c r="T50">
        <f ca="1">OFFSET(Sheet2!V$2,(ROW(T51))*3,0)</f>
        <v>0</v>
      </c>
    </row>
    <row r="51" spans="1:20" x14ac:dyDescent="0.35">
      <c r="A51">
        <f ca="1">OFFSET(Sheet2!B$3,(ROW(A52))*3,0)</f>
        <v>43841</v>
      </c>
      <c r="B51">
        <f ca="1">OFFSET(Sheet2!C$3,(ROW(B52))*3,0)</f>
        <v>11</v>
      </c>
      <c r="C51" t="str">
        <f ca="1">OFFSET(Sheet2!D$3,(ROW(C52))*3,0)</f>
        <v>North</v>
      </c>
      <c r="D51" t="str">
        <f ca="1">OFFSET(Sheet2!F$3,(ROW(D52))*3,0)</f>
        <v>Nashimolo Sam Festo</v>
      </c>
      <c r="E51" t="str">
        <f ca="1">OFFSET(Sheet2!G$3,(ROW(E52))*3,0)</f>
        <v>Control</v>
      </c>
      <c r="F51">
        <f ca="1">OFFSET(Sheet2!H$3,(ROW(F52))*3,0)</f>
        <v>0</v>
      </c>
      <c r="G51" t="str">
        <f ca="1">OFFSET(Sheet2!I$3,(ROW(G52))*3,0)</f>
        <v>Comprehensive</v>
      </c>
      <c r="H51">
        <f ca="1">OFFSET(Sheet2!J$3,(ROW(H52))*3,0)</f>
        <v>23</v>
      </c>
      <c r="I51" t="str">
        <f ca="1">OFFSET(Sheet2!K$3,(ROW(I52))*3,0)</f>
        <v>Recommendation</v>
      </c>
      <c r="J51" t="str">
        <f ca="1">OFFSET(Sheet2!L$3,(ROW(J52))*3,0)</f>
        <v>Needs to be changed</v>
      </c>
      <c r="K51" t="str">
        <f ca="1">OFFSET(Sheet2!M$3,(ROW(K52))*3,0)</f>
        <v>maintain</v>
      </c>
      <c r="L51" t="str">
        <f ca="1">OFFSET(Sheet2!N$3,(ROW(L52))*3,0)</f>
        <v>Needs setting</v>
      </c>
      <c r="M51" t="str">
        <f ca="1">OFFSET(Sheet2!O$3,(ROW(M52))*3,0)</f>
        <v>Needs cleaning on daily basis</v>
      </c>
      <c r="N51" t="str">
        <f ca="1">OFFSET(Sheet2!P$3,(ROW(N52))*3,0)</f>
        <v>Maintain</v>
      </c>
      <c r="O51" t="str">
        <f ca="1">OFFSET(Sheet2!Q$3,(ROW(O52))*3,0)</f>
        <v>Maintain the care</v>
      </c>
      <c r="P51" t="str">
        <f ca="1">OFFSET(Sheet2!R$3,(ROW(P52))*3,0)</f>
        <v xml:space="preserve"> keep observing for any change</v>
      </c>
      <c r="Q51" t="str">
        <f ca="1">OFFSET(Sheet2!S$3,(ROW(Q52))*3,0)</f>
        <v>Needs careful cleaning</v>
      </c>
      <c r="R51" t="str">
        <f ca="1">OFFSET(Sheet2!T$3,(ROW(R52))*3,0)</f>
        <v>Maintain</v>
      </c>
      <c r="S51">
        <f ca="1">OFFSET(Sheet2!U$2,(ROW(S52))*3,0)</f>
        <v>0</v>
      </c>
      <c r="T51">
        <f ca="1">OFFSET(Sheet2!V$2,(ROW(T52))*3,0)</f>
        <v>0</v>
      </c>
    </row>
    <row r="52" spans="1:20" x14ac:dyDescent="0.35">
      <c r="A52" t="str">
        <f ca="1">OFFSET(Sheet2!B$3,(ROW(A53))*3,0)</f>
        <v>18/1/2020</v>
      </c>
      <c r="B52">
        <f ca="1">OFFSET(Sheet2!C$3,(ROW(B53))*3,0)</f>
        <v>11</v>
      </c>
      <c r="C52" t="str">
        <f ca="1">OFFSET(Sheet2!D$3,(ROW(C53))*3,0)</f>
        <v>North</v>
      </c>
      <c r="D52" t="str">
        <f ca="1">OFFSET(Sheet2!F$3,(ROW(D53))*3,0)</f>
        <v>Nashimolo Sam Festo</v>
      </c>
      <c r="E52" t="str">
        <f ca="1">OFFSET(Sheet2!G$3,(ROW(E53))*3,0)</f>
        <v>Control</v>
      </c>
      <c r="F52">
        <f ca="1">OFFSET(Sheet2!H$3,(ROW(F53))*3,0)</f>
        <v>0</v>
      </c>
      <c r="G52" t="str">
        <f ca="1">OFFSET(Sheet2!I$3,(ROW(G53))*3,0)</f>
        <v>weekly</v>
      </c>
      <c r="H52">
        <f ca="1">OFFSET(Sheet2!J$3,(ROW(H53))*3,0)</f>
        <v>48</v>
      </c>
      <c r="I52" t="str">
        <f ca="1">OFFSET(Sheet2!K$3,(ROW(I53))*3,0)</f>
        <v>Recommendation</v>
      </c>
      <c r="J52" t="str">
        <f ca="1">OFFSET(Sheet2!L$3,(ROW(J53))*3,0)</f>
        <v>keep changing timely</v>
      </c>
      <c r="K52" t="str">
        <f ca="1">OFFSET(Sheet2!M$3,(ROW(K53))*3,0)</f>
        <v>maintain</v>
      </c>
      <c r="L52" t="str">
        <f ca="1">OFFSET(Sheet2!N$3,(ROW(L53))*3,0)</f>
        <v>Monitor closely</v>
      </c>
      <c r="M52" t="str">
        <f ca="1">OFFSET(Sheet2!O$3,(ROW(M53))*3,0)</f>
        <v>Clean it weekly</v>
      </c>
      <c r="N52" t="str">
        <f ca="1">OFFSET(Sheet2!P$3,(ROW(N53))*3,0)</f>
        <v>Maintain</v>
      </c>
      <c r="O52" t="str">
        <f ca="1">OFFSET(Sheet2!Q$3,(ROW(O53))*3,0)</f>
        <v>keep a close inspection</v>
      </c>
      <c r="P52">
        <f ca="1">OFFSET(Sheet2!R$3,(ROW(P53))*3,0)</f>
        <v>0</v>
      </c>
      <c r="Q52">
        <f ca="1">OFFSET(Sheet2!S$3,(ROW(Q53))*3,0)</f>
        <v>0</v>
      </c>
      <c r="R52">
        <f ca="1">OFFSET(Sheet2!T$3,(ROW(R53))*3,0)</f>
        <v>0</v>
      </c>
      <c r="S52">
        <f ca="1">OFFSET(Sheet2!U$2,(ROW(S53))*3,0)</f>
        <v>0</v>
      </c>
      <c r="T52">
        <f ca="1">OFFSET(Sheet2!V$2,(ROW(T53))*3,0)</f>
        <v>0</v>
      </c>
    </row>
    <row r="53" spans="1:20" x14ac:dyDescent="0.35">
      <c r="A53" t="str">
        <f ca="1">OFFSET(Sheet2!B$3,(ROW(A54))*3,0)</f>
        <v>24/1/12020</v>
      </c>
      <c r="B53">
        <f ca="1">OFFSET(Sheet2!C$3,(ROW(B54))*3,0)</f>
        <v>11</v>
      </c>
      <c r="C53" t="str">
        <f ca="1">OFFSET(Sheet2!D$3,(ROW(C54))*3,0)</f>
        <v>North</v>
      </c>
      <c r="D53" t="str">
        <f ca="1">OFFSET(Sheet2!F$3,(ROW(D54))*3,0)</f>
        <v>Nashimolo Sam Festo</v>
      </c>
      <c r="E53" t="str">
        <f ca="1">OFFSET(Sheet2!G$3,(ROW(E54))*3,0)</f>
        <v>Control</v>
      </c>
      <c r="F53">
        <f ca="1">OFFSET(Sheet2!H$3,(ROW(F54))*3,0)</f>
        <v>0</v>
      </c>
      <c r="G53" t="str">
        <f ca="1">OFFSET(Sheet2!I$3,(ROW(G54))*3,0)</f>
        <v>weekly</v>
      </c>
      <c r="H53">
        <f ca="1">OFFSET(Sheet2!J$3,(ROW(H54))*3,0)</f>
        <v>41</v>
      </c>
      <c r="I53" t="str">
        <f ca="1">OFFSET(Sheet2!K$3,(ROW(I54))*3,0)</f>
        <v>Recommendation</v>
      </c>
      <c r="J53" t="str">
        <f ca="1">OFFSET(Sheet2!L$3,(ROW(J54))*3,0)</f>
        <v>Change weekly</v>
      </c>
      <c r="K53" t="str">
        <f ca="1">OFFSET(Sheet2!M$3,(ROW(K54))*3,0)</f>
        <v>Monitor periodically</v>
      </c>
      <c r="L53" t="str">
        <f ca="1">OFFSET(Sheet2!N$3,(ROW(L54))*3,0)</f>
        <v>Always observe looseness</v>
      </c>
      <c r="M53" t="str">
        <f ca="1">OFFSET(Sheet2!O$3,(ROW(M54))*3,0)</f>
        <v>Clean weekly</v>
      </c>
      <c r="N53" t="str">
        <f ca="1">OFFSET(Sheet2!P$3,(ROW(N54))*3,0)</f>
        <v>Maintain</v>
      </c>
      <c r="O53" t="str">
        <f ca="1">OFFSET(Sheet2!Q$3,(ROW(O54))*3,0)</f>
        <v>Maintain</v>
      </c>
      <c r="P53">
        <f ca="1">OFFSET(Sheet2!R$3,(ROW(P54))*3,0)</f>
        <v>0</v>
      </c>
      <c r="Q53">
        <f ca="1">OFFSET(Sheet2!S$3,(ROW(Q54))*3,0)</f>
        <v>0</v>
      </c>
      <c r="R53">
        <f ca="1">OFFSET(Sheet2!T$3,(ROW(R54))*3,0)</f>
        <v>0</v>
      </c>
      <c r="S53">
        <f ca="1">OFFSET(Sheet2!U$2,(ROW(S54))*3,0)</f>
        <v>0</v>
      </c>
      <c r="T53">
        <f ca="1">OFFSET(Sheet2!V$2,(ROW(T54))*3,0)</f>
        <v>0</v>
      </c>
    </row>
    <row r="54" spans="1:20" x14ac:dyDescent="0.35">
      <c r="A54" t="str">
        <f ca="1">OFFSET(Sheet2!B$3,(ROW(A55))*3,0)</f>
        <v>31/1/2020</v>
      </c>
      <c r="B54">
        <f ca="1">OFFSET(Sheet2!C$3,(ROW(B55))*3,0)</f>
        <v>11</v>
      </c>
      <c r="C54" t="str">
        <f ca="1">OFFSET(Sheet2!D$3,(ROW(C55))*3,0)</f>
        <v>North</v>
      </c>
      <c r="D54" t="str">
        <f ca="1">OFFSET(Sheet2!F$3,(ROW(D55))*3,0)</f>
        <v>Nashimolo Sam Festo</v>
      </c>
      <c r="E54" t="str">
        <f ca="1">OFFSET(Sheet2!G$3,(ROW(E55))*3,0)</f>
        <v>Control</v>
      </c>
      <c r="F54">
        <f ca="1">OFFSET(Sheet2!H$3,(ROW(F55))*3,0)</f>
        <v>0</v>
      </c>
      <c r="G54" t="str">
        <f ca="1">OFFSET(Sheet2!I$3,(ROW(G55))*3,0)</f>
        <v>weekly</v>
      </c>
      <c r="H54">
        <f ca="1">OFFSET(Sheet2!J$3,(ROW(H55))*3,0)</f>
        <v>59</v>
      </c>
      <c r="I54" t="str">
        <f ca="1">OFFSET(Sheet2!K$3,(ROW(I55))*3,0)</f>
        <v>Recommendation</v>
      </c>
      <c r="J54" t="str">
        <f ca="1">OFFSET(Sheet2!L$3,(ROW(J55))*3,0)</f>
        <v>Change on time</v>
      </c>
      <c r="K54" t="str">
        <f ca="1">OFFSET(Sheet2!M$3,(ROW(K55))*3,0)</f>
        <v>Clean it soon</v>
      </c>
      <c r="L54" t="str">
        <f ca="1">OFFSET(Sheet2!N$3,(ROW(L55))*3,0)</f>
        <v>Monitor for abmormal functioning</v>
      </c>
      <c r="M54" t="str">
        <f ca="1">OFFSET(Sheet2!O$3,(ROW(M55))*3,0)</f>
        <v>Clean it next week</v>
      </c>
      <c r="N54" t="str">
        <f ca="1">OFFSET(Sheet2!P$3,(ROW(N55))*3,0)</f>
        <v>Maintain the care</v>
      </c>
      <c r="O54" t="str">
        <f ca="1">OFFSET(Sheet2!Q$3,(ROW(O55))*3,0)</f>
        <v>Keep it up</v>
      </c>
      <c r="P54" t="str">
        <f ca="1">OFFSET(Sheet2!R$3,(ROW(P55))*3,0)</f>
        <v>Nothing done</v>
      </c>
      <c r="Q54" t="str">
        <f ca="1">OFFSET(Sheet2!S$3,(ROW(Q55))*3,0)</f>
        <v>Maintain</v>
      </c>
      <c r="R54" t="str">
        <f ca="1">OFFSET(Sheet2!T$3,(ROW(R55))*3,0)</f>
        <v>watch it closely</v>
      </c>
      <c r="S54">
        <f ca="1">OFFSET(Sheet2!U$2,(ROW(S55))*3,0)</f>
        <v>0</v>
      </c>
      <c r="T54">
        <f ca="1">OFFSET(Sheet2!V$2,(ROW(T55))*3,0)</f>
        <v>0</v>
      </c>
    </row>
    <row r="55" spans="1:20" x14ac:dyDescent="0.35">
      <c r="A55">
        <f ca="1">OFFSET(Sheet2!B$3,(ROW(A56))*3,0)</f>
        <v>43868</v>
      </c>
      <c r="B55">
        <f ca="1">OFFSET(Sheet2!C$3,(ROW(B56))*3,0)</f>
        <v>11</v>
      </c>
      <c r="C55" t="str">
        <f ca="1">OFFSET(Sheet2!D$3,(ROW(C56))*3,0)</f>
        <v>North</v>
      </c>
      <c r="D55" t="str">
        <f ca="1">OFFSET(Sheet2!F$3,(ROW(D56))*3,0)</f>
        <v>Nashimolo sam festo</v>
      </c>
      <c r="E55" t="str">
        <f ca="1">OFFSET(Sheet2!G$3,(ROW(E56))*3,0)</f>
        <v>Control</v>
      </c>
      <c r="F55">
        <f ca="1">OFFSET(Sheet2!H$3,(ROW(F56))*3,0)</f>
        <v>0</v>
      </c>
      <c r="G55" t="str">
        <f ca="1">OFFSET(Sheet2!I$3,(ROW(G56))*3,0)</f>
        <v>WEEKLY</v>
      </c>
      <c r="H55">
        <f ca="1">OFFSET(Sheet2!J$3,(ROW(H56))*3,0)</f>
        <v>286</v>
      </c>
      <c r="I55" t="str">
        <f ca="1">OFFSET(Sheet2!K$3,(ROW(I56))*3,0)</f>
        <v>Recommendation</v>
      </c>
      <c r="J55" t="str">
        <f ca="1">OFFSET(Sheet2!L$3,(ROW(J56))*3,0)</f>
        <v>Continue changing weekly</v>
      </c>
      <c r="K55" t="str">
        <f ca="1">OFFSET(Sheet2!M$3,(ROW(K56))*3,0)</f>
        <v>Maintain the service</v>
      </c>
      <c r="L55" t="str">
        <f ca="1">OFFSET(Sheet2!N$3,(ROW(L56))*3,0)</f>
        <v>Maintain the care for better functioning</v>
      </c>
      <c r="M55" t="str">
        <f ca="1">OFFSET(Sheet2!O$3,(ROW(M56))*3,0)</f>
        <v>Continue cleaning</v>
      </c>
      <c r="N55" t="str">
        <f ca="1">OFFSET(Sheet2!P$3,(ROW(N56))*3,0)</f>
        <v>Keep it up</v>
      </c>
      <c r="O55" t="str">
        <f ca="1">OFFSET(Sheet2!Q$3,(ROW(O56))*3,0)</f>
        <v>Inspect closely</v>
      </c>
      <c r="P55" t="str">
        <f ca="1">OFFSET(Sheet2!R$3,(ROW(P56))*3,0)</f>
        <v>Do close observation</v>
      </c>
      <c r="Q55" t="str">
        <f ca="1">OFFSET(Sheet2!S$3,(ROW(Q56))*3,0)</f>
        <v>Keep close inspection</v>
      </c>
      <c r="R55" t="str">
        <f ca="1">OFFSET(Sheet2!T$3,(ROW(R56))*3,0)</f>
        <v>Observe closely</v>
      </c>
      <c r="S55">
        <f ca="1">OFFSET(Sheet2!U$2,(ROW(S56))*3,0)</f>
        <v>0</v>
      </c>
      <c r="T55">
        <f ca="1">OFFSET(Sheet2!V$2,(ROW(T56))*3,0)</f>
        <v>0</v>
      </c>
    </row>
    <row r="56" spans="1:20" x14ac:dyDescent="0.35">
      <c r="A56">
        <f ca="1">OFFSET(Sheet2!B$3,(ROW(A57))*3,0)</f>
        <v>43841</v>
      </c>
      <c r="B56">
        <f ca="1">OFFSET(Sheet2!C$3,(ROW(B57))*3,0)</f>
        <v>12</v>
      </c>
      <c r="C56" t="str">
        <f ca="1">OFFSET(Sheet2!D$3,(ROW(C57))*3,0)</f>
        <v>North</v>
      </c>
      <c r="D56" t="str">
        <f ca="1">OFFSET(Sheet2!F$3,(ROW(D57))*3,0)</f>
        <v>Masaba Paul</v>
      </c>
      <c r="E56" t="str">
        <f ca="1">OFFSET(Sheet2!G$3,(ROW(E57))*3,0)</f>
        <v>Control</v>
      </c>
      <c r="F56">
        <f ca="1">OFFSET(Sheet2!H$3,(ROW(F57))*3,0)</f>
        <v>0</v>
      </c>
      <c r="G56" t="str">
        <f ca="1">OFFSET(Sheet2!I$3,(ROW(G57))*3,0)</f>
        <v>Comprehensive</v>
      </c>
      <c r="H56">
        <f ca="1">OFFSET(Sheet2!J$3,(ROW(H57))*3,0)</f>
        <v>4</v>
      </c>
      <c r="I56" t="str">
        <f ca="1">OFFSET(Sheet2!K$3,(ROW(I57))*3,0)</f>
        <v>Recommendation</v>
      </c>
      <c r="J56" t="str">
        <f ca="1">OFFSET(Sheet2!L$3,(ROW(J57))*3,0)</f>
        <v>maintain</v>
      </c>
      <c r="K56" t="str">
        <f ca="1">OFFSET(Sheet2!M$3,(ROW(K57))*3,0)</f>
        <v>Clean it once in the while</v>
      </c>
      <c r="L56" t="str">
        <f ca="1">OFFSET(Sheet2!N$3,(ROW(L57))*3,0)</f>
        <v>Monitor them clearly</v>
      </c>
      <c r="M56" t="str">
        <f ca="1">OFFSET(Sheet2!O$3,(ROW(M57))*3,0)</f>
        <v>Please maintain the cleaning</v>
      </c>
      <c r="N56" t="str">
        <f ca="1">OFFSET(Sheet2!P$3,(ROW(N57))*3,0)</f>
        <v>Please maintain the cleaning</v>
      </c>
      <c r="O56" t="str">
        <f ca="1">OFFSET(Sheet2!Q$3,(ROW(O57))*3,0)</f>
        <v>Maintain</v>
      </c>
      <c r="P56" t="str">
        <f ca="1">OFFSET(Sheet2!R$3,(ROW(P57))*3,0)</f>
        <v>No need for replacement</v>
      </c>
      <c r="Q56" t="str">
        <f ca="1">OFFSET(Sheet2!S$3,(ROW(Q57))*3,0)</f>
        <v>Keep monitoring</v>
      </c>
      <c r="R56" t="str">
        <f ca="1">OFFSET(Sheet2!T$3,(ROW(R57))*3,0)</f>
        <v>Maintain</v>
      </c>
      <c r="S56">
        <f ca="1">OFFSET(Sheet2!U$2,(ROW(S57))*3,0)</f>
        <v>0</v>
      </c>
      <c r="T56">
        <f ca="1">OFFSET(Sheet2!V$2,(ROW(T57))*3,0)</f>
        <v>0</v>
      </c>
    </row>
    <row r="57" spans="1:20" x14ac:dyDescent="0.35">
      <c r="A57" t="str">
        <f ca="1">OFFSET(Sheet2!B$3,(ROW(A58))*3,0)</f>
        <v>24/1/2020</v>
      </c>
      <c r="B57">
        <f ca="1">OFFSET(Sheet2!C$3,(ROW(B58))*3,0)</f>
        <v>12</v>
      </c>
      <c r="C57" t="str">
        <f ca="1">OFFSET(Sheet2!D$3,(ROW(C58))*3,0)</f>
        <v>North</v>
      </c>
      <c r="D57" t="str">
        <f ca="1">OFFSET(Sheet2!F$3,(ROW(D58))*3,0)</f>
        <v>Masaba Paul</v>
      </c>
      <c r="E57" t="str">
        <f ca="1">OFFSET(Sheet2!G$3,(ROW(E58))*3,0)</f>
        <v>Control</v>
      </c>
      <c r="F57">
        <f ca="1">OFFSET(Sheet2!H$3,(ROW(F58))*3,0)</f>
        <v>0</v>
      </c>
      <c r="G57" t="str">
        <f ca="1">OFFSET(Sheet2!I$3,(ROW(G58))*3,0)</f>
        <v>weekly</v>
      </c>
      <c r="H57">
        <f ca="1">OFFSET(Sheet2!J$3,(ROW(H58))*3,0)</f>
        <v>15</v>
      </c>
      <c r="I57" t="str">
        <f ca="1">OFFSET(Sheet2!K$3,(ROW(I58))*3,0)</f>
        <v>Recommendation</v>
      </c>
      <c r="J57" t="str">
        <f ca="1">OFFSET(Sheet2!L$3,(ROW(J58))*3,0)</f>
        <v>Change on time</v>
      </c>
      <c r="K57" t="str">
        <f ca="1">OFFSET(Sheet2!M$3,(ROW(K58))*3,0)</f>
        <v>Keep cleaning as usal</v>
      </c>
      <c r="L57" t="str">
        <f ca="1">OFFSET(Sheet2!N$3,(ROW(L58))*3,0)</f>
        <v>Monitor closely</v>
      </c>
      <c r="M57" t="str">
        <f ca="1">OFFSET(Sheet2!O$3,(ROW(M58))*3,0)</f>
        <v>Clean it on time</v>
      </c>
      <c r="N57" t="str">
        <f ca="1">OFFSET(Sheet2!P$3,(ROW(N58))*3,0)</f>
        <v>Maintain the care</v>
      </c>
      <c r="O57" t="str">
        <f ca="1">OFFSET(Sheet2!Q$3,(ROW(O58))*3,0)</f>
        <v>Monitor closely</v>
      </c>
      <c r="P57">
        <f ca="1">OFFSET(Sheet2!R$3,(ROW(P58))*3,0)</f>
        <v>0</v>
      </c>
      <c r="Q57">
        <f ca="1">OFFSET(Sheet2!S$3,(ROW(Q58))*3,0)</f>
        <v>0</v>
      </c>
      <c r="R57">
        <f ca="1">OFFSET(Sheet2!T$3,(ROW(R58))*3,0)</f>
        <v>0</v>
      </c>
      <c r="S57">
        <f ca="1">OFFSET(Sheet2!U$2,(ROW(S58))*3,0)</f>
        <v>0</v>
      </c>
      <c r="T57">
        <f ca="1">OFFSET(Sheet2!V$2,(ROW(T58))*3,0)</f>
        <v>0</v>
      </c>
    </row>
    <row r="58" spans="1:20" x14ac:dyDescent="0.35">
      <c r="A58" t="str">
        <f ca="1">OFFSET(Sheet2!B$3,(ROW(A59))*3,0)</f>
        <v>31/1/2020</v>
      </c>
      <c r="B58">
        <f ca="1">OFFSET(Sheet2!C$3,(ROW(B59))*3,0)</f>
        <v>12</v>
      </c>
      <c r="C58" t="str">
        <f ca="1">OFFSET(Sheet2!D$3,(ROW(C59))*3,0)</f>
        <v>North</v>
      </c>
      <c r="D58" t="str">
        <f ca="1">OFFSET(Sheet2!F$3,(ROW(D59))*3,0)</f>
        <v>Masaba Paul</v>
      </c>
      <c r="E58" t="str">
        <f ca="1">OFFSET(Sheet2!G$3,(ROW(E59))*3,0)</f>
        <v>Control</v>
      </c>
      <c r="F58">
        <f ca="1">OFFSET(Sheet2!H$3,(ROW(F59))*3,0)</f>
        <v>0</v>
      </c>
      <c r="G58" t="str">
        <f ca="1">OFFSET(Sheet2!I$3,(ROW(G59))*3,0)</f>
        <v>weekly</v>
      </c>
      <c r="H58">
        <f ca="1">OFFSET(Sheet2!J$3,(ROW(H59))*3,0)</f>
        <v>57</v>
      </c>
      <c r="I58" t="str">
        <f ca="1">OFFSET(Sheet2!K$3,(ROW(I59))*3,0)</f>
        <v>Recommendation</v>
      </c>
      <c r="J58" t="str">
        <f ca="1">OFFSET(Sheet2!L$3,(ROW(J59))*3,0)</f>
        <v>Needs to be changed</v>
      </c>
      <c r="K58" t="str">
        <f ca="1">OFFSET(Sheet2!M$3,(ROW(K59))*3,0)</f>
        <v>Maintain the care</v>
      </c>
      <c r="L58" t="str">
        <f ca="1">OFFSET(Sheet2!N$3,(ROW(L59))*3,0)</f>
        <v>Inspect for any abnormal functioning</v>
      </c>
      <c r="M58" t="str">
        <f ca="1">OFFSET(Sheet2!O$3,(ROW(M59))*3,0)</f>
        <v>Clean it next week</v>
      </c>
      <c r="N58" t="str">
        <f ca="1">OFFSET(Sheet2!P$3,(ROW(N59))*3,0)</f>
        <v>Maintain the care</v>
      </c>
      <c r="O58" t="str">
        <f ca="1">OFFSET(Sheet2!Q$3,(ROW(O59))*3,0)</f>
        <v>Watch closely</v>
      </c>
      <c r="P58" t="str">
        <f ca="1">OFFSET(Sheet2!R$3,(ROW(P59))*3,0)</f>
        <v>Maintain</v>
      </c>
      <c r="Q58" t="str">
        <f ca="1">OFFSET(Sheet2!S$3,(ROW(Q59))*3,0)</f>
        <v xml:space="preserve">Maintain </v>
      </c>
      <c r="R58" t="str">
        <f ca="1">OFFSET(Sheet2!T$3,(ROW(R59))*3,0)</f>
        <v>Clear it once in the while</v>
      </c>
      <c r="S58">
        <f ca="1">OFFSET(Sheet2!U$2,(ROW(S59))*3,0)</f>
        <v>0</v>
      </c>
      <c r="T58">
        <f ca="1">OFFSET(Sheet2!V$2,(ROW(T59))*3,0)</f>
        <v>0</v>
      </c>
    </row>
    <row r="59" spans="1:20" x14ac:dyDescent="0.35">
      <c r="A59">
        <f ca="1">OFFSET(Sheet2!B$3,(ROW(A60))*3,0)</f>
        <v>43868</v>
      </c>
      <c r="B59">
        <f ca="1">OFFSET(Sheet2!C$3,(ROW(B60))*3,0)</f>
        <v>12</v>
      </c>
      <c r="C59" t="str">
        <f ca="1">OFFSET(Sheet2!D$3,(ROW(C60))*3,0)</f>
        <v>North</v>
      </c>
      <c r="D59" t="str">
        <f ca="1">OFFSET(Sheet2!F$3,(ROW(D60))*3,0)</f>
        <v>masaba paul</v>
      </c>
      <c r="E59" t="str">
        <f ca="1">OFFSET(Sheet2!G$3,(ROW(E60))*3,0)</f>
        <v>H2GO</v>
      </c>
      <c r="F59">
        <f ca="1">OFFSET(Sheet2!H$3,(ROW(F60))*3,0)</f>
        <v>0</v>
      </c>
      <c r="G59" t="str">
        <f ca="1">OFFSET(Sheet2!I$3,(ROW(G60))*3,0)</f>
        <v>WEEKLY</v>
      </c>
      <c r="H59">
        <f ca="1">OFFSET(Sheet2!J$3,(ROW(H60))*3,0)</f>
        <v>270</v>
      </c>
      <c r="I59" t="str">
        <f ca="1">OFFSET(Sheet2!K$3,(ROW(I60))*3,0)</f>
        <v>Recommendation</v>
      </c>
      <c r="J59" t="str">
        <f ca="1">OFFSET(Sheet2!L$3,(ROW(J60))*3,0)</f>
        <v>Replace the oil rings to avoid oil reduction</v>
      </c>
      <c r="K59" t="str">
        <f ca="1">OFFSET(Sheet2!M$3,(ROW(K60))*3,0)</f>
        <v>Keep servicing on time</v>
      </c>
      <c r="L59" t="str">
        <f ca="1">OFFSET(Sheet2!N$3,(ROW(L60))*3,0)</f>
        <v>Inspect for any abnormality</v>
      </c>
      <c r="M59" t="str">
        <f ca="1">OFFSET(Sheet2!O$3,(ROW(M60))*3,0)</f>
        <v>Clean atleast weekly</v>
      </c>
      <c r="N59" t="str">
        <f ca="1">OFFSET(Sheet2!P$3,(ROW(N60))*3,0)</f>
        <v>Maintain</v>
      </c>
      <c r="O59" t="str">
        <f ca="1">OFFSET(Sheet2!Q$3,(ROW(O60))*3,0)</f>
        <v>keep close inspection</v>
      </c>
      <c r="P59" t="str">
        <f ca="1">OFFSET(Sheet2!R$3,(ROW(P60))*3,0)</f>
        <v>Inspect the smoke through exhaust</v>
      </c>
      <c r="Q59" t="str">
        <f ca="1">OFFSET(Sheet2!S$3,(ROW(Q60))*3,0)</f>
        <v>Monitor closely</v>
      </c>
      <c r="R59" t="str">
        <f ca="1">OFFSET(Sheet2!T$3,(ROW(R60))*3,0)</f>
        <v>Mnitor closely for any damage</v>
      </c>
      <c r="S59">
        <f ca="1">OFFSET(Sheet2!U$2,(ROW(S60))*3,0)</f>
        <v>0</v>
      </c>
      <c r="T59">
        <f ca="1">OFFSET(Sheet2!V$2,(ROW(T60))*3,0)</f>
        <v>0</v>
      </c>
    </row>
    <row r="60" spans="1:20" x14ac:dyDescent="0.35">
      <c r="A60">
        <f ca="1">OFFSET(Sheet2!B$3,(ROW(A61))*3,0)</f>
        <v>43841</v>
      </c>
      <c r="B60">
        <f ca="1">OFFSET(Sheet2!C$3,(ROW(B61))*3,0)</f>
        <v>13</v>
      </c>
      <c r="C60" t="str">
        <f ca="1">OFFSET(Sheet2!D$3,(ROW(C61))*3,0)</f>
        <v>North</v>
      </c>
      <c r="D60" t="str">
        <f ca="1">OFFSET(Sheet2!F$3,(ROW(D61))*3,0)</f>
        <v>Mutenyo Alex</v>
      </c>
      <c r="E60" t="str">
        <f ca="1">OFFSET(Sheet2!G$3,(ROW(E61))*3,0)</f>
        <v>Control</v>
      </c>
      <c r="F60">
        <f ca="1">OFFSET(Sheet2!H$3,(ROW(F61))*3,0)</f>
        <v>0</v>
      </c>
      <c r="G60" t="str">
        <f ca="1">OFFSET(Sheet2!I$3,(ROW(G61))*3,0)</f>
        <v>Comprehensive</v>
      </c>
      <c r="H60">
        <f ca="1">OFFSET(Sheet2!J$3,(ROW(H61))*3,0)</f>
        <v>5</v>
      </c>
      <c r="I60" t="str">
        <f ca="1">OFFSET(Sheet2!K$3,(ROW(I61))*3,0)</f>
        <v>Recommendation</v>
      </c>
      <c r="J60" t="str">
        <f ca="1">OFFSET(Sheet2!L$3,(ROW(J61))*3,0)</f>
        <v>Needs to be changed</v>
      </c>
      <c r="K60" t="str">
        <f ca="1">OFFSET(Sheet2!M$3,(ROW(K61))*3,0)</f>
        <v>Has to be cleaned</v>
      </c>
      <c r="L60" t="str">
        <f ca="1">OFFSET(Sheet2!N$3,(ROW(L61))*3,0)</f>
        <v>Inspect them once in the while</v>
      </c>
      <c r="M60" t="str">
        <f ca="1">OFFSET(Sheet2!O$3,(ROW(M61))*3,0)</f>
        <v>Has to be cleaned</v>
      </c>
      <c r="N60" t="str">
        <f ca="1">OFFSET(Sheet2!P$3,(ROW(N61))*3,0)</f>
        <v>Keep on</v>
      </c>
      <c r="O60" t="str">
        <f ca="1">OFFSET(Sheet2!Q$3,(ROW(O61))*3,0)</f>
        <v>Maintain</v>
      </c>
      <c r="P60" t="str">
        <f ca="1">OFFSET(Sheet2!R$3,(ROW(P61))*3,0)</f>
        <v>Maintain</v>
      </c>
      <c r="Q60" t="str">
        <f ca="1">OFFSET(Sheet2!S$3,(ROW(Q61))*3,0)</f>
        <v>Maintain the care</v>
      </c>
      <c r="R60" t="str">
        <f ca="1">OFFSET(Sheet2!T$3,(ROW(R61))*3,0)</f>
        <v>Service in two weeks at least</v>
      </c>
      <c r="S60">
        <f ca="1">OFFSET(Sheet2!U$2,(ROW(S61))*3,0)</f>
        <v>0</v>
      </c>
      <c r="T60">
        <f ca="1">OFFSET(Sheet2!V$2,(ROW(T61))*3,0)</f>
        <v>0</v>
      </c>
    </row>
    <row r="61" spans="1:20" x14ac:dyDescent="0.35">
      <c r="A61" t="str">
        <f ca="1">OFFSET(Sheet2!B$3,(ROW(A62))*3,0)</f>
        <v>18/1/2020</v>
      </c>
      <c r="B61">
        <f ca="1">OFFSET(Sheet2!C$3,(ROW(B62))*3,0)</f>
        <v>13</v>
      </c>
      <c r="C61" t="str">
        <f ca="1">OFFSET(Sheet2!D$3,(ROW(C62))*3,0)</f>
        <v>North</v>
      </c>
      <c r="D61" t="str">
        <f ca="1">OFFSET(Sheet2!F$3,(ROW(D62))*3,0)</f>
        <v>Mutenyo Alex</v>
      </c>
      <c r="E61" t="str">
        <f ca="1">OFFSET(Sheet2!G$3,(ROW(E62))*3,0)</f>
        <v>Control</v>
      </c>
      <c r="F61">
        <f ca="1">OFFSET(Sheet2!H$3,(ROW(F62))*3,0)</f>
        <v>0</v>
      </c>
      <c r="G61" t="str">
        <f ca="1">OFFSET(Sheet2!I$3,(ROW(G62))*3,0)</f>
        <v>weekly</v>
      </c>
      <c r="H61">
        <f ca="1">OFFSET(Sheet2!J$3,(ROW(H62))*3,0)</f>
        <v>50</v>
      </c>
      <c r="I61" t="str">
        <f ca="1">OFFSET(Sheet2!K$3,(ROW(I62))*3,0)</f>
        <v>Recommendation</v>
      </c>
      <c r="J61" t="str">
        <f ca="1">OFFSET(Sheet2!L$3,(ROW(J62))*3,0)</f>
        <v>keep changing weekly</v>
      </c>
      <c r="K61" t="str">
        <f ca="1">OFFSET(Sheet2!M$3,(ROW(K62))*3,0)</f>
        <v>maintain</v>
      </c>
      <c r="L61" t="str">
        <f ca="1">OFFSET(Sheet2!N$3,(ROW(L62))*3,0)</f>
        <v>Monitor closely</v>
      </c>
      <c r="M61" t="str">
        <f ca="1">OFFSET(Sheet2!O$3,(ROW(M62))*3,0)</f>
        <v>Clean it weekly</v>
      </c>
      <c r="N61" t="str">
        <f ca="1">OFFSET(Sheet2!P$3,(ROW(N62))*3,0)</f>
        <v>maintain</v>
      </c>
      <c r="O61" t="str">
        <f ca="1">OFFSET(Sheet2!Q$3,(ROW(O62))*3,0)</f>
        <v>keep close inspection</v>
      </c>
      <c r="P61">
        <f ca="1">OFFSET(Sheet2!R$3,(ROW(P62))*3,0)</f>
        <v>0</v>
      </c>
      <c r="Q61">
        <f ca="1">OFFSET(Sheet2!S$3,(ROW(Q62))*3,0)</f>
        <v>0</v>
      </c>
      <c r="R61">
        <f ca="1">OFFSET(Sheet2!T$3,(ROW(R62))*3,0)</f>
        <v>0</v>
      </c>
      <c r="S61">
        <f ca="1">OFFSET(Sheet2!U$2,(ROW(S62))*3,0)</f>
        <v>0</v>
      </c>
      <c r="T61">
        <f ca="1">OFFSET(Sheet2!V$2,(ROW(T62))*3,0)</f>
        <v>0</v>
      </c>
    </row>
    <row r="62" spans="1:20" x14ac:dyDescent="0.35">
      <c r="A62" t="str">
        <f ca="1">OFFSET(Sheet2!B$3,(ROW(A63))*3,0)</f>
        <v>24/1/2020</v>
      </c>
      <c r="B62">
        <f ca="1">OFFSET(Sheet2!C$3,(ROW(B63))*3,0)</f>
        <v>13</v>
      </c>
      <c r="C62" t="str">
        <f ca="1">OFFSET(Sheet2!D$3,(ROW(C63))*3,0)</f>
        <v>North</v>
      </c>
      <c r="D62" t="str">
        <f ca="1">OFFSET(Sheet2!F$3,(ROW(D63))*3,0)</f>
        <v>Mutenyo Alex</v>
      </c>
      <c r="E62" t="str">
        <f ca="1">OFFSET(Sheet2!G$3,(ROW(E63))*3,0)</f>
        <v>Control</v>
      </c>
      <c r="F62">
        <f ca="1">OFFSET(Sheet2!H$3,(ROW(F63))*3,0)</f>
        <v>0</v>
      </c>
      <c r="G62" t="str">
        <f ca="1">OFFSET(Sheet2!I$3,(ROW(G63))*3,0)</f>
        <v>weekly</v>
      </c>
      <c r="H62">
        <f ca="1">OFFSET(Sheet2!J$3,(ROW(H63))*3,0)</f>
        <v>17</v>
      </c>
      <c r="I62" t="str">
        <f ca="1">OFFSET(Sheet2!K$3,(ROW(I63))*3,0)</f>
        <v>Recommendation</v>
      </c>
      <c r="J62" t="str">
        <f ca="1">OFFSET(Sheet2!L$3,(ROW(J63))*3,0)</f>
        <v>Continue changing in time</v>
      </c>
      <c r="K62" t="str">
        <f ca="1">OFFSET(Sheet2!M$3,(ROW(K63))*3,0)</f>
        <v>Inspect for unusual functioning</v>
      </c>
      <c r="L62" t="str">
        <f ca="1">OFFSET(Sheet2!N$3,(ROW(L63))*3,0)</f>
        <v>Maintain the care</v>
      </c>
      <c r="M62" t="str">
        <f ca="1">OFFSET(Sheet2!O$3,(ROW(M63))*3,0)</f>
        <v>Keep cleaning weekly</v>
      </c>
      <c r="N62">
        <f ca="1">OFFSET(Sheet2!P$3,(ROW(N63))*3,0)</f>
        <v>0</v>
      </c>
      <c r="O62" t="str">
        <f ca="1">OFFSET(Sheet2!Q$3,(ROW(O63))*3,0)</f>
        <v>Maintain</v>
      </c>
      <c r="P62">
        <f ca="1">OFFSET(Sheet2!R$3,(ROW(P63))*3,0)</f>
        <v>0</v>
      </c>
      <c r="Q62">
        <f ca="1">OFFSET(Sheet2!S$3,(ROW(Q63))*3,0)</f>
        <v>0</v>
      </c>
      <c r="R62">
        <f ca="1">OFFSET(Sheet2!T$3,(ROW(R63))*3,0)</f>
        <v>0</v>
      </c>
      <c r="S62">
        <f ca="1">OFFSET(Sheet2!U$2,(ROW(S63))*3,0)</f>
        <v>0</v>
      </c>
      <c r="T62">
        <f ca="1">OFFSET(Sheet2!V$2,(ROW(T63))*3,0)</f>
        <v>0</v>
      </c>
    </row>
    <row r="63" spans="1:20" x14ac:dyDescent="0.35">
      <c r="A63" t="str">
        <f ca="1">OFFSET(Sheet2!B$3,(ROW(A64))*3,0)</f>
        <v>31/1/2020</v>
      </c>
      <c r="B63">
        <f ca="1">OFFSET(Sheet2!C$3,(ROW(B64))*3,0)</f>
        <v>13</v>
      </c>
      <c r="C63" t="str">
        <f ca="1">OFFSET(Sheet2!D$3,(ROW(C64))*3,0)</f>
        <v>North</v>
      </c>
      <c r="D63" t="str">
        <f ca="1">OFFSET(Sheet2!F$3,(ROW(D64))*3,0)</f>
        <v>Mutenyo Alex</v>
      </c>
      <c r="E63" t="str">
        <f ca="1">OFFSET(Sheet2!G$3,(ROW(E64))*3,0)</f>
        <v>Control</v>
      </c>
      <c r="F63">
        <f ca="1">OFFSET(Sheet2!H$3,(ROW(F64))*3,0)</f>
        <v>0</v>
      </c>
      <c r="G63" t="str">
        <f ca="1">OFFSET(Sheet2!I$3,(ROW(G64))*3,0)</f>
        <v>weekly</v>
      </c>
      <c r="H63">
        <f ca="1">OFFSET(Sheet2!J$3,(ROW(H64))*3,0)</f>
        <v>263</v>
      </c>
      <c r="I63" t="str">
        <f ca="1">OFFSET(Sheet2!K$3,(ROW(I64))*3,0)</f>
        <v>Recommendation</v>
      </c>
      <c r="J63" t="str">
        <f ca="1">OFFSET(Sheet2!L$3,(ROW(J64))*3,0)</f>
        <v>It needs to replace</v>
      </c>
      <c r="K63" t="str">
        <f ca="1">OFFSET(Sheet2!M$3,(ROW(K64))*3,0)</f>
        <v>Maintain the care</v>
      </c>
      <c r="L63" t="str">
        <f ca="1">OFFSET(Sheet2!N$3,(ROW(L64))*3,0)</f>
        <v>Inspect for any abnormal functioning</v>
      </c>
      <c r="M63" t="str">
        <f ca="1">OFFSET(Sheet2!O$3,(ROW(M64))*3,0)</f>
        <v>Clean it atleast next week</v>
      </c>
      <c r="N63" t="str">
        <f ca="1">OFFSET(Sheet2!P$3,(ROW(N64))*3,0)</f>
        <v>Maintain</v>
      </c>
      <c r="O63" t="str">
        <f ca="1">OFFSET(Sheet2!Q$3,(ROW(O64))*3,0)</f>
        <v>keep a close inspection</v>
      </c>
      <c r="P63" t="str">
        <f ca="1">OFFSET(Sheet2!R$3,(ROW(P64))*3,0)</f>
        <v>Inspect for abnormal soke while riding</v>
      </c>
      <c r="Q63" t="str">
        <f ca="1">OFFSET(Sheet2!S$3,(ROW(Q64))*3,0)</f>
        <v>Keep it up</v>
      </c>
      <c r="R63" t="str">
        <f ca="1">OFFSET(Sheet2!T$3,(ROW(R64))*3,0)</f>
        <v>Inpect once in the while</v>
      </c>
      <c r="S63">
        <f ca="1">OFFSET(Sheet2!U$2,(ROW(S64))*3,0)</f>
        <v>0</v>
      </c>
      <c r="T63">
        <f ca="1">OFFSET(Sheet2!V$2,(ROW(T64))*3,0)</f>
        <v>0</v>
      </c>
    </row>
    <row r="64" spans="1:20" x14ac:dyDescent="0.35">
      <c r="A64">
        <f ca="1">OFFSET(Sheet2!B$3,(ROW(A65))*3,0)</f>
        <v>43877</v>
      </c>
      <c r="B64">
        <f ca="1">OFFSET(Sheet2!C$3,(ROW(B65))*3,0)</f>
        <v>13</v>
      </c>
      <c r="C64" t="str">
        <f ca="1">OFFSET(Sheet2!D$3,(ROW(C65))*3,0)</f>
        <v>North</v>
      </c>
      <c r="D64" t="str">
        <f ca="1">OFFSET(Sheet2!F$3,(ROW(D65))*3,0)</f>
        <v>MUTENYO ALEX</v>
      </c>
      <c r="E64" t="str">
        <f ca="1">OFFSET(Sheet2!G$3,(ROW(E65))*3,0)</f>
        <v>Control</v>
      </c>
      <c r="F64">
        <f ca="1">OFFSET(Sheet2!H$3,(ROW(F65))*3,0)</f>
        <v>0</v>
      </c>
      <c r="G64" t="str">
        <f ca="1">OFFSET(Sheet2!I$3,(ROW(G65))*3,0)</f>
        <v>WEEKLY</v>
      </c>
      <c r="H64">
        <f ca="1">OFFSET(Sheet2!J$3,(ROW(H65))*3,0)</f>
        <v>291</v>
      </c>
      <c r="I64" t="str">
        <f ca="1">OFFSET(Sheet2!K$3,(ROW(I65))*3,0)</f>
        <v>Recommendation</v>
      </c>
      <c r="J64" t="str">
        <f ca="1">OFFSET(Sheet2!L$3,(ROW(J65))*3,0)</f>
        <v>Needs to be changed</v>
      </c>
      <c r="K64" t="str">
        <f ca="1">OFFSET(Sheet2!M$3,(ROW(K65))*3,0)</f>
        <v>No service needed, looks good, maintain</v>
      </c>
      <c r="L64" t="str">
        <f ca="1">OFFSET(Sheet2!N$3,(ROW(L65))*3,0)</f>
        <v>No adjustment needed, looks good, maintain</v>
      </c>
      <c r="M64" t="str">
        <f ca="1">OFFSET(Sheet2!O$3,(ROW(M65))*3,0)</f>
        <v>No service needed, looks good, maintain</v>
      </c>
      <c r="N64" t="str">
        <f ca="1">OFFSET(Sheet2!P$3,(ROW(N65))*3,0)</f>
        <v>Monitor closely, will need to be changed soon</v>
      </c>
      <c r="O64" t="str">
        <f ca="1">OFFSET(Sheet2!Q$3,(ROW(O65))*3,0)</f>
        <v>No service needed, looks good, maintain</v>
      </c>
      <c r="P64">
        <f ca="1">OFFSET(Sheet2!R$3,(ROW(P65))*3,0)</f>
        <v>0</v>
      </c>
      <c r="Q64">
        <f ca="1">OFFSET(Sheet2!S$3,(ROW(Q65))*3,0)</f>
        <v>0</v>
      </c>
      <c r="R64">
        <f ca="1">OFFSET(Sheet2!T$3,(ROW(R65))*3,0)</f>
        <v>0</v>
      </c>
      <c r="S64">
        <f ca="1">OFFSET(Sheet2!U$2,(ROW(S65))*3,0)</f>
        <v>0</v>
      </c>
      <c r="T64">
        <f ca="1">OFFSET(Sheet2!V$2,(ROW(T65))*3,0)</f>
        <v>0</v>
      </c>
    </row>
    <row r="65" spans="1:20" x14ac:dyDescent="0.35">
      <c r="A65">
        <f ca="1">OFFSET(Sheet2!B$3,(ROW(A66))*3,0)</f>
        <v>43884</v>
      </c>
      <c r="B65">
        <f ca="1">OFFSET(Sheet2!C$3,(ROW(B66))*3,0)</f>
        <v>13</v>
      </c>
      <c r="C65" t="str">
        <f ca="1">OFFSET(Sheet2!D$3,(ROW(C66))*3,0)</f>
        <v>North</v>
      </c>
      <c r="D65" t="str">
        <f ca="1">OFFSET(Sheet2!F$3,(ROW(D66))*3,0)</f>
        <v>Mutenyo Alex</v>
      </c>
      <c r="E65" t="str">
        <f ca="1">OFFSET(Sheet2!G$3,(ROW(E66))*3,0)</f>
        <v>Control</v>
      </c>
      <c r="F65">
        <f ca="1">OFFSET(Sheet2!H$3,(ROW(F66))*3,0)</f>
        <v>0</v>
      </c>
      <c r="G65" t="str">
        <f ca="1">OFFSET(Sheet2!I$3,(ROW(G66))*3,0)</f>
        <v>WEEKLY</v>
      </c>
      <c r="H65">
        <f ca="1">OFFSET(Sheet2!J$3,(ROW(H66))*3,0)</f>
        <v>245</v>
      </c>
      <c r="I65" t="str">
        <f ca="1">OFFSET(Sheet2!K$3,(ROW(I66))*3,0)</f>
        <v>Recommendation</v>
      </c>
      <c r="J65" t="str">
        <f ca="1">OFFSET(Sheet2!L$3,(ROW(J66))*3,0)</f>
        <v>Needs to be changed</v>
      </c>
      <c r="K65" t="str">
        <f ca="1">OFFSET(Sheet2!M$3,(ROW(K66))*3,0)</f>
        <v>No service needed, looks good, maintain</v>
      </c>
      <c r="L65" t="str">
        <f ca="1">OFFSET(Sheet2!N$3,(ROW(L66))*3,0)</f>
        <v>No adjustment needed, looks good, maintain</v>
      </c>
      <c r="M65" t="str">
        <f ca="1">OFFSET(Sheet2!O$3,(ROW(M66))*3,0)</f>
        <v>Will need to be cleaned next week</v>
      </c>
      <c r="N65" t="str">
        <f ca="1">OFFSET(Sheet2!P$3,(ROW(N66))*3,0)</f>
        <v>No service needed, looks good, maintain</v>
      </c>
      <c r="O65" t="str">
        <f ca="1">OFFSET(Sheet2!Q$3,(ROW(O66))*3,0)</f>
        <v>No service needed, looks good, maintain</v>
      </c>
      <c r="P65">
        <f ca="1">OFFSET(Sheet2!R$3,(ROW(P66))*3,0)</f>
        <v>0</v>
      </c>
      <c r="Q65">
        <f ca="1">OFFSET(Sheet2!S$3,(ROW(Q66))*3,0)</f>
        <v>0</v>
      </c>
      <c r="R65">
        <f ca="1">OFFSET(Sheet2!T$3,(ROW(R66))*3,0)</f>
        <v>0</v>
      </c>
      <c r="S65">
        <f ca="1">OFFSET(Sheet2!U$2,(ROW(S66))*3,0)</f>
        <v>0</v>
      </c>
      <c r="T65">
        <f ca="1">OFFSET(Sheet2!V$2,(ROW(T66))*3,0)</f>
        <v>0</v>
      </c>
    </row>
    <row r="66" spans="1:20" x14ac:dyDescent="0.35">
      <c r="A66">
        <f ca="1">OFFSET(Sheet2!B$3,(ROW(A67))*3,0)</f>
        <v>43892</v>
      </c>
      <c r="B66">
        <f ca="1">OFFSET(Sheet2!C$3,(ROW(B67))*3,0)</f>
        <v>13</v>
      </c>
      <c r="C66" t="str">
        <f ca="1">OFFSET(Sheet2!D$3,(ROW(C67))*3,0)</f>
        <v>North</v>
      </c>
      <c r="D66" t="str">
        <f ca="1">OFFSET(Sheet2!F$3,(ROW(D67))*3,0)</f>
        <v>Mutenyo Alex</v>
      </c>
      <c r="E66" t="str">
        <f ca="1">OFFSET(Sheet2!G$3,(ROW(E67))*3,0)</f>
        <v>Control</v>
      </c>
      <c r="F66">
        <f ca="1">OFFSET(Sheet2!H$3,(ROW(F67))*3,0)</f>
        <v>0</v>
      </c>
      <c r="G66" t="str">
        <f ca="1">OFFSET(Sheet2!I$3,(ROW(G67))*3,0)</f>
        <v>WEEKLY</v>
      </c>
      <c r="H66">
        <f ca="1">OFFSET(Sheet2!J$3,(ROW(H67))*3,0)</f>
        <v>253</v>
      </c>
      <c r="I66" t="str">
        <f ca="1">OFFSET(Sheet2!K$3,(ROW(I67))*3,0)</f>
        <v>Recommendation</v>
      </c>
      <c r="J66" t="str">
        <f ca="1">OFFSET(Sheet2!L$3,(ROW(J67))*3,0)</f>
        <v>Needs to be changed</v>
      </c>
      <c r="K66" t="str">
        <f ca="1">OFFSET(Sheet2!M$3,(ROW(K67))*3,0)</f>
        <v>Monitor, needs to be serviced soon</v>
      </c>
      <c r="L66" t="str">
        <f ca="1">OFFSET(Sheet2!N$3,(ROW(L67))*3,0)</f>
        <v>No adjustment needed, looks good, maintain</v>
      </c>
      <c r="M66" t="str">
        <f ca="1">OFFSET(Sheet2!O$3,(ROW(M67))*3,0)</f>
        <v>Needs to be cleaned</v>
      </c>
      <c r="N66" t="str">
        <f ca="1">OFFSET(Sheet2!P$3,(ROW(N67))*3,0)</f>
        <v>Monitor closely, will need to be changed soon</v>
      </c>
      <c r="O66" t="str">
        <f ca="1">OFFSET(Sheet2!Q$3,(ROW(O67))*3,0)</f>
        <v>No service needed, looks good, maintain</v>
      </c>
      <c r="P66">
        <f ca="1">OFFSET(Sheet2!R$3,(ROW(P67))*3,0)</f>
        <v>0</v>
      </c>
      <c r="Q66">
        <f ca="1">OFFSET(Sheet2!S$3,(ROW(Q67))*3,0)</f>
        <v>0</v>
      </c>
      <c r="R66">
        <f ca="1">OFFSET(Sheet2!T$3,(ROW(R67))*3,0)</f>
        <v>0</v>
      </c>
      <c r="S66">
        <f ca="1">OFFSET(Sheet2!U$2,(ROW(S67))*3,0)</f>
        <v>0</v>
      </c>
      <c r="T66">
        <f ca="1">OFFSET(Sheet2!V$2,(ROW(T67))*3,0)</f>
        <v>0</v>
      </c>
    </row>
    <row r="67" spans="1:20" x14ac:dyDescent="0.35">
      <c r="A67">
        <f ca="1">OFFSET(Sheet2!B$3,(ROW(A68))*3,0)</f>
        <v>43898</v>
      </c>
      <c r="B67">
        <f ca="1">OFFSET(Sheet2!C$3,(ROW(B68))*3,0)</f>
        <v>13</v>
      </c>
      <c r="C67" t="str">
        <f ca="1">OFFSET(Sheet2!D$3,(ROW(C68))*3,0)</f>
        <v>North</v>
      </c>
      <c r="D67" t="str">
        <f ca="1">OFFSET(Sheet2!F$3,(ROW(D68))*3,0)</f>
        <v>Mutenyo Alex</v>
      </c>
      <c r="E67" t="str">
        <f ca="1">OFFSET(Sheet2!G$3,(ROW(E68))*3,0)</f>
        <v>Control</v>
      </c>
      <c r="F67">
        <f ca="1">OFFSET(Sheet2!H$3,(ROW(F68))*3,0)</f>
        <v>0</v>
      </c>
      <c r="G67" t="str">
        <f ca="1">OFFSET(Sheet2!I$3,(ROW(G68))*3,0)</f>
        <v>WEEKLY</v>
      </c>
      <c r="H67">
        <f ca="1">OFFSET(Sheet2!J$3,(ROW(H68))*3,0)</f>
        <v>259</v>
      </c>
      <c r="I67" t="str">
        <f ca="1">OFFSET(Sheet2!K$3,(ROW(I68))*3,0)</f>
        <v>Recommendation</v>
      </c>
      <c r="J67" t="str">
        <f ca="1">OFFSET(Sheet2!L$3,(ROW(J68))*3,0)</f>
        <v>Needs to be changed</v>
      </c>
      <c r="K67" t="str">
        <f ca="1">OFFSET(Sheet2!M$3,(ROW(K68))*3,0)</f>
        <v>Needs to be cleaned</v>
      </c>
      <c r="L67" t="str">
        <f ca="1">OFFSET(Sheet2!N$3,(ROW(L68))*3,0)</f>
        <v>Needs adjustment</v>
      </c>
      <c r="M67" t="str">
        <f ca="1">OFFSET(Sheet2!O$3,(ROW(M68))*3,0)</f>
        <v>Needs to be cleaned</v>
      </c>
      <c r="N67" t="str">
        <f ca="1">OFFSET(Sheet2!P$3,(ROW(N68))*3,0)</f>
        <v>No service needed, looks good, maintain</v>
      </c>
      <c r="O67" t="str">
        <f ca="1">OFFSET(Sheet2!Q$3,(ROW(O68))*3,0)</f>
        <v>No service needed, looks good, maintain</v>
      </c>
      <c r="P67">
        <f ca="1">OFFSET(Sheet2!R$3,(ROW(P68))*3,0)</f>
        <v>0</v>
      </c>
      <c r="Q67">
        <f ca="1">OFFSET(Sheet2!S$3,(ROW(Q68))*3,0)</f>
        <v>0</v>
      </c>
      <c r="R67">
        <f ca="1">OFFSET(Sheet2!T$3,(ROW(R68))*3,0)</f>
        <v>0</v>
      </c>
      <c r="S67">
        <f ca="1">OFFSET(Sheet2!U$2,(ROW(S68))*3,0)</f>
        <v>0</v>
      </c>
      <c r="T67">
        <f ca="1">OFFSET(Sheet2!V$2,(ROW(T68))*3,0)</f>
        <v>0</v>
      </c>
    </row>
    <row r="68" spans="1:20" x14ac:dyDescent="0.35">
      <c r="A68">
        <f ca="1">OFFSET(Sheet2!B$3,(ROW(A69))*3,0)</f>
        <v>43841</v>
      </c>
      <c r="B68">
        <f ca="1">OFFSET(Sheet2!C$3,(ROW(B69))*3,0)</f>
        <v>14</v>
      </c>
      <c r="C68" t="str">
        <f ca="1">OFFSET(Sheet2!D$3,(ROW(C69))*3,0)</f>
        <v>North</v>
      </c>
      <c r="D68" t="str">
        <f ca="1">OFFSET(Sheet2!F$3,(ROW(D69))*3,0)</f>
        <v>Nashimolo Fred</v>
      </c>
      <c r="E68" t="str">
        <f ca="1">OFFSET(Sheet2!G$3,(ROW(E69))*3,0)</f>
        <v>Control</v>
      </c>
      <c r="F68">
        <f ca="1">OFFSET(Sheet2!H$3,(ROW(F69))*3,0)</f>
        <v>0</v>
      </c>
      <c r="G68" t="str">
        <f ca="1">OFFSET(Sheet2!I$3,(ROW(G69))*3,0)</f>
        <v>Comprehensive</v>
      </c>
      <c r="H68">
        <f ca="1">OFFSET(Sheet2!J$3,(ROW(H69))*3,0)</f>
        <v>26</v>
      </c>
      <c r="I68" t="str">
        <f ca="1">OFFSET(Sheet2!K$3,(ROW(I69))*3,0)</f>
        <v>Recommendation</v>
      </c>
      <c r="J68" t="str">
        <f ca="1">OFFSET(Sheet2!L$3,(ROW(J69))*3,0)</f>
        <v>Has to be changed</v>
      </c>
      <c r="K68" t="str">
        <f ca="1">OFFSET(Sheet2!M$3,(ROW(K69))*3,0)</f>
        <v>Keep it up</v>
      </c>
      <c r="L68" t="str">
        <f ca="1">OFFSET(Sheet2!N$3,(ROW(L69))*3,0)</f>
        <v>Maintain the care</v>
      </c>
      <c r="M68" t="str">
        <f ca="1">OFFSET(Sheet2!O$3,(ROW(M69))*3,0)</f>
        <v>Clean it weekly</v>
      </c>
      <c r="N68" t="str">
        <f ca="1">OFFSET(Sheet2!P$3,(ROW(N69))*3,0)</f>
        <v>Monitor closely</v>
      </c>
      <c r="O68" t="str">
        <f ca="1">OFFSET(Sheet2!Q$3,(ROW(O69))*3,0)</f>
        <v>Monitor closely</v>
      </c>
      <c r="P68" t="str">
        <f ca="1">OFFSET(Sheet2!R$3,(ROW(P69))*3,0)</f>
        <v>Observed abnormal sound and smoke</v>
      </c>
      <c r="Q68" t="str">
        <f ca="1">OFFSET(Sheet2!S$3,(ROW(Q69))*3,0)</f>
        <v>maintain inspection</v>
      </c>
      <c r="R68" t="str">
        <f ca="1">OFFSET(Sheet2!T$3,(ROW(R69))*3,0)</f>
        <v>Clean it once in the while</v>
      </c>
      <c r="S68">
        <f ca="1">OFFSET(Sheet2!U$2,(ROW(S69))*3,0)</f>
        <v>0</v>
      </c>
      <c r="T68">
        <f ca="1">OFFSET(Sheet2!V$2,(ROW(T69))*3,0)</f>
        <v>0</v>
      </c>
    </row>
    <row r="69" spans="1:20" x14ac:dyDescent="0.35">
      <c r="A69" t="str">
        <f ca="1">OFFSET(Sheet2!B$3,(ROW(A70))*3,0)</f>
        <v>24/1/2020</v>
      </c>
      <c r="B69">
        <f ca="1">OFFSET(Sheet2!C$3,(ROW(B70))*3,0)</f>
        <v>14</v>
      </c>
      <c r="C69" t="str">
        <f ca="1">OFFSET(Sheet2!D$3,(ROW(C70))*3,0)</f>
        <v>North</v>
      </c>
      <c r="D69" t="str">
        <f ca="1">OFFSET(Sheet2!F$3,(ROW(D70))*3,0)</f>
        <v>Nashimolo Fred</v>
      </c>
      <c r="E69" t="str">
        <f ca="1">OFFSET(Sheet2!G$3,(ROW(E70))*3,0)</f>
        <v>Control</v>
      </c>
      <c r="F69">
        <f ca="1">OFFSET(Sheet2!H$3,(ROW(F70))*3,0)</f>
        <v>0</v>
      </c>
      <c r="G69" t="str">
        <f ca="1">OFFSET(Sheet2!I$3,(ROW(G70))*3,0)</f>
        <v>weekly</v>
      </c>
      <c r="H69">
        <f ca="1">OFFSET(Sheet2!J$3,(ROW(H70))*3,0)</f>
        <v>18</v>
      </c>
      <c r="I69" t="str">
        <f ca="1">OFFSET(Sheet2!K$3,(ROW(I70))*3,0)</f>
        <v>Recommendation</v>
      </c>
      <c r="J69" t="str">
        <f ca="1">OFFSET(Sheet2!L$3,(ROW(J70))*3,0)</f>
        <v xml:space="preserve">Change at least weekly </v>
      </c>
      <c r="K69" t="str">
        <f ca="1">OFFSET(Sheet2!M$3,(ROW(K70))*3,0)</f>
        <v>Keep monitoring</v>
      </c>
      <c r="L69" t="str">
        <f ca="1">OFFSET(Sheet2!N$3,(ROW(L70))*3,0)</f>
        <v>Monitor for any looseness</v>
      </c>
      <c r="M69" t="str">
        <f ca="1">OFFSET(Sheet2!O$3,(ROW(M70))*3,0)</f>
        <v>Clean periodically</v>
      </c>
      <c r="N69" t="str">
        <f ca="1">OFFSET(Sheet2!P$3,(ROW(N70))*3,0)</f>
        <v>Monitor closely</v>
      </c>
      <c r="O69" t="str">
        <f ca="1">OFFSET(Sheet2!Q$3,(ROW(O70))*3,0)</f>
        <v>Maintain</v>
      </c>
      <c r="P69">
        <f ca="1">OFFSET(Sheet2!R$3,(ROW(P70))*3,0)</f>
        <v>0</v>
      </c>
      <c r="Q69">
        <f ca="1">OFFSET(Sheet2!S$3,(ROW(Q70))*3,0)</f>
        <v>0</v>
      </c>
      <c r="R69">
        <f ca="1">OFFSET(Sheet2!T$3,(ROW(R70))*3,0)</f>
        <v>0</v>
      </c>
      <c r="S69">
        <f ca="1">OFFSET(Sheet2!U$2,(ROW(S70))*3,0)</f>
        <v>0</v>
      </c>
      <c r="T69">
        <f ca="1">OFFSET(Sheet2!V$2,(ROW(T70))*3,0)</f>
        <v>0</v>
      </c>
    </row>
    <row r="70" spans="1:20" x14ac:dyDescent="0.35">
      <c r="A70" t="str">
        <f ca="1">OFFSET(Sheet2!B$3,(ROW(A71))*3,0)</f>
        <v>31/1/2020</v>
      </c>
      <c r="B70">
        <f ca="1">OFFSET(Sheet2!C$3,(ROW(B71))*3,0)</f>
        <v>14</v>
      </c>
      <c r="C70" t="str">
        <f ca="1">OFFSET(Sheet2!D$3,(ROW(C71))*3,0)</f>
        <v>North</v>
      </c>
      <c r="D70" t="str">
        <f ca="1">OFFSET(Sheet2!F$3,(ROW(D71))*3,0)</f>
        <v>Nashimolo Fred</v>
      </c>
      <c r="E70" t="str">
        <f ca="1">OFFSET(Sheet2!G$3,(ROW(E71))*3,0)</f>
        <v>Control</v>
      </c>
      <c r="F70">
        <f ca="1">OFFSET(Sheet2!H$3,(ROW(F71))*3,0)</f>
        <v>0</v>
      </c>
      <c r="G70" t="str">
        <f ca="1">OFFSET(Sheet2!I$3,(ROW(G71))*3,0)</f>
        <v>weekly</v>
      </c>
      <c r="H70">
        <f ca="1">OFFSET(Sheet2!J$3,(ROW(H71))*3,0)</f>
        <v>60</v>
      </c>
      <c r="I70" t="str">
        <f ca="1">OFFSET(Sheet2!K$3,(ROW(I71))*3,0)</f>
        <v>Recommendation</v>
      </c>
      <c r="J70" t="str">
        <f ca="1">OFFSET(Sheet2!L$3,(ROW(J71))*3,0)</f>
        <v>Needs to be changed</v>
      </c>
      <c r="K70" t="str">
        <f ca="1">OFFSET(Sheet2!M$3,(ROW(K71))*3,0)</f>
        <v>Monitor closely</v>
      </c>
      <c r="L70" t="str">
        <f ca="1">OFFSET(Sheet2!N$3,(ROW(L71))*3,0)</f>
        <v>Inspect for any unusual functioning</v>
      </c>
      <c r="M70" t="str">
        <f ca="1">OFFSET(Sheet2!O$3,(ROW(M71))*3,0)</f>
        <v>Clean weekly</v>
      </c>
      <c r="N70" t="str">
        <f ca="1">OFFSET(Sheet2!P$3,(ROW(N71))*3,0)</f>
        <v>Watch closely</v>
      </c>
      <c r="O70" t="str">
        <f ca="1">OFFSET(Sheet2!Q$3,(ROW(O71))*3,0)</f>
        <v>Maintain</v>
      </c>
      <c r="P70" t="str">
        <f ca="1">OFFSET(Sheet2!R$3,(ROW(P71))*3,0)</f>
        <v>Keep close inspection</v>
      </c>
      <c r="Q70" t="str">
        <f ca="1">OFFSET(Sheet2!S$3,(ROW(Q71))*3,0)</f>
        <v>monitor closely</v>
      </c>
      <c r="R70" t="str">
        <f ca="1">OFFSET(Sheet2!T$3,(ROW(R71))*3,0)</f>
        <v>Keep it up</v>
      </c>
      <c r="S70">
        <f ca="1">OFFSET(Sheet2!U$2,(ROW(S71))*3,0)</f>
        <v>0</v>
      </c>
      <c r="T70">
        <f ca="1">OFFSET(Sheet2!V$2,(ROW(T71))*3,0)</f>
        <v>0</v>
      </c>
    </row>
    <row r="71" spans="1:20" x14ac:dyDescent="0.35">
      <c r="A71" t="str">
        <f ca="1">OFFSET(Sheet2!B$3,(ROW(A72))*3,0)</f>
        <v>16/01/2020</v>
      </c>
      <c r="B71">
        <f ca="1">OFFSET(Sheet2!C$3,(ROW(B72))*3,0)</f>
        <v>15</v>
      </c>
      <c r="C71" t="str">
        <f ca="1">OFFSET(Sheet2!D$3,(ROW(C72))*3,0)</f>
        <v>North</v>
      </c>
      <c r="D71" t="str">
        <f ca="1">OFFSET(Sheet2!F$3,(ROW(D72))*3,0)</f>
        <v>NABWAMBI MICHEAL</v>
      </c>
      <c r="E71" t="str">
        <f ca="1">OFFSET(Sheet2!G$3,(ROW(E72))*3,0)</f>
        <v>H2Go</v>
      </c>
      <c r="F71">
        <f ca="1">OFFSET(Sheet2!H$3,(ROW(F72))*3,0)</f>
        <v>0</v>
      </c>
      <c r="G71" t="str">
        <f ca="1">OFFSET(Sheet2!I$3,(ROW(G72))*3,0)</f>
        <v>Comprehensive</v>
      </c>
      <c r="H71">
        <f ca="1">OFFSET(Sheet2!J$3,(ROW(H72))*3,0)</f>
        <v>22</v>
      </c>
      <c r="I71" t="str">
        <f ca="1">OFFSET(Sheet2!K$3,(ROW(I72))*3,0)</f>
        <v>Recommendation</v>
      </c>
      <c r="J71" t="str">
        <f ca="1">OFFSET(Sheet2!L$3,(ROW(J72))*3,0)</f>
        <v xml:space="preserve">Change at least week </v>
      </c>
      <c r="K71" t="str">
        <f ca="1">OFFSET(Sheet2!M$3,(ROW(K72))*3,0)</f>
        <v>Needs cleaning</v>
      </c>
      <c r="L71" t="str">
        <f ca="1">OFFSET(Sheet2!N$3,(ROW(L72))*3,0)</f>
        <v>Needs setting</v>
      </c>
      <c r="M71" t="str">
        <f ca="1">OFFSET(Sheet2!O$3,(ROW(M72))*3,0)</f>
        <v>Has to be cleaned</v>
      </c>
      <c r="N71" t="str">
        <f ca="1">OFFSET(Sheet2!P$3,(ROW(N72))*3,0)</f>
        <v>Maintain while monitoring</v>
      </c>
      <c r="O71" t="str">
        <f ca="1">OFFSET(Sheet2!Q$3,(ROW(O72))*3,0)</f>
        <v>maintain</v>
      </c>
      <c r="P71" t="str">
        <f ca="1">OFFSET(Sheet2!R$3,(ROW(P72))*3,0)</f>
        <v>Keep close inspection</v>
      </c>
      <c r="Q71" t="str">
        <f ca="1">OFFSET(Sheet2!S$3,(ROW(Q72))*3,0)</f>
        <v>maintain</v>
      </c>
      <c r="R71" t="str">
        <f ca="1">OFFSET(Sheet2!T$3,(ROW(R72))*3,0)</f>
        <v>Maintain but needs to changed</v>
      </c>
      <c r="S71">
        <f ca="1">OFFSET(Sheet2!U$2,(ROW(S72))*3,0)</f>
        <v>0</v>
      </c>
      <c r="T71">
        <f ca="1">OFFSET(Sheet2!V$2,(ROW(T72))*3,0)</f>
        <v>0</v>
      </c>
    </row>
    <row r="72" spans="1:20" x14ac:dyDescent="0.35">
      <c r="A72" t="str">
        <f ca="1">OFFSET(Sheet2!B$3,(ROW(A73))*3,0)</f>
        <v>24/1/2020</v>
      </c>
      <c r="B72">
        <f ca="1">OFFSET(Sheet2!C$3,(ROW(B73))*3,0)</f>
        <v>15</v>
      </c>
      <c r="C72" t="str">
        <f ca="1">OFFSET(Sheet2!D$3,(ROW(C73))*3,0)</f>
        <v>North</v>
      </c>
      <c r="D72" t="str">
        <f ca="1">OFFSET(Sheet2!F$3,(ROW(D73))*3,0)</f>
        <v>NABWAMBI MICHEAL</v>
      </c>
      <c r="E72" t="str">
        <f ca="1">OFFSET(Sheet2!G$3,(ROW(E73))*3,0)</f>
        <v>H2Go</v>
      </c>
      <c r="F72">
        <f ca="1">OFFSET(Sheet2!H$3,(ROW(F73))*3,0)</f>
        <v>0</v>
      </c>
      <c r="G72" t="str">
        <f ca="1">OFFSET(Sheet2!I$3,(ROW(G73))*3,0)</f>
        <v>weekly</v>
      </c>
      <c r="H72">
        <f ca="1">OFFSET(Sheet2!J$3,(ROW(H73))*3,0)</f>
        <v>15</v>
      </c>
      <c r="I72" t="str">
        <f ca="1">OFFSET(Sheet2!K$3,(ROW(I73))*3,0)</f>
        <v>Recommendation</v>
      </c>
      <c r="J72" t="str">
        <f ca="1">OFFSET(Sheet2!L$3,(ROW(J73))*3,0)</f>
        <v>Change weekly</v>
      </c>
      <c r="K72" t="str">
        <f ca="1">OFFSET(Sheet2!M$3,(ROW(K73))*3,0)</f>
        <v>Monitor closely</v>
      </c>
      <c r="L72" t="str">
        <f ca="1">OFFSET(Sheet2!N$3,(ROW(L73))*3,0)</f>
        <v>Needs setting</v>
      </c>
      <c r="M72" t="str">
        <f ca="1">OFFSET(Sheet2!O$3,(ROW(M73))*3,0)</f>
        <v>Maintain</v>
      </c>
      <c r="N72" t="str">
        <f ca="1">OFFSET(Sheet2!P$3,(ROW(N73))*3,0)</f>
        <v>Needs to be changed</v>
      </c>
      <c r="O72" t="str">
        <f ca="1">OFFSET(Sheet2!Q$3,(ROW(O73))*3,0)</f>
        <v>Maintain</v>
      </c>
      <c r="P72">
        <f ca="1">OFFSET(Sheet2!R$3,(ROW(P73))*3,0)</f>
        <v>0</v>
      </c>
      <c r="Q72">
        <f ca="1">OFFSET(Sheet2!S$3,(ROW(Q73))*3,0)</f>
        <v>0</v>
      </c>
      <c r="R72">
        <f ca="1">OFFSET(Sheet2!T$3,(ROW(R73))*3,0)</f>
        <v>0</v>
      </c>
      <c r="S72">
        <f ca="1">OFFSET(Sheet2!U$2,(ROW(S73))*3,0)</f>
        <v>0</v>
      </c>
      <c r="T72">
        <f ca="1">OFFSET(Sheet2!V$2,(ROW(T73))*3,0)</f>
        <v>0</v>
      </c>
    </row>
    <row r="73" spans="1:20" x14ac:dyDescent="0.35">
      <c r="A73">
        <f ca="1">OFFSET(Sheet2!B$3,(ROW(A74))*3,0)</f>
        <v>43868</v>
      </c>
      <c r="B73">
        <f ca="1">OFFSET(Sheet2!C$3,(ROW(B74))*3,0)</f>
        <v>15</v>
      </c>
      <c r="C73" t="str">
        <f ca="1">OFFSET(Sheet2!D$3,(ROW(C74))*3,0)</f>
        <v>North</v>
      </c>
      <c r="D73" t="str">
        <f ca="1">OFFSET(Sheet2!F$3,(ROW(D74))*3,0)</f>
        <v>NABWAMBI MICHEAL</v>
      </c>
      <c r="E73" t="str">
        <f ca="1">OFFSET(Sheet2!G$3,(ROW(E74))*3,0)</f>
        <v>Control</v>
      </c>
      <c r="F73">
        <f ca="1">OFFSET(Sheet2!H$3,(ROW(F74))*3,0)</f>
        <v>0</v>
      </c>
      <c r="G73" t="str">
        <f ca="1">OFFSET(Sheet2!I$3,(ROW(G74))*3,0)</f>
        <v>WEEKLY</v>
      </c>
      <c r="H73">
        <f ca="1">OFFSET(Sheet2!J$3,(ROW(H74))*3,0)</f>
        <v>265</v>
      </c>
      <c r="I73" t="str">
        <f ca="1">OFFSET(Sheet2!K$3,(ROW(I74))*3,0)</f>
        <v>Recommendation</v>
      </c>
      <c r="J73" t="str">
        <f ca="1">OFFSET(Sheet2!L$3,(ROW(J74))*3,0)</f>
        <v>Requires changing</v>
      </c>
      <c r="K73" t="str">
        <f ca="1">OFFSET(Sheet2!M$3,(ROW(K74))*3,0)</f>
        <v>Regular cleaning</v>
      </c>
      <c r="L73" t="str">
        <f ca="1">OFFSET(Sheet2!N$3,(ROW(L74))*3,0)</f>
        <v>Requires tightening</v>
      </c>
      <c r="M73" t="str">
        <f ca="1">OFFSET(Sheet2!O$3,(ROW(M74))*3,0)</f>
        <v>Regular check up required</v>
      </c>
      <c r="N73" t="str">
        <f ca="1">OFFSET(Sheet2!P$3,(ROW(N74))*3,0)</f>
        <v>Check up reqired</v>
      </c>
      <c r="O73" t="str">
        <f ca="1">OFFSET(Sheet2!Q$3,(ROW(O74))*3,0)</f>
        <v>Regular inspection required</v>
      </c>
      <c r="P73" t="str">
        <f ca="1">OFFSET(Sheet2!R$3,(ROW(P74))*3,0)</f>
        <v>Maintain</v>
      </c>
      <c r="Q73" t="str">
        <f ca="1">OFFSET(Sheet2!S$3,(ROW(Q74))*3,0)</f>
        <v>Regular check up</v>
      </c>
      <c r="R73" t="str">
        <f ca="1">OFFSET(Sheet2!T$3,(ROW(R74))*3,0)</f>
        <v>Check up required</v>
      </c>
      <c r="S73">
        <f ca="1">OFFSET(Sheet2!U$2,(ROW(S74))*3,0)</f>
        <v>0</v>
      </c>
      <c r="T73">
        <f ca="1">OFFSET(Sheet2!V$2,(ROW(T74))*3,0)</f>
        <v>0</v>
      </c>
    </row>
    <row r="74" spans="1:20" x14ac:dyDescent="0.35">
      <c r="A74">
        <f ca="1">OFFSET(Sheet2!B$3,(ROW(A75))*3,0)</f>
        <v>43878</v>
      </c>
      <c r="B74">
        <f ca="1">OFFSET(Sheet2!C$3,(ROW(B75))*3,0)</f>
        <v>15</v>
      </c>
      <c r="C74" t="str">
        <f ca="1">OFFSET(Sheet2!D$3,(ROW(C75))*3,0)</f>
        <v>North</v>
      </c>
      <c r="D74" t="str">
        <f ca="1">OFFSET(Sheet2!F$3,(ROW(D75))*3,0)</f>
        <v>NABWAMBI MICHEAL</v>
      </c>
      <c r="E74" t="str">
        <f ca="1">OFFSET(Sheet2!G$3,(ROW(E75))*3,0)</f>
        <v>Control</v>
      </c>
      <c r="F74">
        <f ca="1">OFFSET(Sheet2!H$3,(ROW(F75))*3,0)</f>
        <v>0</v>
      </c>
      <c r="G74" t="str">
        <f ca="1">OFFSET(Sheet2!I$3,(ROW(G75))*3,0)</f>
        <v>WEEKLY</v>
      </c>
      <c r="H74">
        <f ca="1">OFFSET(Sheet2!J$3,(ROW(H75))*3,0)</f>
        <v>224</v>
      </c>
      <c r="I74" t="str">
        <f ca="1">OFFSET(Sheet2!K$3,(ROW(I75))*3,0)</f>
        <v>Recommendation</v>
      </c>
      <c r="J74" t="str">
        <f ca="1">OFFSET(Sheet2!L$3,(ROW(J75))*3,0)</f>
        <v>Needs to be changed</v>
      </c>
      <c r="K74" t="str">
        <f ca="1">OFFSET(Sheet2!M$3,(ROW(K75))*3,0)</f>
        <v>No service needed, looks good, maintain</v>
      </c>
      <c r="L74" t="str">
        <f ca="1">OFFSET(Sheet2!N$3,(ROW(L75))*3,0)</f>
        <v>No adjustment needed, looks good, maintain</v>
      </c>
      <c r="M74" t="str">
        <f ca="1">OFFSET(Sheet2!O$3,(ROW(M75))*3,0)</f>
        <v>No service needed, looks good, maintain</v>
      </c>
      <c r="N74" t="str">
        <f ca="1">OFFSET(Sheet2!P$3,(ROW(N75))*3,0)</f>
        <v>Monitor closely, will need to be changed soon</v>
      </c>
      <c r="O74" t="str">
        <f ca="1">OFFSET(Sheet2!Q$3,(ROW(O75))*3,0)</f>
        <v>No service needed, looks good, maintain</v>
      </c>
      <c r="P74">
        <f ca="1">OFFSET(Sheet2!R$3,(ROW(P75))*3,0)</f>
        <v>0</v>
      </c>
      <c r="Q74">
        <f ca="1">OFFSET(Sheet2!S$3,(ROW(Q75))*3,0)</f>
        <v>0</v>
      </c>
      <c r="R74">
        <f ca="1">OFFSET(Sheet2!T$3,(ROW(R75))*3,0)</f>
        <v>0</v>
      </c>
      <c r="S74">
        <f ca="1">OFFSET(Sheet2!U$2,(ROW(S75))*3,0)</f>
        <v>0</v>
      </c>
      <c r="T74">
        <f ca="1">OFFSET(Sheet2!V$2,(ROW(T75))*3,0)</f>
        <v>0</v>
      </c>
    </row>
    <row r="75" spans="1:20" x14ac:dyDescent="0.35">
      <c r="A75">
        <f ca="1">OFFSET(Sheet2!B$3,(ROW(A76))*3,0)</f>
        <v>43841</v>
      </c>
      <c r="B75">
        <f ca="1">OFFSET(Sheet2!C$3,(ROW(B76))*3,0)</f>
        <v>16</v>
      </c>
      <c r="C75" t="str">
        <f ca="1">OFFSET(Sheet2!D$3,(ROW(C76))*3,0)</f>
        <v>South</v>
      </c>
      <c r="D75" t="str">
        <f ca="1">OFFSET(Sheet2!F$3,(ROW(D76))*3,0)</f>
        <v>MASINDE SULAITI</v>
      </c>
      <c r="E75" t="str">
        <f ca="1">OFFSET(Sheet2!G$3,(ROW(E76))*3,0)</f>
        <v>H2Go</v>
      </c>
      <c r="F75">
        <f ca="1">OFFSET(Sheet2!H$3,(ROW(F76))*3,0)</f>
        <v>0</v>
      </c>
      <c r="G75" t="str">
        <f ca="1">OFFSET(Sheet2!I$3,(ROW(G76))*3,0)</f>
        <v>Comprehensive</v>
      </c>
      <c r="H75">
        <f ca="1">OFFSET(Sheet2!J$3,(ROW(H76))*3,0)</f>
        <v>93</v>
      </c>
      <c r="I75" t="str">
        <f ca="1">OFFSET(Sheet2!K$3,(ROW(I76))*3,0)</f>
        <v>Recommendation</v>
      </c>
      <c r="J75" t="str">
        <f ca="1">OFFSET(Sheet2!L$3,(ROW(J76))*3,0)</f>
        <v>needs to be changed weekly</v>
      </c>
      <c r="K75" t="str">
        <f ca="1">OFFSET(Sheet2!M$3,(ROW(K76))*3,0)</f>
        <v>maintain</v>
      </c>
      <c r="L75" t="str">
        <f ca="1">OFFSET(Sheet2!N$3,(ROW(L76))*3,0)</f>
        <v>maintain</v>
      </c>
      <c r="M75" t="str">
        <f ca="1">OFFSET(Sheet2!O$3,(ROW(M76))*3,0)</f>
        <v>maintain</v>
      </c>
      <c r="N75" t="str">
        <f ca="1">OFFSET(Sheet2!P$3,(ROW(N76))*3,0)</f>
        <v>maintain</v>
      </c>
      <c r="O75" t="str">
        <f ca="1">OFFSET(Sheet2!Q$3,(ROW(O76))*3,0)</f>
        <v xml:space="preserve">maintain </v>
      </c>
      <c r="P75" t="str">
        <f ca="1">OFFSET(Sheet2!R$3,(ROW(P76))*3,0)</f>
        <v>maintain</v>
      </c>
      <c r="Q75" t="str">
        <f ca="1">OFFSET(Sheet2!S$3,(ROW(Q76))*3,0)</f>
        <v>maintain</v>
      </c>
      <c r="R75" t="str">
        <f ca="1">OFFSET(Sheet2!T$3,(ROW(R76))*3,0)</f>
        <v>maintain</v>
      </c>
      <c r="S75">
        <f ca="1">OFFSET(Sheet2!U$2,(ROW(S76))*3,0)</f>
        <v>0</v>
      </c>
      <c r="T75">
        <f ca="1">OFFSET(Sheet2!V$2,(ROW(T76))*3,0)</f>
        <v>0</v>
      </c>
    </row>
    <row r="76" spans="1:20" x14ac:dyDescent="0.35">
      <c r="A76">
        <f ca="1">OFFSET(Sheet2!B$3,(ROW(A77))*3,0)</f>
        <v>43855</v>
      </c>
      <c r="B76">
        <f ca="1">OFFSET(Sheet2!C$3,(ROW(B77))*3,0)</f>
        <v>16</v>
      </c>
      <c r="C76" t="str">
        <f ca="1">OFFSET(Sheet2!D$3,(ROW(C77))*3,0)</f>
        <v>South</v>
      </c>
      <c r="D76" t="str">
        <f ca="1">OFFSET(Sheet2!F$3,(ROW(D77))*3,0)</f>
        <v>MASINDE SULAITI</v>
      </c>
      <c r="E76" t="str">
        <f ca="1">OFFSET(Sheet2!G$3,(ROW(E77))*3,0)</f>
        <v>H2Go</v>
      </c>
      <c r="F76">
        <f ca="1">OFFSET(Sheet2!H$3,(ROW(F77))*3,0)</f>
        <v>0</v>
      </c>
      <c r="G76" t="str">
        <f ca="1">OFFSET(Sheet2!I$3,(ROW(G77))*3,0)</f>
        <v>WEEKLY</v>
      </c>
      <c r="H76">
        <f ca="1">OFFSET(Sheet2!J$3,(ROW(H77))*3,0)</f>
        <v>63</v>
      </c>
      <c r="I76" t="str">
        <f ca="1">OFFSET(Sheet2!K$3,(ROW(I77))*3,0)</f>
        <v>Recommendation</v>
      </c>
      <c r="J76" t="str">
        <f ca="1">OFFSET(Sheet2!L$3,(ROW(J77))*3,0)</f>
        <v>change weekly</v>
      </c>
      <c r="K76" t="str">
        <f ca="1">OFFSET(Sheet2!M$3,(ROW(K77))*3,0)</f>
        <v>WEEKLY TO BE DONE ATLEAST</v>
      </c>
      <c r="L76" t="str">
        <f ca="1">OFFSET(Sheet2!N$3,(ROW(L77))*3,0)</f>
        <v>GOOD</v>
      </c>
      <c r="M76" t="str">
        <f ca="1">OFFSET(Sheet2!O$3,(ROW(M77))*3,0)</f>
        <v>GOOD</v>
      </c>
      <c r="N76" t="str">
        <f ca="1">OFFSET(Sheet2!P$3,(ROW(N77))*3,0)</f>
        <v>GOOD</v>
      </c>
      <c r="O76" t="str">
        <f ca="1">OFFSET(Sheet2!Q$3,(ROW(O77))*3,0)</f>
        <v>NEEDS TO BE CHECKED ATLEAST WEEKLY</v>
      </c>
      <c r="P76">
        <f ca="1">OFFSET(Sheet2!R$3,(ROW(P77))*3,0)</f>
        <v>0</v>
      </c>
      <c r="Q76">
        <f ca="1">OFFSET(Sheet2!S$3,(ROW(Q77))*3,0)</f>
        <v>0</v>
      </c>
      <c r="R76">
        <f ca="1">OFFSET(Sheet2!T$3,(ROW(R77))*3,0)</f>
        <v>0</v>
      </c>
      <c r="S76">
        <f ca="1">OFFSET(Sheet2!U$2,(ROW(S77))*3,0)</f>
        <v>0</v>
      </c>
      <c r="T76">
        <f ca="1">OFFSET(Sheet2!V$2,(ROW(T77))*3,0)</f>
        <v>0</v>
      </c>
    </row>
    <row r="77" spans="1:20" x14ac:dyDescent="0.35">
      <c r="A77">
        <f ca="1">OFFSET(Sheet2!B$3,(ROW(A78))*3,0)</f>
        <v>43862</v>
      </c>
      <c r="B77">
        <f ca="1">OFFSET(Sheet2!C$3,(ROW(B78))*3,0)</f>
        <v>16</v>
      </c>
      <c r="C77" t="str">
        <f ca="1">OFFSET(Sheet2!D$3,(ROW(C78))*3,0)</f>
        <v>South</v>
      </c>
      <c r="D77" t="str">
        <f ca="1">OFFSET(Sheet2!F$3,(ROW(D78))*3,0)</f>
        <v>MASINDE SULAITI</v>
      </c>
      <c r="E77" t="str">
        <f ca="1">OFFSET(Sheet2!G$3,(ROW(E78))*3,0)</f>
        <v>H2Go</v>
      </c>
      <c r="F77">
        <f ca="1">OFFSET(Sheet2!H$3,(ROW(F78))*3,0)</f>
        <v>0</v>
      </c>
      <c r="G77" t="str">
        <f ca="1">OFFSET(Sheet2!I$3,(ROW(G78))*3,0)</f>
        <v>WEEKLY</v>
      </c>
      <c r="H77">
        <f ca="1">OFFSET(Sheet2!J$3,(ROW(H78))*3,0)</f>
        <v>89</v>
      </c>
      <c r="I77" t="str">
        <f ca="1">OFFSET(Sheet2!K$3,(ROW(I78))*3,0)</f>
        <v>Recommendation</v>
      </c>
      <c r="J77" t="str">
        <f ca="1">OFFSET(Sheet2!L$3,(ROW(J78))*3,0)</f>
        <v>CHANGE WEEKLY</v>
      </c>
      <c r="K77" t="str">
        <f ca="1">OFFSET(Sheet2!M$3,(ROW(K78))*3,0)</f>
        <v>GOOD</v>
      </c>
      <c r="L77" t="str">
        <f ca="1">OFFSET(Sheet2!N$3,(ROW(L78))*3,0)</f>
        <v>GOOD</v>
      </c>
      <c r="M77" t="str">
        <f ca="1">OFFSET(Sheet2!O$3,(ROW(M78))*3,0)</f>
        <v>GOOD</v>
      </c>
      <c r="N77" t="str">
        <f ca="1">OFFSET(Sheet2!P$3,(ROW(N78))*3,0)</f>
        <v>GOOD</v>
      </c>
      <c r="O77" t="str">
        <f ca="1">OFFSET(Sheet2!Q$3,(ROW(O78))*3,0)</f>
        <v>TO BE CHECKED ATLEAST WEEKLY</v>
      </c>
      <c r="P77">
        <f ca="1">OFFSET(Sheet2!R$3,(ROW(P78))*3,0)</f>
        <v>0</v>
      </c>
      <c r="Q77">
        <f ca="1">OFFSET(Sheet2!S$3,(ROW(Q78))*3,0)</f>
        <v>0</v>
      </c>
      <c r="R77">
        <f ca="1">OFFSET(Sheet2!T$3,(ROW(R78))*3,0)</f>
        <v>0</v>
      </c>
      <c r="S77">
        <f ca="1">OFFSET(Sheet2!U$2,(ROW(S78))*3,0)</f>
        <v>0</v>
      </c>
      <c r="T77">
        <f ca="1">OFFSET(Sheet2!V$2,(ROW(T78))*3,0)</f>
        <v>0</v>
      </c>
    </row>
    <row r="78" spans="1:20" x14ac:dyDescent="0.35">
      <c r="A78">
        <f ca="1">OFFSET(Sheet2!B$3,(ROW(A79))*3,0)</f>
        <v>43848</v>
      </c>
      <c r="B78">
        <f ca="1">OFFSET(Sheet2!C$3,(ROW(B79))*3,0)</f>
        <v>16</v>
      </c>
      <c r="C78" t="str">
        <f ca="1">OFFSET(Sheet2!D$3,(ROW(C79))*3,0)</f>
        <v>South</v>
      </c>
      <c r="D78" t="str">
        <f ca="1">OFFSET(Sheet2!F$3,(ROW(D79))*3,0)</f>
        <v>MASINDE SULAITI</v>
      </c>
      <c r="E78" t="str">
        <f ca="1">OFFSET(Sheet2!G$3,(ROW(E79))*3,0)</f>
        <v>H2Go</v>
      </c>
      <c r="F78">
        <f ca="1">OFFSET(Sheet2!H$3,(ROW(F79))*3,0)</f>
        <v>0</v>
      </c>
      <c r="G78" t="str">
        <f ca="1">OFFSET(Sheet2!I$3,(ROW(G79))*3,0)</f>
        <v>WEEKLY</v>
      </c>
      <c r="H78">
        <f ca="1">OFFSET(Sheet2!J$3,(ROW(H79))*3,0)</f>
        <v>34</v>
      </c>
      <c r="I78" t="str">
        <f ca="1">OFFSET(Sheet2!K$3,(ROW(I79))*3,0)</f>
        <v>Recommendation</v>
      </c>
      <c r="J78" t="str">
        <f ca="1">OFFSET(Sheet2!L$3,(ROW(J79))*3,0)</f>
        <v>change weekly</v>
      </c>
      <c r="K78" t="str">
        <f ca="1">OFFSET(Sheet2!M$3,(ROW(K79))*3,0)</f>
        <v>good service</v>
      </c>
      <c r="L78" t="str">
        <f ca="1">OFFSET(Sheet2!N$3,(ROW(L79))*3,0)</f>
        <v>good</v>
      </c>
      <c r="M78" t="str">
        <f ca="1">OFFSET(Sheet2!O$3,(ROW(M79))*3,0)</f>
        <v>good</v>
      </c>
      <c r="N78" t="str">
        <f ca="1">OFFSET(Sheet2!P$3,(ROW(N79))*3,0)</f>
        <v>NEEDS TO BE CHANGED</v>
      </c>
      <c r="O78" t="str">
        <f ca="1">OFFSET(Sheet2!Q$3,(ROW(O79))*3,0)</f>
        <v>well serviced</v>
      </c>
      <c r="P78">
        <f ca="1">OFFSET(Sheet2!R$3,(ROW(P79))*3,0)</f>
        <v>0</v>
      </c>
      <c r="Q78">
        <f ca="1">OFFSET(Sheet2!S$3,(ROW(Q79))*3,0)</f>
        <v>0</v>
      </c>
      <c r="R78">
        <f ca="1">OFFSET(Sheet2!T$3,(ROW(R79))*3,0)</f>
        <v>0</v>
      </c>
      <c r="S78">
        <f ca="1">OFFSET(Sheet2!U$2,(ROW(S79))*3,0)</f>
        <v>0</v>
      </c>
      <c r="T78">
        <f ca="1">OFFSET(Sheet2!V$2,(ROW(T79))*3,0)</f>
        <v>0</v>
      </c>
    </row>
    <row r="79" spans="1:20" x14ac:dyDescent="0.35">
      <c r="A79">
        <f ca="1">OFFSET(Sheet2!B$3,(ROW(A80))*3,0)</f>
        <v>43869</v>
      </c>
      <c r="B79">
        <f ca="1">OFFSET(Sheet2!C$3,(ROW(B80))*3,0)</f>
        <v>16</v>
      </c>
      <c r="C79" t="str">
        <f ca="1">OFFSET(Sheet2!D$3,(ROW(C80))*3,0)</f>
        <v>South</v>
      </c>
      <c r="D79" t="str">
        <f ca="1">OFFSET(Sheet2!F$3,(ROW(D80))*3,0)</f>
        <v>MASINDE SULAITI</v>
      </c>
      <c r="E79" t="str">
        <f ca="1">OFFSET(Sheet2!G$3,(ROW(E80))*3,0)</f>
        <v>H2Go</v>
      </c>
      <c r="F79">
        <f ca="1">OFFSET(Sheet2!H$3,(ROW(F80))*3,0)</f>
        <v>0</v>
      </c>
      <c r="G79" t="str">
        <f ca="1">OFFSET(Sheet2!I$3,(ROW(G80))*3,0)</f>
        <v>WEEKLY</v>
      </c>
      <c r="H79">
        <f ca="1">OFFSET(Sheet2!J$3,(ROW(H80))*3,0)</f>
        <v>191</v>
      </c>
      <c r="I79" t="str">
        <f ca="1">OFFSET(Sheet2!K$3,(ROW(I80))*3,0)</f>
        <v>Recommendation</v>
      </c>
      <c r="J79" t="str">
        <f ca="1">OFFSET(Sheet2!L$3,(ROW(J80))*3,0)</f>
        <v>change weekly</v>
      </c>
      <c r="K79" t="str">
        <f ca="1">OFFSET(Sheet2!M$3,(ROW(K80))*3,0)</f>
        <v>KEEP IT CHECKED</v>
      </c>
      <c r="L79" t="str">
        <f ca="1">OFFSET(Sheet2!N$3,(ROW(L80))*3,0)</f>
        <v>KEEP IT SET</v>
      </c>
      <c r="M79" t="str">
        <f ca="1">OFFSET(Sheet2!O$3,(ROW(M80))*3,0)</f>
        <v>KEEP IT CHECKED</v>
      </c>
      <c r="N79" t="str">
        <f ca="1">OFFSET(Sheet2!P$3,(ROW(N80))*3,0)</f>
        <v>Keep it clean</v>
      </c>
      <c r="O79" t="str">
        <f ca="1">OFFSET(Sheet2!Q$3,(ROW(O80))*3,0)</f>
        <v>KEEP SERVICING</v>
      </c>
      <c r="P79">
        <f ca="1">OFFSET(Sheet2!R$3,(ROW(P80))*3,0)</f>
        <v>0</v>
      </c>
      <c r="Q79">
        <f ca="1">OFFSET(Sheet2!S$3,(ROW(Q80))*3,0)</f>
        <v>0</v>
      </c>
      <c r="R79">
        <f ca="1">OFFSET(Sheet2!T$3,(ROW(R80))*3,0)</f>
        <v>0</v>
      </c>
      <c r="S79">
        <f ca="1">OFFSET(Sheet2!U$2,(ROW(S80))*3,0)</f>
        <v>0</v>
      </c>
      <c r="T79">
        <f ca="1">OFFSET(Sheet2!V$2,(ROW(T80))*3,0)</f>
        <v>0</v>
      </c>
    </row>
    <row r="80" spans="1:20" x14ac:dyDescent="0.35">
      <c r="A80">
        <f ca="1">OFFSET(Sheet2!B$3,(ROW(A81))*3,0)</f>
        <v>43876</v>
      </c>
      <c r="B80">
        <f ca="1">OFFSET(Sheet2!C$3,(ROW(B81))*3,0)</f>
        <v>16</v>
      </c>
      <c r="C80" t="str">
        <f ca="1">OFFSET(Sheet2!D$3,(ROW(C81))*3,0)</f>
        <v>South</v>
      </c>
      <c r="D80" t="str">
        <f ca="1">OFFSET(Sheet2!F$3,(ROW(D81))*3,0)</f>
        <v>MASINDE SULAITI</v>
      </c>
      <c r="E80" t="str">
        <f ca="1">OFFSET(Sheet2!G$3,(ROW(E81))*3,0)</f>
        <v>H2Go</v>
      </c>
      <c r="F80">
        <f ca="1">OFFSET(Sheet2!H$3,(ROW(F81))*3,0)</f>
        <v>0</v>
      </c>
      <c r="G80" t="str">
        <f ca="1">OFFSET(Sheet2!I$3,(ROW(G81))*3,0)</f>
        <v>WEEKLY</v>
      </c>
      <c r="H80">
        <f ca="1">OFFSET(Sheet2!J$3,(ROW(H81))*3,0)</f>
        <v>128</v>
      </c>
      <c r="I80" t="str">
        <f ca="1">OFFSET(Sheet2!K$3,(ROW(I81))*3,0)</f>
        <v>Recommendation</v>
      </c>
      <c r="J80" t="str">
        <f ca="1">OFFSET(Sheet2!L$3,(ROW(J81))*3,0)</f>
        <v>CHANGE WEEKLY</v>
      </c>
      <c r="K80" t="str">
        <f ca="1">OFFSET(Sheet2!M$3,(ROW(K81))*3,0)</f>
        <v>KEEP IT CHECKED</v>
      </c>
      <c r="L80" t="str">
        <f ca="1">OFFSET(Sheet2!N$3,(ROW(L81))*3,0)</f>
        <v>NEEDS OIL MIRROR REPLACEMENT</v>
      </c>
      <c r="M80" t="str">
        <f ca="1">OFFSET(Sheet2!O$3,(ROW(M81))*3,0)</f>
        <v>Keep it clean</v>
      </c>
      <c r="N80" t="str">
        <f ca="1">OFFSET(Sheet2!P$3,(ROW(N81))*3,0)</f>
        <v>Keep it clean</v>
      </c>
      <c r="O80" t="str">
        <f ca="1">OFFSET(Sheet2!Q$3,(ROW(O81))*3,0)</f>
        <v>KEEP IT MAINTAINED</v>
      </c>
      <c r="P80">
        <f ca="1">OFFSET(Sheet2!R$3,(ROW(P81))*3,0)</f>
        <v>0</v>
      </c>
      <c r="Q80">
        <f ca="1">OFFSET(Sheet2!S$3,(ROW(Q81))*3,0)</f>
        <v>0</v>
      </c>
      <c r="R80">
        <f ca="1">OFFSET(Sheet2!T$3,(ROW(R81))*3,0)</f>
        <v>0</v>
      </c>
      <c r="S80">
        <f ca="1">OFFSET(Sheet2!U$2,(ROW(S81))*3,0)</f>
        <v>0</v>
      </c>
      <c r="T80">
        <f ca="1">OFFSET(Sheet2!V$2,(ROW(T81))*3,0)</f>
        <v>0</v>
      </c>
    </row>
    <row r="81" spans="1:20" x14ac:dyDescent="0.35">
      <c r="A81">
        <f ca="1">OFFSET(Sheet2!B$3,(ROW(A82))*3,0)</f>
        <v>43885</v>
      </c>
      <c r="B81">
        <f ca="1">OFFSET(Sheet2!C$3,(ROW(B82))*3,0)</f>
        <v>16</v>
      </c>
      <c r="C81" t="str">
        <f ca="1">OFFSET(Sheet2!D$3,(ROW(C82))*3,0)</f>
        <v>South</v>
      </c>
      <c r="D81" t="str">
        <f ca="1">OFFSET(Sheet2!F$3,(ROW(D82))*3,0)</f>
        <v>MASINDE SULAITI</v>
      </c>
      <c r="E81" t="str">
        <f ca="1">OFFSET(Sheet2!G$3,(ROW(E82))*3,0)</f>
        <v>H2GO</v>
      </c>
      <c r="F81">
        <f ca="1">OFFSET(Sheet2!H$3,(ROW(F82))*3,0)</f>
        <v>0</v>
      </c>
      <c r="G81" t="str">
        <f ca="1">OFFSET(Sheet2!I$3,(ROW(G82))*3,0)</f>
        <v>WEEKLY</v>
      </c>
      <c r="H81">
        <f ca="1">OFFSET(Sheet2!J$3,(ROW(H82))*3,0)</f>
        <v>149</v>
      </c>
      <c r="I81" t="str">
        <f ca="1">OFFSET(Sheet2!K$3,(ROW(I82))*3,0)</f>
        <v>Recommendation</v>
      </c>
      <c r="J81" t="str">
        <f ca="1">OFFSET(Sheet2!L$3,(ROW(J82))*3,0)</f>
        <v>Needs to be changed</v>
      </c>
      <c r="K81" t="str">
        <f ca="1">OFFSET(Sheet2!M$3,(ROW(K82))*3,0)</f>
        <v>Needs to be cleaned</v>
      </c>
      <c r="L81" t="str">
        <f ca="1">OFFSET(Sheet2!N$3,(ROW(L82))*3,0)</f>
        <v>Needs adjustment</v>
      </c>
      <c r="M81" t="str">
        <f ca="1">OFFSET(Sheet2!O$3,(ROW(M82))*3,0)</f>
        <v>No service needed, looks good, maintain</v>
      </c>
      <c r="N81" t="str">
        <f ca="1">OFFSET(Sheet2!P$3,(ROW(N82))*3,0)</f>
        <v>Needs to be Changed</v>
      </c>
      <c r="O81" t="str">
        <f ca="1">OFFSET(Sheet2!Q$3,(ROW(O82))*3,0)</f>
        <v>No service needed, looks good, maintain</v>
      </c>
      <c r="P81">
        <f ca="1">OFFSET(Sheet2!R$3,(ROW(P82))*3,0)</f>
        <v>0</v>
      </c>
      <c r="Q81">
        <f ca="1">OFFSET(Sheet2!S$3,(ROW(Q82))*3,0)</f>
        <v>0</v>
      </c>
      <c r="R81">
        <f ca="1">OFFSET(Sheet2!T$3,(ROW(R82))*3,0)</f>
        <v>0</v>
      </c>
      <c r="S81">
        <f ca="1">OFFSET(Sheet2!U$2,(ROW(S82))*3,0)</f>
        <v>0</v>
      </c>
      <c r="T81">
        <f ca="1">OFFSET(Sheet2!V$2,(ROW(T82))*3,0)</f>
        <v>0</v>
      </c>
    </row>
    <row r="82" spans="1:20" x14ac:dyDescent="0.35">
      <c r="A82">
        <f ca="1">OFFSET(Sheet2!B$3,(ROW(A83))*3,0)</f>
        <v>43892</v>
      </c>
      <c r="B82">
        <f ca="1">OFFSET(Sheet2!C$3,(ROW(B83))*3,0)</f>
        <v>16</v>
      </c>
      <c r="C82" t="str">
        <f ca="1">OFFSET(Sheet2!D$3,(ROW(C83))*3,0)</f>
        <v>South</v>
      </c>
      <c r="D82" t="str">
        <f ca="1">OFFSET(Sheet2!F$3,(ROW(D83))*3,0)</f>
        <v>MASINDE SULAITI</v>
      </c>
      <c r="E82" t="str">
        <f ca="1">OFFSET(Sheet2!G$3,(ROW(E83))*3,0)</f>
        <v>H2GO</v>
      </c>
      <c r="F82">
        <f ca="1">OFFSET(Sheet2!H$3,(ROW(F83))*3,0)</f>
        <v>0</v>
      </c>
      <c r="G82" t="str">
        <f ca="1">OFFSET(Sheet2!I$3,(ROW(G83))*3,0)</f>
        <v>WEEKLY</v>
      </c>
      <c r="H82">
        <f ca="1">OFFSET(Sheet2!J$3,(ROW(H83))*3,0)</f>
        <v>110</v>
      </c>
      <c r="I82" t="str">
        <f ca="1">OFFSET(Sheet2!K$3,(ROW(I83))*3,0)</f>
        <v>Recommendation</v>
      </c>
      <c r="J82" t="str">
        <f ca="1">OFFSET(Sheet2!L$3,(ROW(J83))*3,0)</f>
        <v>Needs to be changed</v>
      </c>
      <c r="K82" t="str">
        <f ca="1">OFFSET(Sheet2!M$3,(ROW(K83))*3,0)</f>
        <v>Needs to be cleaned</v>
      </c>
      <c r="L82" t="str">
        <f ca="1">OFFSET(Sheet2!N$3,(ROW(L83))*3,0)</f>
        <v>Needs adjustment, tappets are tight</v>
      </c>
      <c r="M82" t="str">
        <f ca="1">OFFSET(Sheet2!O$3,(ROW(M83))*3,0)</f>
        <v>Needs to be cleaned</v>
      </c>
      <c r="N82" t="str">
        <f ca="1">OFFSET(Sheet2!P$3,(ROW(N83))*3,0)</f>
        <v>Needs to be Changed</v>
      </c>
      <c r="O82" t="str">
        <f ca="1">OFFSET(Sheet2!Q$3,(ROW(O83))*3,0)</f>
        <v>No service needed, looks good, maintain</v>
      </c>
      <c r="P82">
        <f ca="1">OFFSET(Sheet2!R$3,(ROW(P83))*3,0)</f>
        <v>0</v>
      </c>
      <c r="Q82">
        <f ca="1">OFFSET(Sheet2!S$3,(ROW(Q83))*3,0)</f>
        <v>0</v>
      </c>
      <c r="R82">
        <f ca="1">OFFSET(Sheet2!T$3,(ROW(R83))*3,0)</f>
        <v>0</v>
      </c>
      <c r="S82">
        <f ca="1">OFFSET(Sheet2!U$2,(ROW(S83))*3,0)</f>
        <v>0</v>
      </c>
      <c r="T82">
        <f ca="1">OFFSET(Sheet2!V$2,(ROW(T83))*3,0)</f>
        <v>0</v>
      </c>
    </row>
    <row r="83" spans="1:20" x14ac:dyDescent="0.35">
      <c r="A83">
        <f ca="1">OFFSET(Sheet2!B$3,(ROW(A84))*3,0)</f>
        <v>43899</v>
      </c>
      <c r="B83">
        <f ca="1">OFFSET(Sheet2!C$3,(ROW(B84))*3,0)</f>
        <v>16</v>
      </c>
      <c r="C83" t="str">
        <f ca="1">OFFSET(Sheet2!D$3,(ROW(C84))*3,0)</f>
        <v>South</v>
      </c>
      <c r="D83" t="str">
        <f ca="1">OFFSET(Sheet2!F$3,(ROW(D84))*3,0)</f>
        <v>MASINDE SULAITI</v>
      </c>
      <c r="E83" t="str">
        <f ca="1">OFFSET(Sheet2!G$3,(ROW(E84))*3,0)</f>
        <v>H2GO</v>
      </c>
      <c r="F83">
        <f ca="1">OFFSET(Sheet2!H$3,(ROW(F84))*3,0)</f>
        <v>0</v>
      </c>
      <c r="G83" t="str">
        <f ca="1">OFFSET(Sheet2!I$3,(ROW(G84))*3,0)</f>
        <v>WEEKLY</v>
      </c>
      <c r="H83">
        <f ca="1">OFFSET(Sheet2!J$3,(ROW(H84))*3,0)</f>
        <v>155</v>
      </c>
      <c r="I83" t="str">
        <f ca="1">OFFSET(Sheet2!K$3,(ROW(I84))*3,0)</f>
        <v>Recommendation</v>
      </c>
      <c r="J83" t="str">
        <f ca="1">OFFSET(Sheet2!L$3,(ROW(J84))*3,0)</f>
        <v>Needs to be changed</v>
      </c>
      <c r="K83" t="str">
        <f ca="1">OFFSET(Sheet2!M$3,(ROW(K84))*3,0)</f>
        <v>No service needed, looks good, maintain</v>
      </c>
      <c r="L83" t="str">
        <f ca="1">OFFSET(Sheet2!N$3,(ROW(L84))*3,0)</f>
        <v>Needs adjustment, tappets are loose</v>
      </c>
      <c r="M83" t="str">
        <f ca="1">OFFSET(Sheet2!O$3,(ROW(M84))*3,0)</f>
        <v>No service needed, looks good, maintain</v>
      </c>
      <c r="N83" t="str">
        <f ca="1">OFFSET(Sheet2!P$3,(ROW(N84))*3,0)</f>
        <v>No service needed, looks good, maintain</v>
      </c>
      <c r="O83" t="str">
        <f ca="1">OFFSET(Sheet2!Q$3,(ROW(O84))*3,0)</f>
        <v>No service needed, looks good, maintain</v>
      </c>
      <c r="P83">
        <f ca="1">OFFSET(Sheet2!R$3,(ROW(P84))*3,0)</f>
        <v>0</v>
      </c>
      <c r="Q83">
        <f ca="1">OFFSET(Sheet2!S$3,(ROW(Q84))*3,0)</f>
        <v>0</v>
      </c>
      <c r="R83">
        <f ca="1">OFFSET(Sheet2!T$3,(ROW(R84))*3,0)</f>
        <v>0</v>
      </c>
      <c r="S83">
        <f ca="1">OFFSET(Sheet2!U$2,(ROW(S84))*3,0)</f>
        <v>0</v>
      </c>
      <c r="T83">
        <f ca="1">OFFSET(Sheet2!V$2,(ROW(T84))*3,0)</f>
        <v>0</v>
      </c>
    </row>
    <row r="84" spans="1:20" x14ac:dyDescent="0.35">
      <c r="A84">
        <f ca="1">OFFSET(Sheet2!B$3,(ROW(A85))*3,0)</f>
        <v>43841</v>
      </c>
      <c r="B84">
        <f ca="1">OFFSET(Sheet2!C$3,(ROW(B85))*3,0)</f>
        <v>17</v>
      </c>
      <c r="C84" t="str">
        <f ca="1">OFFSET(Sheet2!D$3,(ROW(C85))*3,0)</f>
        <v>South</v>
      </c>
      <c r="D84" t="str">
        <f ca="1">OFFSET(Sheet2!F$3,(ROW(D85))*3,0)</f>
        <v>MAJEME GEORGE</v>
      </c>
      <c r="E84" t="str">
        <f ca="1">OFFSET(Sheet2!G$3,(ROW(E85))*3,0)</f>
        <v>H2Go</v>
      </c>
      <c r="F84">
        <f ca="1">OFFSET(Sheet2!H$3,(ROW(F85))*3,0)</f>
        <v>0</v>
      </c>
      <c r="G84" t="str">
        <f ca="1">OFFSET(Sheet2!I$3,(ROW(G85))*3,0)</f>
        <v>Comprehensive</v>
      </c>
      <c r="H84">
        <f ca="1">OFFSET(Sheet2!J$3,(ROW(H85))*3,0)</f>
        <v>96</v>
      </c>
      <c r="I84" t="str">
        <f ca="1">OFFSET(Sheet2!K$3,(ROW(I85))*3,0)</f>
        <v>Recommendation</v>
      </c>
      <c r="J84" t="str">
        <f ca="1">OFFSET(Sheet2!L$3,(ROW(J85))*3,0)</f>
        <v>needs to be changed weekly</v>
      </c>
      <c r="K84" t="str">
        <f ca="1">OFFSET(Sheet2!M$3,(ROW(K85))*3,0)</f>
        <v>maintain</v>
      </c>
      <c r="L84" t="str">
        <f ca="1">OFFSET(Sheet2!N$3,(ROW(L85))*3,0)</f>
        <v>every week needs to be done so</v>
      </c>
      <c r="M84" t="str">
        <f ca="1">OFFSET(Sheet2!O$3,(ROW(M85))*3,0)</f>
        <v>maintain</v>
      </c>
      <c r="N84" t="str">
        <f ca="1">OFFSET(Sheet2!P$3,(ROW(N85))*3,0)</f>
        <v>maintain</v>
      </c>
      <c r="O84" t="str">
        <f ca="1">OFFSET(Sheet2!Q$3,(ROW(O85))*3,0)</f>
        <v>maintain</v>
      </c>
      <c r="P84" t="str">
        <f ca="1">OFFSET(Sheet2!R$3,(ROW(P85))*3,0)</f>
        <v>Maintain</v>
      </c>
      <c r="Q84" t="str">
        <f ca="1">OFFSET(Sheet2!S$3,(ROW(Q85))*3,0)</f>
        <v>maintain</v>
      </c>
      <c r="R84" t="str">
        <f ca="1">OFFSET(Sheet2!T$3,(ROW(R85))*3,0)</f>
        <v>maintain</v>
      </c>
      <c r="S84">
        <f ca="1">OFFSET(Sheet2!U$2,(ROW(S85))*3,0)</f>
        <v>0</v>
      </c>
      <c r="T84">
        <f ca="1">OFFSET(Sheet2!V$2,(ROW(T85))*3,0)</f>
        <v>0</v>
      </c>
    </row>
    <row r="85" spans="1:20" x14ac:dyDescent="0.35">
      <c r="A85">
        <f ca="1">OFFSET(Sheet2!B$3,(ROW(A86))*3,0)</f>
        <v>43848</v>
      </c>
      <c r="B85">
        <f ca="1">OFFSET(Sheet2!C$3,(ROW(B86))*3,0)</f>
        <v>17</v>
      </c>
      <c r="C85" t="str">
        <f ca="1">OFFSET(Sheet2!D$3,(ROW(C86))*3,0)</f>
        <v>South</v>
      </c>
      <c r="D85" t="str">
        <f ca="1">OFFSET(Sheet2!F$3,(ROW(D86))*3,0)</f>
        <v>MAJEME GEORGE</v>
      </c>
      <c r="E85" t="str">
        <f ca="1">OFFSET(Sheet2!G$3,(ROW(E86))*3,0)</f>
        <v>H2Go</v>
      </c>
      <c r="F85">
        <f ca="1">OFFSET(Sheet2!H$3,(ROW(F86))*3,0)</f>
        <v>0</v>
      </c>
      <c r="G85" t="str">
        <f ca="1">OFFSET(Sheet2!I$3,(ROW(G86))*3,0)</f>
        <v>WEEKLY</v>
      </c>
      <c r="H85">
        <f ca="1">OFFSET(Sheet2!J$3,(ROW(H86))*3,0)</f>
        <v>67</v>
      </c>
      <c r="I85" t="str">
        <f ca="1">OFFSET(Sheet2!K$3,(ROW(I86))*3,0)</f>
        <v>Recommendation</v>
      </c>
      <c r="J85" t="str">
        <f ca="1">OFFSET(Sheet2!L$3,(ROW(J86))*3,0)</f>
        <v>piston and rings needed and oil to be changed</v>
      </c>
      <c r="K85" t="str">
        <f ca="1">OFFSET(Sheet2!M$3,(ROW(K86))*3,0)</f>
        <v>needs to be changed weekly</v>
      </c>
      <c r="L85" t="str">
        <f ca="1">OFFSET(Sheet2!N$3,(ROW(L86))*3,0)</f>
        <v>good</v>
      </c>
      <c r="M85" t="str">
        <f ca="1">OFFSET(Sheet2!O$3,(ROW(M86))*3,0)</f>
        <v>good</v>
      </c>
      <c r="N85" t="str">
        <f ca="1">OFFSET(Sheet2!P$3,(ROW(N86))*3,0)</f>
        <v>good</v>
      </c>
      <c r="O85" t="str">
        <f ca="1">OFFSET(Sheet2!Q$3,(ROW(O86))*3,0)</f>
        <v>needs to be atleast checked weekly</v>
      </c>
      <c r="P85">
        <f ca="1">OFFSET(Sheet2!R$3,(ROW(P86))*3,0)</f>
        <v>0</v>
      </c>
      <c r="Q85">
        <f ca="1">OFFSET(Sheet2!S$3,(ROW(Q86))*3,0)</f>
        <v>0</v>
      </c>
      <c r="R85">
        <f ca="1">OFFSET(Sheet2!T$3,(ROW(R86))*3,0)</f>
        <v>0</v>
      </c>
      <c r="S85">
        <f ca="1">OFFSET(Sheet2!U$2,(ROW(S86))*3,0)</f>
        <v>0</v>
      </c>
      <c r="T85">
        <f ca="1">OFFSET(Sheet2!V$2,(ROW(T86))*3,0)</f>
        <v>0</v>
      </c>
    </row>
    <row r="86" spans="1:20" x14ac:dyDescent="0.35">
      <c r="A86">
        <f ca="1">OFFSET(Sheet2!B$3,(ROW(A87))*3,0)</f>
        <v>43855</v>
      </c>
      <c r="B86">
        <f ca="1">OFFSET(Sheet2!C$3,(ROW(B87))*3,0)</f>
        <v>17</v>
      </c>
      <c r="C86" t="str">
        <f ca="1">OFFSET(Sheet2!D$3,(ROW(C87))*3,0)</f>
        <v>South</v>
      </c>
      <c r="D86" t="str">
        <f ca="1">OFFSET(Sheet2!F$3,(ROW(D87))*3,0)</f>
        <v>MAJEME GEORGE</v>
      </c>
      <c r="E86" t="str">
        <f ca="1">OFFSET(Sheet2!G$3,(ROW(E87))*3,0)</f>
        <v>H2Go</v>
      </c>
      <c r="F86">
        <f ca="1">OFFSET(Sheet2!H$3,(ROW(F87))*3,0)</f>
        <v>0</v>
      </c>
      <c r="G86" t="str">
        <f ca="1">OFFSET(Sheet2!I$3,(ROW(G87))*3,0)</f>
        <v>WEEKLY</v>
      </c>
      <c r="H86">
        <f ca="1">OFFSET(Sheet2!J$3,(ROW(H87))*3,0)</f>
        <v>68</v>
      </c>
      <c r="I86" t="str">
        <f ca="1">OFFSET(Sheet2!K$3,(ROW(I87))*3,0)</f>
        <v>Recommendation</v>
      </c>
      <c r="J86" t="str">
        <f ca="1">OFFSET(Sheet2!L$3,(ROW(J87))*3,0)</f>
        <v>NEEDS TO BE CHANGED WEEKLY, NEW PISTON AND RINGS NEEDED</v>
      </c>
      <c r="K86" t="str">
        <f ca="1">OFFSET(Sheet2!M$3,(ROW(K87))*3,0)</f>
        <v>GOOD</v>
      </c>
      <c r="L86" t="str">
        <f ca="1">OFFSET(Sheet2!N$3,(ROW(L87))*3,0)</f>
        <v>GOOD</v>
      </c>
      <c r="M86" t="str">
        <f ca="1">OFFSET(Sheet2!O$3,(ROW(M87))*3,0)</f>
        <v>GOOD</v>
      </c>
      <c r="N86" t="str">
        <f ca="1">OFFSET(Sheet2!P$3,(ROW(N87))*3,0)</f>
        <v>GOOD</v>
      </c>
      <c r="O86" t="str">
        <f ca="1">OFFSET(Sheet2!Q$3,(ROW(O87))*3,0)</f>
        <v>GOOD</v>
      </c>
      <c r="P86">
        <f ca="1">OFFSET(Sheet2!R$3,(ROW(P87))*3,0)</f>
        <v>0</v>
      </c>
      <c r="Q86">
        <f ca="1">OFFSET(Sheet2!S$3,(ROW(Q87))*3,0)</f>
        <v>0</v>
      </c>
      <c r="R86">
        <f ca="1">OFFSET(Sheet2!T$3,(ROW(R87))*3,0)</f>
        <v>0</v>
      </c>
      <c r="S86">
        <f ca="1">OFFSET(Sheet2!U$2,(ROW(S87))*3,0)</f>
        <v>0</v>
      </c>
      <c r="T86">
        <f ca="1">OFFSET(Sheet2!V$2,(ROW(T87))*3,0)</f>
        <v>0</v>
      </c>
    </row>
    <row r="87" spans="1:20" x14ac:dyDescent="0.35">
      <c r="A87">
        <f ca="1">OFFSET(Sheet2!B$3,(ROW(A88))*3,0)</f>
        <v>43862</v>
      </c>
      <c r="B87">
        <f ca="1">OFFSET(Sheet2!C$3,(ROW(B88))*3,0)</f>
        <v>17</v>
      </c>
      <c r="C87" t="str">
        <f ca="1">OFFSET(Sheet2!D$3,(ROW(C88))*3,0)</f>
        <v>South</v>
      </c>
      <c r="D87" t="str">
        <f ca="1">OFFSET(Sheet2!F$3,(ROW(D88))*3,0)</f>
        <v>MAJEME GEORGE</v>
      </c>
      <c r="E87" t="str">
        <f ca="1">OFFSET(Sheet2!G$3,(ROW(E88))*3,0)</f>
        <v>H2Go</v>
      </c>
      <c r="F87">
        <f ca="1">OFFSET(Sheet2!H$3,(ROW(F88))*3,0)</f>
        <v>0</v>
      </c>
      <c r="G87" t="str">
        <f ca="1">OFFSET(Sheet2!I$3,(ROW(G88))*3,0)</f>
        <v>WEEKLY</v>
      </c>
      <c r="H87">
        <f ca="1">OFFSET(Sheet2!J$3,(ROW(H88))*3,0)</f>
        <v>82</v>
      </c>
      <c r="I87" t="str">
        <f ca="1">OFFSET(Sheet2!K$3,(ROW(I88))*3,0)</f>
        <v>Recommendation</v>
      </c>
      <c r="J87" t="str">
        <f ca="1">OFFSET(Sheet2!L$3,(ROW(J88))*3,0)</f>
        <v>CHANGE WEEKLY</v>
      </c>
      <c r="K87" t="str">
        <f ca="1">OFFSET(Sheet2!M$3,(ROW(K88))*3,0)</f>
        <v>GOOD</v>
      </c>
      <c r="L87" t="str">
        <f ca="1">OFFSET(Sheet2!N$3,(ROW(L88))*3,0)</f>
        <v>GOOD</v>
      </c>
      <c r="M87" t="str">
        <f ca="1">OFFSET(Sheet2!O$3,(ROW(M88))*3,0)</f>
        <v>GOOD</v>
      </c>
      <c r="N87" t="str">
        <f ca="1">OFFSET(Sheet2!P$3,(ROW(N88))*3,0)</f>
        <v>GOOD</v>
      </c>
      <c r="O87" t="str">
        <f ca="1">OFFSET(Sheet2!Q$3,(ROW(O88))*3,0)</f>
        <v>TO BE CHECKED WEEKLY</v>
      </c>
      <c r="P87">
        <f ca="1">OFFSET(Sheet2!R$3,(ROW(P88))*3,0)</f>
        <v>0</v>
      </c>
      <c r="Q87">
        <f ca="1">OFFSET(Sheet2!S$3,(ROW(Q88))*3,0)</f>
        <v>0</v>
      </c>
      <c r="R87">
        <f ca="1">OFFSET(Sheet2!T$3,(ROW(R88))*3,0)</f>
        <v>0</v>
      </c>
      <c r="S87">
        <f ca="1">OFFSET(Sheet2!U$2,(ROW(S88))*3,0)</f>
        <v>0</v>
      </c>
      <c r="T87">
        <f ca="1">OFFSET(Sheet2!V$2,(ROW(T88))*3,0)</f>
        <v>0</v>
      </c>
    </row>
    <row r="88" spans="1:20" x14ac:dyDescent="0.35">
      <c r="A88">
        <f ca="1">OFFSET(Sheet2!B$3,(ROW(A89))*3,0)</f>
        <v>43869</v>
      </c>
      <c r="B88">
        <f ca="1">OFFSET(Sheet2!C$3,(ROW(B89))*3,0)</f>
        <v>17</v>
      </c>
      <c r="C88" t="str">
        <f ca="1">OFFSET(Sheet2!D$3,(ROW(C89))*3,0)</f>
        <v>South</v>
      </c>
      <c r="D88" t="str">
        <f ca="1">OFFSET(Sheet2!F$3,(ROW(D89))*3,0)</f>
        <v>MAJEME GEORGE</v>
      </c>
      <c r="E88" t="str">
        <f ca="1">OFFSET(Sheet2!G$3,(ROW(E89))*3,0)</f>
        <v>H2Go</v>
      </c>
      <c r="F88">
        <f ca="1">OFFSET(Sheet2!H$3,(ROW(F89))*3,0)</f>
        <v>0</v>
      </c>
      <c r="G88" t="str">
        <f ca="1">OFFSET(Sheet2!I$3,(ROW(G89))*3,0)</f>
        <v>WEEKLY</v>
      </c>
      <c r="H88">
        <f ca="1">OFFSET(Sheet2!J$3,(ROW(H89))*3,0)</f>
        <v>200</v>
      </c>
      <c r="I88" t="str">
        <f ca="1">OFFSET(Sheet2!K$3,(ROW(I89))*3,0)</f>
        <v>Recommendation</v>
      </c>
      <c r="J88" t="str">
        <f ca="1">OFFSET(Sheet2!L$3,(ROW(J89))*3,0)</f>
        <v>change weekly</v>
      </c>
      <c r="K88" t="str">
        <f ca="1">OFFSET(Sheet2!M$3,(ROW(K89))*3,0)</f>
        <v>GOOD</v>
      </c>
      <c r="L88" t="str">
        <f ca="1">OFFSET(Sheet2!N$3,(ROW(L89))*3,0)</f>
        <v>GOOD</v>
      </c>
      <c r="M88" t="str">
        <f ca="1">OFFSET(Sheet2!O$3,(ROW(M89))*3,0)</f>
        <v>GOOD</v>
      </c>
      <c r="N88" t="str">
        <f ca="1">OFFSET(Sheet2!P$3,(ROW(N89))*3,0)</f>
        <v xml:space="preserve">GOOD </v>
      </c>
      <c r="O88" t="str">
        <f ca="1">OFFSET(Sheet2!Q$3,(ROW(O89))*3,0)</f>
        <v>check weekly</v>
      </c>
      <c r="P88">
        <f ca="1">OFFSET(Sheet2!R$3,(ROW(P89))*3,0)</f>
        <v>0</v>
      </c>
      <c r="Q88">
        <f ca="1">OFFSET(Sheet2!S$3,(ROW(Q89))*3,0)</f>
        <v>0</v>
      </c>
      <c r="R88">
        <f ca="1">OFFSET(Sheet2!T$3,(ROW(R89))*3,0)</f>
        <v>0</v>
      </c>
      <c r="S88">
        <f ca="1">OFFSET(Sheet2!U$2,(ROW(S89))*3,0)</f>
        <v>0</v>
      </c>
      <c r="T88">
        <f ca="1">OFFSET(Sheet2!V$2,(ROW(T89))*3,0)</f>
        <v>0</v>
      </c>
    </row>
    <row r="89" spans="1:20" x14ac:dyDescent="0.35">
      <c r="A89">
        <f ca="1">OFFSET(Sheet2!B$3,(ROW(A90))*3,0)</f>
        <v>43885</v>
      </c>
      <c r="B89">
        <f ca="1">OFFSET(Sheet2!C$3,(ROW(B90))*3,0)</f>
        <v>17</v>
      </c>
      <c r="C89" t="str">
        <f ca="1">OFFSET(Sheet2!D$3,(ROW(C90))*3,0)</f>
        <v>South</v>
      </c>
      <c r="D89" t="str">
        <f ca="1">OFFSET(Sheet2!F$3,(ROW(D90))*3,0)</f>
        <v>MAJEME GEORGE</v>
      </c>
      <c r="E89" t="str">
        <f ca="1">OFFSET(Sheet2!G$3,(ROW(E90))*3,0)</f>
        <v>H2Go</v>
      </c>
      <c r="F89">
        <f ca="1">OFFSET(Sheet2!H$3,(ROW(F90))*3,0)</f>
        <v>0</v>
      </c>
      <c r="G89" t="str">
        <f ca="1">OFFSET(Sheet2!I$3,(ROW(G90))*3,0)</f>
        <v>WEEKLY</v>
      </c>
      <c r="H89">
        <f ca="1">OFFSET(Sheet2!J$3,(ROW(H90))*3,0)</f>
        <v>150</v>
      </c>
      <c r="I89" t="str">
        <f ca="1">OFFSET(Sheet2!K$3,(ROW(I90))*3,0)</f>
        <v>Recommendation</v>
      </c>
      <c r="J89" t="str">
        <f ca="1">OFFSET(Sheet2!L$3,(ROW(J90))*3,0)</f>
        <v>Needs to be changed</v>
      </c>
      <c r="K89" t="str">
        <f ca="1">OFFSET(Sheet2!M$3,(ROW(K90))*3,0)</f>
        <v>No service needed, looks good, maintain</v>
      </c>
      <c r="L89" t="str">
        <f ca="1">OFFSET(Sheet2!N$3,(ROW(L90))*3,0)</f>
        <v>Needs adjustment, tappets are loose</v>
      </c>
      <c r="M89" t="str">
        <f ca="1">OFFSET(Sheet2!O$3,(ROW(M90))*3,0)</f>
        <v>Needs to be cleaned</v>
      </c>
      <c r="N89" t="str">
        <f ca="1">OFFSET(Sheet2!P$3,(ROW(N90))*3,0)</f>
        <v>Monitor closely, will need to be changed soon</v>
      </c>
      <c r="O89" t="str">
        <f ca="1">OFFSET(Sheet2!Q$3,(ROW(O90))*3,0)</f>
        <v>No service needed, looks good, maintain</v>
      </c>
      <c r="P89">
        <f ca="1">OFFSET(Sheet2!R$3,(ROW(P90))*3,0)</f>
        <v>0</v>
      </c>
      <c r="Q89">
        <f ca="1">OFFSET(Sheet2!S$3,(ROW(Q90))*3,0)</f>
        <v>0</v>
      </c>
      <c r="R89">
        <f ca="1">OFFSET(Sheet2!T$3,(ROW(R90))*3,0)</f>
        <v>0</v>
      </c>
      <c r="S89">
        <f ca="1">OFFSET(Sheet2!U$2,(ROW(S90))*3,0)</f>
        <v>0</v>
      </c>
      <c r="T89">
        <f ca="1">OFFSET(Sheet2!V$2,(ROW(T90))*3,0)</f>
        <v>0</v>
      </c>
    </row>
    <row r="90" spans="1:20" x14ac:dyDescent="0.35">
      <c r="A90">
        <f ca="1">OFFSET(Sheet2!B$3,(ROW(A91))*3,0)</f>
        <v>43876</v>
      </c>
      <c r="B90">
        <f ca="1">OFFSET(Sheet2!C$3,(ROW(B91))*3,0)</f>
        <v>17</v>
      </c>
      <c r="C90" t="str">
        <f ca="1">OFFSET(Sheet2!D$3,(ROW(C91))*3,0)</f>
        <v>South</v>
      </c>
      <c r="D90" t="str">
        <f ca="1">OFFSET(Sheet2!F$3,(ROW(D91))*3,0)</f>
        <v>MAJEME GEORGE</v>
      </c>
      <c r="E90" t="str">
        <f ca="1">OFFSET(Sheet2!G$3,(ROW(E91))*3,0)</f>
        <v>H2GO</v>
      </c>
      <c r="F90">
        <f ca="1">OFFSET(Sheet2!H$3,(ROW(F91))*3,0)</f>
        <v>0</v>
      </c>
      <c r="G90" t="str">
        <f ca="1">OFFSET(Sheet2!I$3,(ROW(G91))*3,0)</f>
        <v>WEEKLY</v>
      </c>
      <c r="H90">
        <f ca="1">OFFSET(Sheet2!J$3,(ROW(H91))*3,0)</f>
        <v>158</v>
      </c>
      <c r="I90" t="str">
        <f ca="1">OFFSET(Sheet2!K$3,(ROW(I91))*3,0)</f>
        <v>Recommendation</v>
      </c>
      <c r="J90" t="str">
        <f ca="1">OFFSET(Sheet2!L$3,(ROW(J91))*3,0)</f>
        <v>PLEASE CHANGE</v>
      </c>
      <c r="K90" t="str">
        <f ca="1">OFFSET(Sheet2!M$3,(ROW(K91))*3,0)</f>
        <v>NEEDS CLEANING</v>
      </c>
      <c r="L90" t="str">
        <f ca="1">OFFSET(Sheet2!N$3,(ROW(L91))*3,0)</f>
        <v>NEED SETTING</v>
      </c>
      <c r="M90" t="str">
        <f ca="1">OFFSET(Sheet2!O$3,(ROW(M91))*3,0)</f>
        <v>NEEDS TO CLEAN</v>
      </c>
      <c r="N90" t="str">
        <f ca="1">OFFSET(Sheet2!P$3,(ROW(N91))*3,0)</f>
        <v>REPLACE PLUG</v>
      </c>
      <c r="O90" t="str">
        <f ca="1">OFFSET(Sheet2!Q$3,(ROW(O91))*3,0)</f>
        <v>NEEDS CHECKING WEEKLY</v>
      </c>
      <c r="P90">
        <f ca="1">OFFSET(Sheet2!R$3,(ROW(P91))*3,0)</f>
        <v>0</v>
      </c>
      <c r="Q90">
        <f ca="1">OFFSET(Sheet2!S$3,(ROW(Q91))*3,0)</f>
        <v>0</v>
      </c>
      <c r="R90">
        <f ca="1">OFFSET(Sheet2!T$3,(ROW(R91))*3,0)</f>
        <v>0</v>
      </c>
      <c r="S90">
        <f ca="1">OFFSET(Sheet2!U$2,(ROW(S91))*3,0)</f>
        <v>0</v>
      </c>
      <c r="T90">
        <f ca="1">OFFSET(Sheet2!V$2,(ROW(T91))*3,0)</f>
        <v>0</v>
      </c>
    </row>
    <row r="91" spans="1:20" x14ac:dyDescent="0.35">
      <c r="A91">
        <f ca="1">OFFSET(Sheet2!B$3,(ROW(A92))*3,0)</f>
        <v>43892</v>
      </c>
      <c r="B91">
        <f ca="1">OFFSET(Sheet2!C$3,(ROW(B92))*3,0)</f>
        <v>17</v>
      </c>
      <c r="C91" t="str">
        <f ca="1">OFFSET(Sheet2!D$3,(ROW(C92))*3,0)</f>
        <v>South</v>
      </c>
      <c r="D91" t="str">
        <f ca="1">OFFSET(Sheet2!F$3,(ROW(D92))*3,0)</f>
        <v>MAJEME GEORGE</v>
      </c>
      <c r="E91" t="str">
        <f ca="1">OFFSET(Sheet2!G$3,(ROW(E92))*3,0)</f>
        <v>H2GO</v>
      </c>
      <c r="F91">
        <f ca="1">OFFSET(Sheet2!H$3,(ROW(F92))*3,0)</f>
        <v>0</v>
      </c>
      <c r="G91" t="str">
        <f ca="1">OFFSET(Sheet2!I$3,(ROW(G92))*3,0)</f>
        <v>WEEKLY</v>
      </c>
      <c r="H91">
        <f ca="1">OFFSET(Sheet2!J$3,(ROW(H92))*3,0)</f>
        <v>101</v>
      </c>
      <c r="I91" t="str">
        <f ca="1">OFFSET(Sheet2!K$3,(ROW(I92))*3,0)</f>
        <v>Recommendation</v>
      </c>
      <c r="J91" t="str">
        <f ca="1">OFFSET(Sheet2!L$3,(ROW(J92))*3,0)</f>
        <v>Needs to be changed</v>
      </c>
      <c r="K91" t="str">
        <f ca="1">OFFSET(Sheet2!M$3,(ROW(K92))*3,0)</f>
        <v>No service needed, looks good, maintain</v>
      </c>
      <c r="L91" t="str">
        <f ca="1">OFFSET(Sheet2!N$3,(ROW(L92))*3,0)</f>
        <v>No adjustment needed, looks good, maintain</v>
      </c>
      <c r="M91" t="str">
        <f ca="1">OFFSET(Sheet2!O$3,(ROW(M92))*3,0)</f>
        <v>Needs to be cleaned</v>
      </c>
      <c r="N91" t="str">
        <f ca="1">OFFSET(Sheet2!P$3,(ROW(N92))*3,0)</f>
        <v>No service needed, looks good, maintain</v>
      </c>
      <c r="O91" t="str">
        <f ca="1">OFFSET(Sheet2!Q$3,(ROW(O92))*3,0)</f>
        <v>No service needed, looks good, maintain</v>
      </c>
      <c r="P91">
        <f ca="1">OFFSET(Sheet2!R$3,(ROW(P92))*3,0)</f>
        <v>0</v>
      </c>
      <c r="Q91">
        <f ca="1">OFFSET(Sheet2!S$3,(ROW(Q92))*3,0)</f>
        <v>0</v>
      </c>
      <c r="R91">
        <f ca="1">OFFSET(Sheet2!T$3,(ROW(R92))*3,0)</f>
        <v>0</v>
      </c>
      <c r="S91">
        <f ca="1">OFFSET(Sheet2!U$2,(ROW(S92))*3,0)</f>
        <v>0</v>
      </c>
      <c r="T91">
        <f ca="1">OFFSET(Sheet2!V$2,(ROW(T92))*3,0)</f>
        <v>0</v>
      </c>
    </row>
    <row r="92" spans="1:20" x14ac:dyDescent="0.35">
      <c r="A92">
        <f ca="1">OFFSET(Sheet2!B$3,(ROW(A93))*3,0)</f>
        <v>43841</v>
      </c>
      <c r="B92">
        <f ca="1">OFFSET(Sheet2!C$3,(ROW(B93))*3,0)</f>
        <v>18</v>
      </c>
      <c r="C92" t="str">
        <f ca="1">OFFSET(Sheet2!D$3,(ROW(C93))*3,0)</f>
        <v>South</v>
      </c>
      <c r="D92" t="str">
        <f ca="1">OFFSET(Sheet2!F$3,(ROW(D93))*3,0)</f>
        <v>MUSAMALI FRED</v>
      </c>
      <c r="E92" t="str">
        <f ca="1">OFFSET(Sheet2!G$3,(ROW(E93))*3,0)</f>
        <v>H2Go</v>
      </c>
      <c r="F92">
        <f ca="1">OFFSET(Sheet2!H$3,(ROW(F93))*3,0)</f>
        <v>0</v>
      </c>
      <c r="G92" t="str">
        <f ca="1">OFFSET(Sheet2!I$3,(ROW(G93))*3,0)</f>
        <v>Comprehensive</v>
      </c>
      <c r="H92">
        <f ca="1">OFFSET(Sheet2!J$3,(ROW(H93))*3,0)</f>
        <v>98</v>
      </c>
      <c r="I92" t="str">
        <f ca="1">OFFSET(Sheet2!K$3,(ROW(I93))*3,0)</f>
        <v>Recommendation</v>
      </c>
      <c r="J92" t="str">
        <f ca="1">OFFSET(Sheet2!L$3,(ROW(J93))*3,0)</f>
        <v>change weekly</v>
      </c>
      <c r="K92" t="str">
        <f ca="1">OFFSET(Sheet2!M$3,(ROW(K93))*3,0)</f>
        <v>maintain</v>
      </c>
      <c r="L92" t="str">
        <f ca="1">OFFSET(Sheet2!N$3,(ROW(L93))*3,0)</f>
        <v>needed every weekend</v>
      </c>
      <c r="M92" t="str">
        <f ca="1">OFFSET(Sheet2!O$3,(ROW(M93))*3,0)</f>
        <v>maintain</v>
      </c>
      <c r="N92" t="str">
        <f ca="1">OFFSET(Sheet2!P$3,(ROW(N93))*3,0)</f>
        <v>maintain</v>
      </c>
      <c r="O92" t="str">
        <f ca="1">OFFSET(Sheet2!Q$3,(ROW(O93))*3,0)</f>
        <v>maintain it</v>
      </c>
      <c r="P92" t="str">
        <f ca="1">OFFSET(Sheet2!R$3,(ROW(P93))*3,0)</f>
        <v>needs to be changed</v>
      </c>
      <c r="Q92" t="str">
        <f ca="1">OFFSET(Sheet2!S$3,(ROW(Q93))*3,0)</f>
        <v>maintain</v>
      </c>
      <c r="R92" t="str">
        <f ca="1">OFFSET(Sheet2!T$3,(ROW(R93))*3,0)</f>
        <v>maintain</v>
      </c>
      <c r="S92">
        <f ca="1">OFFSET(Sheet2!U$2,(ROW(S93))*3,0)</f>
        <v>0</v>
      </c>
      <c r="T92">
        <f ca="1">OFFSET(Sheet2!V$2,(ROW(T93))*3,0)</f>
        <v>0</v>
      </c>
    </row>
    <row r="93" spans="1:20" x14ac:dyDescent="0.35">
      <c r="A93">
        <f ca="1">OFFSET(Sheet2!B$3,(ROW(A94))*3,0)</f>
        <v>43855</v>
      </c>
      <c r="B93">
        <f ca="1">OFFSET(Sheet2!C$3,(ROW(B94))*3,0)</f>
        <v>18</v>
      </c>
      <c r="C93" t="str">
        <f ca="1">OFFSET(Sheet2!D$3,(ROW(C94))*3,0)</f>
        <v>South</v>
      </c>
      <c r="D93" t="str">
        <f ca="1">OFFSET(Sheet2!F$3,(ROW(D94))*3,0)</f>
        <v>MUSAMALI FRED</v>
      </c>
      <c r="E93" t="str">
        <f ca="1">OFFSET(Sheet2!G$3,(ROW(E94))*3,0)</f>
        <v>H2Go</v>
      </c>
      <c r="F93">
        <f ca="1">OFFSET(Sheet2!H$3,(ROW(F94))*3,0)</f>
        <v>0</v>
      </c>
      <c r="G93" t="str">
        <f ca="1">OFFSET(Sheet2!I$3,(ROW(G94))*3,0)</f>
        <v>WEEKLY</v>
      </c>
      <c r="H93">
        <f ca="1">OFFSET(Sheet2!J$3,(ROW(H94))*3,0)</f>
        <v>83</v>
      </c>
      <c r="I93" t="str">
        <f ca="1">OFFSET(Sheet2!K$3,(ROW(I94))*3,0)</f>
        <v>Recommendation</v>
      </c>
      <c r="J93" t="str">
        <f ca="1">OFFSET(Sheet2!L$3,(ROW(J94))*3,0)</f>
        <v>change weekly</v>
      </c>
      <c r="K93" t="str">
        <f ca="1">OFFSET(Sheet2!M$3,(ROW(K94))*3,0)</f>
        <v>good</v>
      </c>
      <c r="L93" t="str">
        <f ca="1">OFFSET(Sheet2!N$3,(ROW(L94))*3,0)</f>
        <v>good</v>
      </c>
      <c r="M93" t="str">
        <f ca="1">OFFSET(Sheet2!O$3,(ROW(M94))*3,0)</f>
        <v>good</v>
      </c>
      <c r="N93" t="str">
        <f ca="1">OFFSET(Sheet2!P$3,(ROW(N94))*3,0)</f>
        <v>good</v>
      </c>
      <c r="O93" t="str">
        <f ca="1">OFFSET(Sheet2!Q$3,(ROW(O94))*3,0)</f>
        <v>atleast to be checked every week</v>
      </c>
      <c r="P93">
        <f ca="1">OFFSET(Sheet2!R$3,(ROW(P94))*3,0)</f>
        <v>0</v>
      </c>
      <c r="Q93">
        <f ca="1">OFFSET(Sheet2!S$3,(ROW(Q94))*3,0)</f>
        <v>0</v>
      </c>
      <c r="R93">
        <f ca="1">OFFSET(Sheet2!T$3,(ROW(R94))*3,0)</f>
        <v>0</v>
      </c>
      <c r="S93">
        <f ca="1">OFFSET(Sheet2!U$2,(ROW(S94))*3,0)</f>
        <v>0</v>
      </c>
      <c r="T93">
        <f ca="1">OFFSET(Sheet2!V$2,(ROW(T94))*3,0)</f>
        <v>0</v>
      </c>
    </row>
    <row r="94" spans="1:20" x14ac:dyDescent="0.35">
      <c r="A94">
        <f ca="1">OFFSET(Sheet2!B$3,(ROW(A95))*3,0)</f>
        <v>43862</v>
      </c>
      <c r="B94">
        <f ca="1">OFFSET(Sheet2!C$3,(ROW(B95))*3,0)</f>
        <v>18</v>
      </c>
      <c r="C94" t="str">
        <f ca="1">OFFSET(Sheet2!D$3,(ROW(C95))*3,0)</f>
        <v>South</v>
      </c>
      <c r="D94" t="str">
        <f ca="1">OFFSET(Sheet2!F$3,(ROW(D95))*3,0)</f>
        <v>MUSAMALI FRED</v>
      </c>
      <c r="E94" t="str">
        <f ca="1">OFFSET(Sheet2!G$3,(ROW(E95))*3,0)</f>
        <v>H2GO</v>
      </c>
      <c r="F94">
        <f ca="1">OFFSET(Sheet2!H$3,(ROW(F95))*3,0)</f>
        <v>0</v>
      </c>
      <c r="G94" t="str">
        <f ca="1">OFFSET(Sheet2!I$3,(ROW(G95))*3,0)</f>
        <v>WEEKLY</v>
      </c>
      <c r="H94">
        <f ca="1">OFFSET(Sheet2!J$3,(ROW(H95))*3,0)</f>
        <v>76</v>
      </c>
      <c r="I94" t="str">
        <f ca="1">OFFSET(Sheet2!K$3,(ROW(I95))*3,0)</f>
        <v>Recommendation</v>
      </c>
      <c r="J94" t="str">
        <f ca="1">OFFSET(Sheet2!L$3,(ROW(J95))*3,0)</f>
        <v>CHANGE WEEKLY</v>
      </c>
      <c r="K94" t="str">
        <f ca="1">OFFSET(Sheet2!M$3,(ROW(K95))*3,0)</f>
        <v>GOOD</v>
      </c>
      <c r="L94" t="str">
        <f ca="1">OFFSET(Sheet2!N$3,(ROW(L95))*3,0)</f>
        <v>GOOD</v>
      </c>
      <c r="M94" t="str">
        <f ca="1">OFFSET(Sheet2!O$3,(ROW(M95))*3,0)</f>
        <v>GOOD</v>
      </c>
      <c r="N94" t="str">
        <f ca="1">OFFSET(Sheet2!P$3,(ROW(N95))*3,0)</f>
        <v>GOOD</v>
      </c>
      <c r="O94" t="str">
        <f ca="1">OFFSET(Sheet2!Q$3,(ROW(O95))*3,0)</f>
        <v>TO BE CHECKED WEEKLY</v>
      </c>
      <c r="P94">
        <f ca="1">OFFSET(Sheet2!R$3,(ROW(P95))*3,0)</f>
        <v>0</v>
      </c>
      <c r="Q94">
        <f ca="1">OFFSET(Sheet2!S$3,(ROW(Q95))*3,0)</f>
        <v>0</v>
      </c>
      <c r="R94">
        <f ca="1">OFFSET(Sheet2!T$3,(ROW(R95))*3,0)</f>
        <v>0</v>
      </c>
      <c r="S94">
        <f ca="1">OFFSET(Sheet2!U$2,(ROW(S95))*3,0)</f>
        <v>0</v>
      </c>
      <c r="T94">
        <f ca="1">OFFSET(Sheet2!V$2,(ROW(T95))*3,0)</f>
        <v>0</v>
      </c>
    </row>
    <row r="95" spans="1:20" x14ac:dyDescent="0.35">
      <c r="A95">
        <f ca="1">OFFSET(Sheet2!B$3,(ROW(A96))*3,0)</f>
        <v>43869</v>
      </c>
      <c r="B95">
        <f ca="1">OFFSET(Sheet2!C$3,(ROW(B96))*3,0)</f>
        <v>18</v>
      </c>
      <c r="C95" t="str">
        <f ca="1">OFFSET(Sheet2!D$3,(ROW(C96))*3,0)</f>
        <v>South</v>
      </c>
      <c r="D95" t="str">
        <f ca="1">OFFSET(Sheet2!F$3,(ROW(D96))*3,0)</f>
        <v>MUSAMALI FRED</v>
      </c>
      <c r="E95" t="str">
        <f ca="1">OFFSET(Sheet2!G$3,(ROW(E96))*3,0)</f>
        <v>H2Go</v>
      </c>
      <c r="F95">
        <f ca="1">OFFSET(Sheet2!H$3,(ROW(F96))*3,0)</f>
        <v>0</v>
      </c>
      <c r="G95" t="str">
        <f ca="1">OFFSET(Sheet2!I$3,(ROW(G96))*3,0)</f>
        <v>WEEKLY</v>
      </c>
      <c r="H95">
        <f ca="1">OFFSET(Sheet2!J$3,(ROW(H96))*3,0)</f>
        <v>118</v>
      </c>
      <c r="I95" t="str">
        <f ca="1">OFFSET(Sheet2!K$3,(ROW(I96))*3,0)</f>
        <v>Recommendation</v>
      </c>
      <c r="J95" t="str">
        <f ca="1">OFFSET(Sheet2!L$3,(ROW(J96))*3,0)</f>
        <v>Need piston replacement &amp; valve seals service</v>
      </c>
      <c r="K95" t="str">
        <f ca="1">OFFSET(Sheet2!M$3,(ROW(K96))*3,0)</f>
        <v>GOOD</v>
      </c>
      <c r="L95" t="str">
        <f ca="1">OFFSET(Sheet2!N$3,(ROW(L96))*3,0)</f>
        <v xml:space="preserve">Needs to be set </v>
      </c>
      <c r="M95" t="str">
        <f ca="1">OFFSET(Sheet2!O$3,(ROW(M96))*3,0)</f>
        <v>Keep it clean</v>
      </c>
      <c r="N95" t="str">
        <f ca="1">OFFSET(Sheet2!P$3,(ROW(N96))*3,0)</f>
        <v>Keep it clean</v>
      </c>
      <c r="O95" t="str">
        <f ca="1">OFFSET(Sheet2!Q$3,(ROW(O96))*3,0)</f>
        <v>check weekly</v>
      </c>
      <c r="P95">
        <f ca="1">OFFSET(Sheet2!R$3,(ROW(P96))*3,0)</f>
        <v>0</v>
      </c>
      <c r="Q95">
        <f ca="1">OFFSET(Sheet2!S$3,(ROW(Q96))*3,0)</f>
        <v>0</v>
      </c>
      <c r="R95">
        <f ca="1">OFFSET(Sheet2!T$3,(ROW(R96))*3,0)</f>
        <v>0</v>
      </c>
      <c r="S95">
        <f ca="1">OFFSET(Sheet2!U$2,(ROW(S96))*3,0)</f>
        <v>0</v>
      </c>
      <c r="T95">
        <f ca="1">OFFSET(Sheet2!V$2,(ROW(T96))*3,0)</f>
        <v>0</v>
      </c>
    </row>
    <row r="96" spans="1:20" x14ac:dyDescent="0.35">
      <c r="A96">
        <f ca="1">OFFSET(Sheet2!B$3,(ROW(A97))*3,0)</f>
        <v>43885</v>
      </c>
      <c r="B96">
        <f ca="1">OFFSET(Sheet2!C$3,(ROW(B97))*3,0)</f>
        <v>18</v>
      </c>
      <c r="C96" t="str">
        <f ca="1">OFFSET(Sheet2!D$3,(ROW(C97))*3,0)</f>
        <v>South</v>
      </c>
      <c r="D96" t="str">
        <f ca="1">OFFSET(Sheet2!F$3,(ROW(D97))*3,0)</f>
        <v>MUSAMALI FRED</v>
      </c>
      <c r="E96" t="str">
        <f ca="1">OFFSET(Sheet2!G$3,(ROW(E97))*3,0)</f>
        <v>H2Go</v>
      </c>
      <c r="F96">
        <f ca="1">OFFSET(Sheet2!H$3,(ROW(F97))*3,0)</f>
        <v>0</v>
      </c>
      <c r="G96" t="str">
        <f ca="1">OFFSET(Sheet2!I$3,(ROW(G97))*3,0)</f>
        <v>WEEKLY</v>
      </c>
      <c r="H96">
        <f ca="1">OFFSET(Sheet2!J$3,(ROW(H97))*3,0)</f>
        <v>146</v>
      </c>
      <c r="I96" t="str">
        <f ca="1">OFFSET(Sheet2!K$3,(ROW(I97))*3,0)</f>
        <v>Recommendation</v>
      </c>
      <c r="J96" t="str">
        <f ca="1">OFFSET(Sheet2!L$3,(ROW(J97))*3,0)</f>
        <v>Needs to be changed</v>
      </c>
      <c r="K96" t="str">
        <f ca="1">OFFSET(Sheet2!M$3,(ROW(K97))*3,0)</f>
        <v>No service needed, looks good, maintain</v>
      </c>
      <c r="L96" t="str">
        <f ca="1">OFFSET(Sheet2!N$3,(ROW(L97))*3,0)</f>
        <v>No adjustment needed, looks good, maintain</v>
      </c>
      <c r="M96" t="str">
        <f ca="1">OFFSET(Sheet2!O$3,(ROW(M97))*3,0)</f>
        <v>Needs to be cleaned</v>
      </c>
      <c r="N96" t="str">
        <f ca="1">OFFSET(Sheet2!P$3,(ROW(N97))*3,0)</f>
        <v>No service needed, looks good, maintain</v>
      </c>
      <c r="O96" t="str">
        <f ca="1">OFFSET(Sheet2!Q$3,(ROW(O97))*3,0)</f>
        <v>No service needed, looks good, maintain</v>
      </c>
      <c r="P96">
        <f ca="1">OFFSET(Sheet2!R$3,(ROW(P97))*3,0)</f>
        <v>0</v>
      </c>
      <c r="Q96">
        <f ca="1">OFFSET(Sheet2!S$3,(ROW(Q97))*3,0)</f>
        <v>0</v>
      </c>
      <c r="R96">
        <f ca="1">OFFSET(Sheet2!T$3,(ROW(R97))*3,0)</f>
        <v>0</v>
      </c>
      <c r="S96">
        <f ca="1">OFFSET(Sheet2!U$2,(ROW(S97))*3,0)</f>
        <v>0</v>
      </c>
      <c r="T96">
        <f ca="1">OFFSET(Sheet2!V$2,(ROW(T97))*3,0)</f>
        <v>0</v>
      </c>
    </row>
    <row r="97" spans="1:20" x14ac:dyDescent="0.35">
      <c r="A97">
        <f ca="1">OFFSET(Sheet2!B$3,(ROW(A98))*3,0)</f>
        <v>43876</v>
      </c>
      <c r="B97">
        <f ca="1">OFFSET(Sheet2!C$3,(ROW(B98))*3,0)</f>
        <v>18</v>
      </c>
      <c r="C97" t="str">
        <f ca="1">OFFSET(Sheet2!D$3,(ROW(C98))*3,0)</f>
        <v>South</v>
      </c>
      <c r="D97" t="str">
        <f ca="1">OFFSET(Sheet2!F$3,(ROW(D98))*3,0)</f>
        <v>MUSAMALI FRED</v>
      </c>
      <c r="E97" t="str">
        <f ca="1">OFFSET(Sheet2!G$3,(ROW(E98))*3,0)</f>
        <v>H2GO</v>
      </c>
      <c r="F97">
        <f ca="1">OFFSET(Sheet2!H$3,(ROW(F98))*3,0)</f>
        <v>0</v>
      </c>
      <c r="G97" t="str">
        <f ca="1">OFFSET(Sheet2!I$3,(ROW(G98))*3,0)</f>
        <v>WEEKLY</v>
      </c>
      <c r="H97">
        <f ca="1">OFFSET(Sheet2!J$3,(ROW(H98))*3,0)</f>
        <v>108</v>
      </c>
      <c r="I97" t="str">
        <f ca="1">OFFSET(Sheet2!K$3,(ROW(I98))*3,0)</f>
        <v>Recommendation</v>
      </c>
      <c r="J97" t="str">
        <f ca="1">OFFSET(Sheet2!L$3,(ROW(J98))*3,0)</f>
        <v>NEEDS TO CHANGE</v>
      </c>
      <c r="K97" t="str">
        <f ca="1">OFFSET(Sheet2!M$3,(ROW(K98))*3,0)</f>
        <v>MAINTAIN</v>
      </c>
      <c r="L97" t="str">
        <f ca="1">OFFSET(Sheet2!N$3,(ROW(L98))*3,0)</f>
        <v>NEED SETTING</v>
      </c>
      <c r="M97" t="str">
        <f ca="1">OFFSET(Sheet2!O$3,(ROW(M98))*3,0)</f>
        <v>MAINTAIN</v>
      </c>
      <c r="N97" t="str">
        <f ca="1">OFFSET(Sheet2!P$3,(ROW(N98))*3,0)</f>
        <v>DOES NOT NEED CHANGING</v>
      </c>
      <c r="O97" t="str">
        <f ca="1">OFFSET(Sheet2!Q$3,(ROW(O98))*3,0)</f>
        <v>NO SERVICE REQUIRED</v>
      </c>
      <c r="P97">
        <f ca="1">OFFSET(Sheet2!R$3,(ROW(P98))*3,0)</f>
        <v>0</v>
      </c>
      <c r="Q97">
        <f ca="1">OFFSET(Sheet2!S$3,(ROW(Q98))*3,0)</f>
        <v>0</v>
      </c>
      <c r="R97">
        <f ca="1">OFFSET(Sheet2!T$3,(ROW(R98))*3,0)</f>
        <v>0</v>
      </c>
      <c r="S97">
        <f ca="1">OFFSET(Sheet2!U$2,(ROW(S98))*3,0)</f>
        <v>0</v>
      </c>
      <c r="T97">
        <f ca="1">OFFSET(Sheet2!V$2,(ROW(T98))*3,0)</f>
        <v>0</v>
      </c>
    </row>
    <row r="98" spans="1:20" x14ac:dyDescent="0.35">
      <c r="A98">
        <f ca="1">OFFSET(Sheet2!B$3,(ROW(A99))*3,0)</f>
        <v>43892</v>
      </c>
      <c r="B98">
        <f ca="1">OFFSET(Sheet2!C$3,(ROW(B99))*3,0)</f>
        <v>18</v>
      </c>
      <c r="C98" t="str">
        <f ca="1">OFFSET(Sheet2!D$3,(ROW(C99))*3,0)</f>
        <v>South</v>
      </c>
      <c r="D98" t="str">
        <f ca="1">OFFSET(Sheet2!F$3,(ROW(D99))*3,0)</f>
        <v>MUSAMALI FRED</v>
      </c>
      <c r="E98" t="str">
        <f ca="1">OFFSET(Sheet2!G$3,(ROW(E99))*3,0)</f>
        <v>H2GO</v>
      </c>
      <c r="F98">
        <f ca="1">OFFSET(Sheet2!H$3,(ROW(F99))*3,0)</f>
        <v>0</v>
      </c>
      <c r="G98" t="str">
        <f ca="1">OFFSET(Sheet2!I$3,(ROW(G99))*3,0)</f>
        <v>WEEKLY</v>
      </c>
      <c r="H98">
        <f ca="1">OFFSET(Sheet2!J$3,(ROW(H99))*3,0)</f>
        <v>136</v>
      </c>
      <c r="I98" t="str">
        <f ca="1">OFFSET(Sheet2!K$3,(ROW(I99))*3,0)</f>
        <v>Recommendation</v>
      </c>
      <c r="J98" t="str">
        <f ca="1">OFFSET(Sheet2!L$3,(ROW(J99))*3,0)</f>
        <v>Needs to be changed</v>
      </c>
      <c r="K98" t="str">
        <f ca="1">OFFSET(Sheet2!M$3,(ROW(K99))*3,0)</f>
        <v>Needs to be cleaned</v>
      </c>
      <c r="L98" t="str">
        <f ca="1">OFFSET(Sheet2!N$3,(ROW(L99))*3,0)</f>
        <v>Needs adjustment</v>
      </c>
      <c r="M98" t="str">
        <f ca="1">OFFSET(Sheet2!O$3,(ROW(M99))*3,0)</f>
        <v>Needs to be cleaned</v>
      </c>
      <c r="N98" t="str">
        <f ca="1">OFFSET(Sheet2!P$3,(ROW(N99))*3,0)</f>
        <v>No service needed, looks good, maintain</v>
      </c>
      <c r="O98" t="str">
        <f ca="1">OFFSET(Sheet2!Q$3,(ROW(O99))*3,0)</f>
        <v xml:space="preserve">Replace Nut </v>
      </c>
      <c r="P98">
        <f ca="1">OFFSET(Sheet2!R$3,(ROW(P99))*3,0)</f>
        <v>0</v>
      </c>
      <c r="Q98">
        <f ca="1">OFFSET(Sheet2!S$3,(ROW(Q99))*3,0)</f>
        <v>0</v>
      </c>
      <c r="R98">
        <f ca="1">OFFSET(Sheet2!T$3,(ROW(R99))*3,0)</f>
        <v>0</v>
      </c>
      <c r="S98">
        <f ca="1">OFFSET(Sheet2!U$2,(ROW(S99))*3,0)</f>
        <v>0</v>
      </c>
      <c r="T98">
        <f ca="1">OFFSET(Sheet2!V$2,(ROW(T99))*3,0)</f>
        <v>0</v>
      </c>
    </row>
    <row r="99" spans="1:20" x14ac:dyDescent="0.35">
      <c r="A99">
        <f ca="1">OFFSET(Sheet2!B$3,(ROW(A100))*3,0)</f>
        <v>43899</v>
      </c>
      <c r="B99">
        <f ca="1">OFFSET(Sheet2!C$3,(ROW(B100))*3,0)</f>
        <v>18</v>
      </c>
      <c r="C99" t="str">
        <f ca="1">OFFSET(Sheet2!D$3,(ROW(C100))*3,0)</f>
        <v>South</v>
      </c>
      <c r="D99" t="str">
        <f ca="1">OFFSET(Sheet2!F$3,(ROW(D100))*3,0)</f>
        <v>MUSAMALI FRED</v>
      </c>
      <c r="E99" t="str">
        <f ca="1">OFFSET(Sheet2!G$3,(ROW(E100))*3,0)</f>
        <v>H2GO</v>
      </c>
      <c r="F99">
        <f ca="1">OFFSET(Sheet2!H$3,(ROW(F100))*3,0)</f>
        <v>0</v>
      </c>
      <c r="G99" t="str">
        <f ca="1">OFFSET(Sheet2!I$3,(ROW(G100))*3,0)</f>
        <v>WEEKLY</v>
      </c>
      <c r="H99">
        <f ca="1">OFFSET(Sheet2!J$3,(ROW(H100))*3,0)</f>
        <v>151</v>
      </c>
      <c r="I99" t="str">
        <f ca="1">OFFSET(Sheet2!K$3,(ROW(I100))*3,0)</f>
        <v>Recommendation</v>
      </c>
      <c r="J99" t="str">
        <f ca="1">OFFSET(Sheet2!L$3,(ROW(J100))*3,0)</f>
        <v>Needs to be changed</v>
      </c>
      <c r="K99" t="str">
        <f ca="1">OFFSET(Sheet2!M$3,(ROW(K100))*3,0)</f>
        <v>No service needed, looks good, maintain</v>
      </c>
      <c r="L99" t="str">
        <f ca="1">OFFSET(Sheet2!N$3,(ROW(L100))*3,0)</f>
        <v>No adjustment needed, looks good, maintain</v>
      </c>
      <c r="M99" t="str">
        <f ca="1">OFFSET(Sheet2!O$3,(ROW(M100))*3,0)</f>
        <v>Needs to be cleaned</v>
      </c>
      <c r="N99" t="str">
        <f ca="1">OFFSET(Sheet2!P$3,(ROW(N100))*3,0)</f>
        <v>No service needed, looks good, maintain</v>
      </c>
      <c r="O99" t="str">
        <f ca="1">OFFSET(Sheet2!Q$3,(ROW(O100))*3,0)</f>
        <v>No service needed, looks good, maintain</v>
      </c>
      <c r="P99">
        <f ca="1">OFFSET(Sheet2!R$3,(ROW(P100))*3,0)</f>
        <v>0</v>
      </c>
      <c r="Q99">
        <f ca="1">OFFSET(Sheet2!S$3,(ROW(Q100))*3,0)</f>
        <v>0</v>
      </c>
      <c r="R99">
        <f ca="1">OFFSET(Sheet2!T$3,(ROW(R100))*3,0)</f>
        <v>0</v>
      </c>
      <c r="S99">
        <f ca="1">OFFSET(Sheet2!U$2,(ROW(S100))*3,0)</f>
        <v>0</v>
      </c>
      <c r="T99">
        <f ca="1">OFFSET(Sheet2!V$2,(ROW(T100))*3,0)</f>
        <v>0</v>
      </c>
    </row>
    <row r="100" spans="1:20" x14ac:dyDescent="0.35">
      <c r="A100">
        <f ca="1">OFFSET(Sheet2!B$3,(ROW(A101))*3,0)</f>
        <v>43841</v>
      </c>
      <c r="B100">
        <f ca="1">OFFSET(Sheet2!C$3,(ROW(B101))*3,0)</f>
        <v>19</v>
      </c>
      <c r="C100" t="str">
        <f ca="1">OFFSET(Sheet2!D$3,(ROW(C101))*3,0)</f>
        <v>South</v>
      </c>
      <c r="D100" t="str">
        <f ca="1">OFFSET(Sheet2!F$3,(ROW(D101))*3,0)</f>
        <v>MULONDO SULAITI</v>
      </c>
      <c r="E100" t="str">
        <f ca="1">OFFSET(Sheet2!G$3,(ROW(E101))*3,0)</f>
        <v>H2Go</v>
      </c>
      <c r="F100">
        <f ca="1">OFFSET(Sheet2!H$3,(ROW(F101))*3,0)</f>
        <v>0</v>
      </c>
      <c r="G100" t="str">
        <f ca="1">OFFSET(Sheet2!I$3,(ROW(G101))*3,0)</f>
        <v>Comprehensive</v>
      </c>
      <c r="H100">
        <f ca="1">OFFSET(Sheet2!J$3,(ROW(H101))*3,0)</f>
        <v>92</v>
      </c>
      <c r="I100" t="str">
        <f ca="1">OFFSET(Sheet2!K$3,(ROW(I101))*3,0)</f>
        <v>Recommendation</v>
      </c>
      <c r="J100" t="str">
        <f ca="1">OFFSET(Sheet2!L$3,(ROW(J101))*3,0)</f>
        <v>NEEDS TO ATLEAST CHANGE WEEKLY</v>
      </c>
      <c r="K100" t="str">
        <f ca="1">OFFSET(Sheet2!M$3,(ROW(K101))*3,0)</f>
        <v>needs to be serviced weekly</v>
      </c>
      <c r="L100" t="str">
        <f ca="1">OFFSET(Sheet2!N$3,(ROW(L101))*3,0)</f>
        <v>weekly setting needed</v>
      </c>
      <c r="M100" t="str">
        <f ca="1">OFFSET(Sheet2!O$3,(ROW(M101))*3,0)</f>
        <v>maintain</v>
      </c>
      <c r="N100" t="str">
        <f ca="1">OFFSET(Sheet2!P$3,(ROW(N101))*3,0)</f>
        <v>Not changed</v>
      </c>
      <c r="O100" t="str">
        <f ca="1">OFFSET(Sheet2!Q$3,(ROW(O101))*3,0)</f>
        <v>maintain</v>
      </c>
      <c r="P100" t="str">
        <f ca="1">OFFSET(Sheet2!R$3,(ROW(P101))*3,0)</f>
        <v>needs to be replaced</v>
      </c>
      <c r="Q100" t="str">
        <f ca="1">OFFSET(Sheet2!S$3,(ROW(Q101))*3,0)</f>
        <v>maintain</v>
      </c>
      <c r="R100" t="str">
        <f ca="1">OFFSET(Sheet2!T$3,(ROW(R101))*3,0)</f>
        <v>maintain</v>
      </c>
      <c r="S100">
        <f ca="1">OFFSET(Sheet2!U$2,(ROW(S101))*3,0)</f>
        <v>0</v>
      </c>
      <c r="T100">
        <f ca="1">OFFSET(Sheet2!V$2,(ROW(T101))*3,0)</f>
        <v>0</v>
      </c>
    </row>
    <row r="101" spans="1:20" x14ac:dyDescent="0.35">
      <c r="A101">
        <f ca="1">OFFSET(Sheet2!B$3,(ROW(A102))*3,0)</f>
        <v>43848</v>
      </c>
      <c r="B101">
        <f ca="1">OFFSET(Sheet2!C$3,(ROW(B102))*3,0)</f>
        <v>19</v>
      </c>
      <c r="C101" t="str">
        <f ca="1">OFFSET(Sheet2!D$3,(ROW(C102))*3,0)</f>
        <v>South</v>
      </c>
      <c r="D101" t="str">
        <f ca="1">OFFSET(Sheet2!F$3,(ROW(D102))*3,0)</f>
        <v>MULONDO SULAITI</v>
      </c>
      <c r="E101" t="str">
        <f ca="1">OFFSET(Sheet2!G$3,(ROW(E102))*3,0)</f>
        <v>H2Go</v>
      </c>
      <c r="F101">
        <f ca="1">OFFSET(Sheet2!H$3,(ROW(F102))*3,0)</f>
        <v>0</v>
      </c>
      <c r="G101" t="str">
        <f ca="1">OFFSET(Sheet2!I$3,(ROW(G102))*3,0)</f>
        <v>WEEKLY</v>
      </c>
      <c r="H101">
        <f ca="1">OFFSET(Sheet2!J$3,(ROW(H102))*3,0)</f>
        <v>38</v>
      </c>
      <c r="I101" t="str">
        <f ca="1">OFFSET(Sheet2!K$3,(ROW(I102))*3,0)</f>
        <v>Recommendation</v>
      </c>
      <c r="J101" t="str">
        <f ca="1">OFFSET(Sheet2!L$3,(ROW(J102))*3,0)</f>
        <v>change weekly</v>
      </c>
      <c r="K101" t="str">
        <f ca="1">OFFSET(Sheet2!M$3,(ROW(K102))*3,0)</f>
        <v>good</v>
      </c>
      <c r="L101" t="str">
        <f ca="1">OFFSET(Sheet2!N$3,(ROW(L102))*3,0)</f>
        <v>good</v>
      </c>
      <c r="M101" t="str">
        <f ca="1">OFFSET(Sheet2!O$3,(ROW(M102))*3,0)</f>
        <v>good</v>
      </c>
      <c r="N101" t="str">
        <f ca="1">OFFSET(Sheet2!P$3,(ROW(N102))*3,0)</f>
        <v>good</v>
      </c>
      <c r="O101" t="str">
        <f ca="1">OFFSET(Sheet2!Q$3,(ROW(O102))*3,0)</f>
        <v>IN A GOOD CONDITION</v>
      </c>
      <c r="P101">
        <f ca="1">OFFSET(Sheet2!R$3,(ROW(P102))*3,0)</f>
        <v>0</v>
      </c>
      <c r="Q101">
        <f ca="1">OFFSET(Sheet2!S$3,(ROW(Q102))*3,0)</f>
        <v>0</v>
      </c>
      <c r="R101">
        <f ca="1">OFFSET(Sheet2!T$3,(ROW(R102))*3,0)</f>
        <v>0</v>
      </c>
      <c r="S101">
        <f ca="1">OFFSET(Sheet2!U$2,(ROW(S102))*3,0)</f>
        <v>0</v>
      </c>
      <c r="T101">
        <f ca="1">OFFSET(Sheet2!V$2,(ROW(T102))*3,0)</f>
        <v>0</v>
      </c>
    </row>
    <row r="102" spans="1:20" x14ac:dyDescent="0.35">
      <c r="A102">
        <f ca="1">OFFSET(Sheet2!B$3,(ROW(A103))*3,0)</f>
        <v>43855</v>
      </c>
      <c r="B102">
        <f ca="1">OFFSET(Sheet2!C$3,(ROW(B103))*3,0)</f>
        <v>19</v>
      </c>
      <c r="C102" t="str">
        <f ca="1">OFFSET(Sheet2!D$3,(ROW(C103))*3,0)</f>
        <v>South</v>
      </c>
      <c r="D102" t="str">
        <f ca="1">OFFSET(Sheet2!F$3,(ROW(D103))*3,0)</f>
        <v>MULONDO SULAITI</v>
      </c>
      <c r="E102" t="str">
        <f ca="1">OFFSET(Sheet2!G$3,(ROW(E103))*3,0)</f>
        <v>H2Go</v>
      </c>
      <c r="F102">
        <f ca="1">OFFSET(Sheet2!H$3,(ROW(F103))*3,0)</f>
        <v>0</v>
      </c>
      <c r="G102" t="str">
        <f ca="1">OFFSET(Sheet2!I$3,(ROW(G103))*3,0)</f>
        <v>WEEKLY</v>
      </c>
      <c r="H102">
        <f ca="1">OFFSET(Sheet2!J$3,(ROW(H103))*3,0)</f>
        <v>62</v>
      </c>
      <c r="I102" t="str">
        <f ca="1">OFFSET(Sheet2!K$3,(ROW(I103))*3,0)</f>
        <v>Recommendation</v>
      </c>
      <c r="J102" t="str">
        <f ca="1">OFFSET(Sheet2!L$3,(ROW(J103))*3,0)</f>
        <v>CHANGE WEEKLY</v>
      </c>
      <c r="K102" t="str">
        <f ca="1">OFFSET(Sheet2!M$3,(ROW(K103))*3,0)</f>
        <v>GOOD</v>
      </c>
      <c r="L102" t="str">
        <f ca="1">OFFSET(Sheet2!N$3,(ROW(L103))*3,0)</f>
        <v>ONCE IN A MONTH</v>
      </c>
      <c r="M102" t="str">
        <f ca="1">OFFSET(Sheet2!O$3,(ROW(M103))*3,0)</f>
        <v>GOOD</v>
      </c>
      <c r="N102" t="str">
        <f ca="1">OFFSET(Sheet2!P$3,(ROW(N103))*3,0)</f>
        <v>GOOD</v>
      </c>
      <c r="O102" t="str">
        <f ca="1">OFFSET(Sheet2!Q$3,(ROW(O103))*3,0)</f>
        <v>NEEDS TO BE CHECKED ATLEAST ONCE IN A MONTH</v>
      </c>
      <c r="P102">
        <f ca="1">OFFSET(Sheet2!R$3,(ROW(P103))*3,0)</f>
        <v>0</v>
      </c>
      <c r="Q102">
        <f ca="1">OFFSET(Sheet2!S$3,(ROW(Q103))*3,0)</f>
        <v>0</v>
      </c>
      <c r="R102">
        <f ca="1">OFFSET(Sheet2!T$3,(ROW(R103))*3,0)</f>
        <v>0</v>
      </c>
      <c r="S102">
        <f ca="1">OFFSET(Sheet2!U$2,(ROW(S103))*3,0)</f>
        <v>0</v>
      </c>
      <c r="T102">
        <f ca="1">OFFSET(Sheet2!V$2,(ROW(T103))*3,0)</f>
        <v>0</v>
      </c>
    </row>
    <row r="103" spans="1:20" x14ac:dyDescent="0.35">
      <c r="A103">
        <f ca="1">OFFSET(Sheet2!B$3,(ROW(A104))*3,0)</f>
        <v>43862</v>
      </c>
      <c r="B103">
        <f ca="1">OFFSET(Sheet2!C$3,(ROW(B104))*3,0)</f>
        <v>19</v>
      </c>
      <c r="C103" t="str">
        <f ca="1">OFFSET(Sheet2!D$3,(ROW(C104))*3,0)</f>
        <v>South</v>
      </c>
      <c r="D103" t="str">
        <f ca="1">OFFSET(Sheet2!F$3,(ROW(D104))*3,0)</f>
        <v>MULONDO SULAITI</v>
      </c>
      <c r="E103" t="str">
        <f ca="1">OFFSET(Sheet2!G$3,(ROW(E104))*3,0)</f>
        <v>H2GO</v>
      </c>
      <c r="F103">
        <f ca="1">OFFSET(Sheet2!H$3,(ROW(F104))*3,0)</f>
        <v>0</v>
      </c>
      <c r="G103" t="str">
        <f ca="1">OFFSET(Sheet2!I$3,(ROW(G104))*3,0)</f>
        <v>WEEKLY</v>
      </c>
      <c r="H103">
        <f ca="1">OFFSET(Sheet2!J$3,(ROW(H104))*3,0)</f>
        <v>88</v>
      </c>
      <c r="I103" t="str">
        <f ca="1">OFFSET(Sheet2!K$3,(ROW(I104))*3,0)</f>
        <v>Recommendation</v>
      </c>
      <c r="J103" t="str">
        <f ca="1">OFFSET(Sheet2!L$3,(ROW(J104))*3,0)</f>
        <v>CHANGE WEEKLY</v>
      </c>
      <c r="K103" t="str">
        <f ca="1">OFFSET(Sheet2!M$3,(ROW(K104))*3,0)</f>
        <v>KEEP IT UP</v>
      </c>
      <c r="L103" t="str">
        <f ca="1">OFFSET(Sheet2!N$3,(ROW(L104))*3,0)</f>
        <v>GOOD</v>
      </c>
      <c r="M103" t="str">
        <f ca="1">OFFSET(Sheet2!O$3,(ROW(M104))*3,0)</f>
        <v>GOOD</v>
      </c>
      <c r="N103" t="str">
        <f ca="1">OFFSET(Sheet2!P$3,(ROW(N104))*3,0)</f>
        <v>GOOD</v>
      </c>
      <c r="O103" t="str">
        <f ca="1">OFFSET(Sheet2!Q$3,(ROW(O104))*3,0)</f>
        <v>GOOD</v>
      </c>
      <c r="P103">
        <f ca="1">OFFSET(Sheet2!R$3,(ROW(P104))*3,0)</f>
        <v>0</v>
      </c>
      <c r="Q103">
        <f ca="1">OFFSET(Sheet2!S$3,(ROW(Q104))*3,0)</f>
        <v>0</v>
      </c>
      <c r="R103">
        <f ca="1">OFFSET(Sheet2!T$3,(ROW(R104))*3,0)</f>
        <v>0</v>
      </c>
      <c r="S103">
        <f ca="1">OFFSET(Sheet2!U$2,(ROW(S104))*3,0)</f>
        <v>0</v>
      </c>
      <c r="T103">
        <f ca="1">OFFSET(Sheet2!V$2,(ROW(T104))*3,0)</f>
        <v>0</v>
      </c>
    </row>
    <row r="104" spans="1:20" x14ac:dyDescent="0.35">
      <c r="A104">
        <f ca="1">OFFSET(Sheet2!B$3,(ROW(A105))*3,0)</f>
        <v>43869</v>
      </c>
      <c r="B104">
        <f ca="1">OFFSET(Sheet2!C$3,(ROW(B105))*3,0)</f>
        <v>19</v>
      </c>
      <c r="C104" t="str">
        <f ca="1">OFFSET(Sheet2!D$3,(ROW(C105))*3,0)</f>
        <v>South</v>
      </c>
      <c r="D104" t="str">
        <f ca="1">OFFSET(Sheet2!F$3,(ROW(D105))*3,0)</f>
        <v>MULONDO SULAITI</v>
      </c>
      <c r="E104" t="str">
        <f ca="1">OFFSET(Sheet2!G$3,(ROW(E105))*3,0)</f>
        <v>H2Go</v>
      </c>
      <c r="F104">
        <f ca="1">OFFSET(Sheet2!H$3,(ROW(F105))*3,0)</f>
        <v>0</v>
      </c>
      <c r="G104" t="str">
        <f ca="1">OFFSET(Sheet2!I$3,(ROW(G105))*3,0)</f>
        <v>WEEKLY</v>
      </c>
      <c r="H104">
        <f ca="1">OFFSET(Sheet2!J$3,(ROW(H105))*3,0)</f>
        <v>193</v>
      </c>
      <c r="I104" t="str">
        <f ca="1">OFFSET(Sheet2!K$3,(ROW(I105))*3,0)</f>
        <v>Recommendation</v>
      </c>
      <c r="J104" t="str">
        <f ca="1">OFFSET(Sheet2!L$3,(ROW(J105))*3,0)</f>
        <v>change weekly</v>
      </c>
      <c r="K104" t="str">
        <f ca="1">OFFSET(Sheet2!M$3,(ROW(K105))*3,0)</f>
        <v>KEEP IT CHECKED</v>
      </c>
      <c r="L104" t="str">
        <f ca="1">OFFSET(Sheet2!N$3,(ROW(L105))*3,0)</f>
        <v>KEEP IT MAINTAINED</v>
      </c>
      <c r="M104" t="str">
        <f ca="1">OFFSET(Sheet2!O$3,(ROW(M105))*3,0)</f>
        <v>Keep it clean</v>
      </c>
      <c r="N104" t="str">
        <f ca="1">OFFSET(Sheet2!P$3,(ROW(N105))*3,0)</f>
        <v>Keep it clean</v>
      </c>
      <c r="O104" t="str">
        <f ca="1">OFFSET(Sheet2!Q$3,(ROW(O105))*3,0)</f>
        <v>KEEP IT MAINTAINED</v>
      </c>
      <c r="P104">
        <f ca="1">OFFSET(Sheet2!R$3,(ROW(P105))*3,0)</f>
        <v>0</v>
      </c>
      <c r="Q104">
        <f ca="1">OFFSET(Sheet2!S$3,(ROW(Q105))*3,0)</f>
        <v>0</v>
      </c>
      <c r="R104">
        <f ca="1">OFFSET(Sheet2!T$3,(ROW(R105))*3,0)</f>
        <v>0</v>
      </c>
      <c r="S104">
        <f ca="1">OFFSET(Sheet2!U$2,(ROW(S105))*3,0)</f>
        <v>0</v>
      </c>
      <c r="T104">
        <f ca="1">OFFSET(Sheet2!V$2,(ROW(T105))*3,0)</f>
        <v>0</v>
      </c>
    </row>
    <row r="105" spans="1:20" x14ac:dyDescent="0.35">
      <c r="A105">
        <f ca="1">OFFSET(Sheet2!B$3,(ROW(A106))*3,0)</f>
        <v>43876</v>
      </c>
      <c r="B105">
        <f ca="1">OFFSET(Sheet2!C$3,(ROW(B106))*3,0)</f>
        <v>19</v>
      </c>
      <c r="C105" t="str">
        <f ca="1">OFFSET(Sheet2!D$3,(ROW(C106))*3,0)</f>
        <v>South</v>
      </c>
      <c r="D105" t="str">
        <f ca="1">OFFSET(Sheet2!F$3,(ROW(D106))*3,0)</f>
        <v>MULONDO SULAITI</v>
      </c>
      <c r="E105" t="str">
        <f ca="1">OFFSET(Sheet2!G$3,(ROW(E106))*3,0)</f>
        <v>H2Go</v>
      </c>
      <c r="F105">
        <f ca="1">OFFSET(Sheet2!H$3,(ROW(F106))*3,0)</f>
        <v>0</v>
      </c>
      <c r="G105" t="str">
        <f ca="1">OFFSET(Sheet2!I$3,(ROW(G106))*3,0)</f>
        <v>WEEKLY</v>
      </c>
      <c r="H105">
        <f ca="1">OFFSET(Sheet2!J$3,(ROW(H106))*3,0)</f>
        <v>125</v>
      </c>
      <c r="I105" t="str">
        <f ca="1">OFFSET(Sheet2!K$3,(ROW(I106))*3,0)</f>
        <v>Recommendation</v>
      </c>
      <c r="J105" t="str">
        <f ca="1">OFFSET(Sheet2!L$3,(ROW(J106))*3,0)</f>
        <v>NEEDS TO REPLACE PISTON RINGS &amp; VALVES</v>
      </c>
      <c r="K105" t="str">
        <f ca="1">OFFSET(Sheet2!M$3,(ROW(K106))*3,0)</f>
        <v>KEEP IT CHECKED</v>
      </c>
      <c r="L105" t="str">
        <f ca="1">OFFSET(Sheet2!N$3,(ROW(L106))*3,0)</f>
        <v>NEEDS TO BE SET</v>
      </c>
      <c r="M105" t="str">
        <f ca="1">OFFSET(Sheet2!O$3,(ROW(M106))*3,0)</f>
        <v>Keep it clean</v>
      </c>
      <c r="N105" t="str">
        <f ca="1">OFFSET(Sheet2!P$3,(ROW(N106))*3,0)</f>
        <v>Keep it clean</v>
      </c>
      <c r="O105" t="str">
        <f ca="1">OFFSET(Sheet2!Q$3,(ROW(O106))*3,0)</f>
        <v>KEEP IT MAINTAINED</v>
      </c>
      <c r="P105">
        <f ca="1">OFFSET(Sheet2!R$3,(ROW(P106))*3,0)</f>
        <v>0</v>
      </c>
      <c r="Q105">
        <f ca="1">OFFSET(Sheet2!S$3,(ROW(Q106))*3,0)</f>
        <v>0</v>
      </c>
      <c r="R105">
        <f ca="1">OFFSET(Sheet2!T$3,(ROW(R106))*3,0)</f>
        <v>0</v>
      </c>
      <c r="S105">
        <f ca="1">OFFSET(Sheet2!U$2,(ROW(S106))*3,0)</f>
        <v>0</v>
      </c>
      <c r="T105">
        <f ca="1">OFFSET(Sheet2!V$2,(ROW(T106))*3,0)</f>
        <v>0</v>
      </c>
    </row>
    <row r="106" spans="1:20" x14ac:dyDescent="0.35">
      <c r="A106">
        <f ca="1">OFFSET(Sheet2!B$3,(ROW(A107))*3,0)</f>
        <v>43885</v>
      </c>
      <c r="B106">
        <f ca="1">OFFSET(Sheet2!C$3,(ROW(B107))*3,0)</f>
        <v>19</v>
      </c>
      <c r="C106" t="str">
        <f ca="1">OFFSET(Sheet2!D$3,(ROW(C107))*3,0)</f>
        <v>South</v>
      </c>
      <c r="D106" t="str">
        <f ca="1">OFFSET(Sheet2!F$3,(ROW(D107))*3,0)</f>
        <v>MULONDO SULAITI</v>
      </c>
      <c r="E106" t="str">
        <f ca="1">OFFSET(Sheet2!G$3,(ROW(E107))*3,0)</f>
        <v>H2Go</v>
      </c>
      <c r="F106">
        <f ca="1">OFFSET(Sheet2!H$3,(ROW(F107))*3,0)</f>
        <v>0</v>
      </c>
      <c r="G106" t="str">
        <f ca="1">OFFSET(Sheet2!I$3,(ROW(G107))*3,0)</f>
        <v>WEEKLY</v>
      </c>
      <c r="H106">
        <f ca="1">OFFSET(Sheet2!J$3,(ROW(H107))*3,0)</f>
        <v>112</v>
      </c>
      <c r="I106" t="str">
        <f ca="1">OFFSET(Sheet2!K$3,(ROW(I107))*3,0)</f>
        <v>Recommendation</v>
      </c>
      <c r="J106" t="str">
        <f ca="1">OFFSET(Sheet2!L$3,(ROW(J107))*3,0)</f>
        <v>Needs to be changed</v>
      </c>
      <c r="K106" t="str">
        <f ca="1">OFFSET(Sheet2!M$3,(ROW(K107))*3,0)</f>
        <v>Monitor, needs to be serviced soon</v>
      </c>
      <c r="L106" t="str">
        <f ca="1">OFFSET(Sheet2!N$3,(ROW(L107))*3,0)</f>
        <v>Needs adjustment</v>
      </c>
      <c r="M106" t="str">
        <f ca="1">OFFSET(Sheet2!O$3,(ROW(M107))*3,0)</f>
        <v>No service needed, looks good, maintain</v>
      </c>
      <c r="N106" t="str">
        <f ca="1">OFFSET(Sheet2!P$3,(ROW(N107))*3,0)</f>
        <v>No service needed, looks good, maintain</v>
      </c>
      <c r="O106" t="str">
        <f ca="1">OFFSET(Sheet2!Q$3,(ROW(O107))*3,0)</f>
        <v>No service needed, looks good, maintain</v>
      </c>
      <c r="P106">
        <f ca="1">OFFSET(Sheet2!R$3,(ROW(P107))*3,0)</f>
        <v>0</v>
      </c>
      <c r="Q106">
        <f ca="1">OFFSET(Sheet2!S$3,(ROW(Q107))*3,0)</f>
        <v>0</v>
      </c>
      <c r="R106">
        <f ca="1">OFFSET(Sheet2!T$3,(ROW(R107))*3,0)</f>
        <v>0</v>
      </c>
      <c r="S106">
        <f ca="1">OFFSET(Sheet2!U$2,(ROW(S107))*3,0)</f>
        <v>0</v>
      </c>
      <c r="T106">
        <f ca="1">OFFSET(Sheet2!V$2,(ROW(T107))*3,0)</f>
        <v>0</v>
      </c>
    </row>
    <row r="107" spans="1:20" x14ac:dyDescent="0.35">
      <c r="A107">
        <f ca="1">OFFSET(Sheet2!B$3,(ROW(A108))*3,0)</f>
        <v>43892</v>
      </c>
      <c r="B107">
        <f ca="1">OFFSET(Sheet2!C$3,(ROW(B108))*3,0)</f>
        <v>19</v>
      </c>
      <c r="C107" t="str">
        <f ca="1">OFFSET(Sheet2!D$3,(ROW(C108))*3,0)</f>
        <v>South</v>
      </c>
      <c r="D107" t="str">
        <f ca="1">OFFSET(Sheet2!F$3,(ROW(D108))*3,0)</f>
        <v>MULONDO SULAITI</v>
      </c>
      <c r="E107" t="str">
        <f ca="1">OFFSET(Sheet2!G$3,(ROW(E108))*3,0)</f>
        <v>H2GO</v>
      </c>
      <c r="F107">
        <f ca="1">OFFSET(Sheet2!H$3,(ROW(F108))*3,0)</f>
        <v>0</v>
      </c>
      <c r="G107" t="str">
        <f ca="1">OFFSET(Sheet2!I$3,(ROW(G108))*3,0)</f>
        <v>WEEKLY</v>
      </c>
      <c r="H107">
        <f ca="1">OFFSET(Sheet2!J$3,(ROW(H108))*3,0)</f>
        <v>102</v>
      </c>
      <c r="I107" t="str">
        <f ca="1">OFFSET(Sheet2!K$3,(ROW(I108))*3,0)</f>
        <v>Recommendation</v>
      </c>
      <c r="J107" t="str">
        <f ca="1">OFFSET(Sheet2!L$3,(ROW(J108))*3,0)</f>
        <v>Needs to be changed</v>
      </c>
      <c r="K107" t="str">
        <f ca="1">OFFSET(Sheet2!M$3,(ROW(K108))*3,0)</f>
        <v>Needs to be adjusted</v>
      </c>
      <c r="L107" t="str">
        <f ca="1">OFFSET(Sheet2!N$3,(ROW(L108))*3,0)</f>
        <v>Needs adjustment</v>
      </c>
      <c r="M107" t="str">
        <f ca="1">OFFSET(Sheet2!O$3,(ROW(M108))*3,0)</f>
        <v>Will need to be cleaned next week</v>
      </c>
      <c r="N107" t="str">
        <f ca="1">OFFSET(Sheet2!P$3,(ROW(N108))*3,0)</f>
        <v>Monitor closely, will need to be changed soon</v>
      </c>
      <c r="O107" t="str">
        <f ca="1">OFFSET(Sheet2!Q$3,(ROW(O108))*3,0)</f>
        <v xml:space="preserve">Replace Nut </v>
      </c>
      <c r="P107">
        <f ca="1">OFFSET(Sheet2!R$3,(ROW(P108))*3,0)</f>
        <v>0</v>
      </c>
      <c r="Q107">
        <f ca="1">OFFSET(Sheet2!S$3,(ROW(Q108))*3,0)</f>
        <v>0</v>
      </c>
      <c r="R107">
        <f ca="1">OFFSET(Sheet2!T$3,(ROW(R108))*3,0)</f>
        <v>0</v>
      </c>
      <c r="S107">
        <f ca="1">OFFSET(Sheet2!U$2,(ROW(S108))*3,0)</f>
        <v>0</v>
      </c>
      <c r="T107">
        <f ca="1">OFFSET(Sheet2!V$2,(ROW(T108))*3,0)</f>
        <v>0</v>
      </c>
    </row>
    <row r="108" spans="1:20" x14ac:dyDescent="0.35">
      <c r="A108">
        <f ca="1">OFFSET(Sheet2!B$3,(ROW(A109))*3,0)</f>
        <v>43899</v>
      </c>
      <c r="B108">
        <f ca="1">OFFSET(Sheet2!C$3,(ROW(B109))*3,0)</f>
        <v>19</v>
      </c>
      <c r="C108" t="str">
        <f ca="1">OFFSET(Sheet2!D$3,(ROW(C109))*3,0)</f>
        <v>South</v>
      </c>
      <c r="D108" t="str">
        <f ca="1">OFFSET(Sheet2!F$3,(ROW(D109))*3,0)</f>
        <v>MULONDO SULAITI</v>
      </c>
      <c r="E108" t="str">
        <f ca="1">OFFSET(Sheet2!G$3,(ROW(E109))*3,0)</f>
        <v>H2GO</v>
      </c>
      <c r="F108">
        <f ca="1">OFFSET(Sheet2!H$3,(ROW(F109))*3,0)</f>
        <v>0</v>
      </c>
      <c r="G108" t="str">
        <f ca="1">OFFSET(Sheet2!I$3,(ROW(G109))*3,0)</f>
        <v>WEEKLY</v>
      </c>
      <c r="H108">
        <f ca="1">OFFSET(Sheet2!J$3,(ROW(H109))*3,0)</f>
        <v>159</v>
      </c>
      <c r="I108" t="str">
        <f ca="1">OFFSET(Sheet2!K$3,(ROW(I109))*3,0)</f>
        <v>Recommendation</v>
      </c>
      <c r="J108" t="str">
        <f ca="1">OFFSET(Sheet2!L$3,(ROW(J109))*3,0)</f>
        <v>Needs to be changed</v>
      </c>
      <c r="K108" t="str">
        <f ca="1">OFFSET(Sheet2!M$3,(ROW(K109))*3,0)</f>
        <v>Needs to be cleaned</v>
      </c>
      <c r="L108" t="str">
        <f ca="1">OFFSET(Sheet2!N$3,(ROW(L109))*3,0)</f>
        <v>Needs adjustment, tappets are loose</v>
      </c>
      <c r="M108" t="str">
        <f ca="1">OFFSET(Sheet2!O$3,(ROW(M109))*3,0)</f>
        <v>No service needed, looks good, maintain</v>
      </c>
      <c r="N108" t="str">
        <f ca="1">OFFSET(Sheet2!P$3,(ROW(N109))*3,0)</f>
        <v>No service needed, looks good, maintain</v>
      </c>
      <c r="O108" t="str">
        <f ca="1">OFFSET(Sheet2!Q$3,(ROW(O109))*3,0)</f>
        <v>No service needed, looks good, maintain</v>
      </c>
      <c r="P108">
        <f ca="1">OFFSET(Sheet2!R$3,(ROW(P109))*3,0)</f>
        <v>0</v>
      </c>
      <c r="Q108">
        <f ca="1">OFFSET(Sheet2!S$3,(ROW(Q109))*3,0)</f>
        <v>0</v>
      </c>
      <c r="R108">
        <f ca="1">OFFSET(Sheet2!T$3,(ROW(R109))*3,0)</f>
        <v>0</v>
      </c>
      <c r="S108">
        <f ca="1">OFFSET(Sheet2!U$2,(ROW(S109))*3,0)</f>
        <v>0</v>
      </c>
      <c r="T108">
        <f ca="1">OFFSET(Sheet2!V$2,(ROW(T109))*3,0)</f>
        <v>0</v>
      </c>
    </row>
    <row r="109" spans="1:20" x14ac:dyDescent="0.35">
      <c r="A109">
        <f ca="1">OFFSET(Sheet2!B$3,(ROW(A110))*3,0)</f>
        <v>43841</v>
      </c>
      <c r="B109">
        <f ca="1">OFFSET(Sheet2!C$3,(ROW(B110))*3,0)</f>
        <v>20</v>
      </c>
      <c r="C109" t="str">
        <f ca="1">OFFSET(Sheet2!D$3,(ROW(C110))*3,0)</f>
        <v>South</v>
      </c>
      <c r="D109" t="str">
        <f ca="1">OFFSET(Sheet2!F$3,(ROW(D110))*3,0)</f>
        <v>MUKHWANA MOSES</v>
      </c>
      <c r="E109" t="str">
        <f ca="1">OFFSET(Sheet2!G$3,(ROW(E110))*3,0)</f>
        <v>H2Go</v>
      </c>
      <c r="F109">
        <f ca="1">OFFSET(Sheet2!H$3,(ROW(F110))*3,0)</f>
        <v>0</v>
      </c>
      <c r="G109" t="str">
        <f ca="1">OFFSET(Sheet2!I$3,(ROW(G110))*3,0)</f>
        <v>Comprehensive</v>
      </c>
      <c r="H109">
        <f ca="1">OFFSET(Sheet2!J$3,(ROW(H110))*3,0)</f>
        <v>95</v>
      </c>
      <c r="I109" t="str">
        <f ca="1">OFFSET(Sheet2!K$3,(ROW(I110))*3,0)</f>
        <v>Recommendation</v>
      </c>
      <c r="J109" t="str">
        <f ca="1">OFFSET(Sheet2!L$3,(ROW(J110))*3,0)</f>
        <v>change weekly</v>
      </c>
      <c r="K109" t="str">
        <f ca="1">OFFSET(Sheet2!M$3,(ROW(K110))*3,0)</f>
        <v>service needed weekly</v>
      </c>
      <c r="L109" t="str">
        <f ca="1">OFFSET(Sheet2!N$3,(ROW(L110))*3,0)</f>
        <v>service needed</v>
      </c>
      <c r="M109" t="str">
        <f ca="1">OFFSET(Sheet2!O$3,(ROW(M110))*3,0)</f>
        <v>maintain</v>
      </c>
      <c r="N109" t="str">
        <f ca="1">OFFSET(Sheet2!P$3,(ROW(N110))*3,0)</f>
        <v>maintain</v>
      </c>
      <c r="O109" t="str">
        <f ca="1">OFFSET(Sheet2!Q$3,(ROW(O110))*3,0)</f>
        <v>maintain</v>
      </c>
      <c r="P109" t="str">
        <f ca="1">OFFSET(Sheet2!R$3,(ROW(P110))*3,0)</f>
        <v>not changed</v>
      </c>
      <c r="Q109" t="str">
        <f ca="1">OFFSET(Sheet2!S$3,(ROW(Q110))*3,0)</f>
        <v>maintain</v>
      </c>
      <c r="R109" t="str">
        <f ca="1">OFFSET(Sheet2!T$3,(ROW(R110))*3,0)</f>
        <v>maintain</v>
      </c>
      <c r="S109">
        <f ca="1">OFFSET(Sheet2!U$2,(ROW(S110))*3,0)</f>
        <v>0</v>
      </c>
      <c r="T109">
        <f ca="1">OFFSET(Sheet2!V$2,(ROW(T110))*3,0)</f>
        <v>0</v>
      </c>
    </row>
    <row r="110" spans="1:20" x14ac:dyDescent="0.35">
      <c r="A110">
        <f ca="1">OFFSET(Sheet2!B$3,(ROW(A111))*3,0)</f>
        <v>43848</v>
      </c>
      <c r="B110">
        <f ca="1">OFFSET(Sheet2!C$3,(ROW(B111))*3,0)</f>
        <v>20</v>
      </c>
      <c r="C110" t="str">
        <f ca="1">OFFSET(Sheet2!D$3,(ROW(C111))*3,0)</f>
        <v>South</v>
      </c>
      <c r="D110" t="str">
        <f ca="1">OFFSET(Sheet2!F$3,(ROW(D111))*3,0)</f>
        <v>MUKHWANA MOSES</v>
      </c>
      <c r="E110" t="str">
        <f ca="1">OFFSET(Sheet2!G$3,(ROW(E111))*3,0)</f>
        <v>H2Go</v>
      </c>
      <c r="F110">
        <f ca="1">OFFSET(Sheet2!H$3,(ROW(F111))*3,0)</f>
        <v>0</v>
      </c>
      <c r="G110" t="str">
        <f ca="1">OFFSET(Sheet2!I$3,(ROW(G111))*3,0)</f>
        <v>WEEKLY</v>
      </c>
      <c r="H110">
        <f ca="1">OFFSET(Sheet2!J$3,(ROW(H111))*3,0)</f>
        <v>33</v>
      </c>
      <c r="I110" t="str">
        <f ca="1">OFFSET(Sheet2!K$3,(ROW(I111))*3,0)</f>
        <v>Recommendation</v>
      </c>
      <c r="J110" t="str">
        <f ca="1">OFFSET(Sheet2!L$3,(ROW(J111))*3,0)</f>
        <v>change weekly</v>
      </c>
      <c r="K110" t="str">
        <f ca="1">OFFSET(Sheet2!M$3,(ROW(K111))*3,0)</f>
        <v>needs to be checked weekly</v>
      </c>
      <c r="L110" t="str">
        <f ca="1">OFFSET(Sheet2!N$3,(ROW(L111))*3,0)</f>
        <v>good</v>
      </c>
      <c r="M110" t="str">
        <f ca="1">OFFSET(Sheet2!O$3,(ROW(M111))*3,0)</f>
        <v>needs to be checked atleast weekly</v>
      </c>
      <c r="N110" t="str">
        <f ca="1">OFFSET(Sheet2!P$3,(ROW(N111))*3,0)</f>
        <v>good</v>
      </c>
      <c r="O110" t="str">
        <f ca="1">OFFSET(Sheet2!Q$3,(ROW(O111))*3,0)</f>
        <v>good</v>
      </c>
      <c r="P110">
        <f ca="1">OFFSET(Sheet2!R$3,(ROW(P111))*3,0)</f>
        <v>0</v>
      </c>
      <c r="Q110">
        <f ca="1">OFFSET(Sheet2!S$3,(ROW(Q111))*3,0)</f>
        <v>0</v>
      </c>
      <c r="R110">
        <f ca="1">OFFSET(Sheet2!T$3,(ROW(R111))*3,0)</f>
        <v>0</v>
      </c>
      <c r="S110">
        <f ca="1">OFFSET(Sheet2!U$2,(ROW(S111))*3,0)</f>
        <v>0</v>
      </c>
      <c r="T110">
        <f ca="1">OFFSET(Sheet2!V$2,(ROW(T111))*3,0)</f>
        <v>0</v>
      </c>
    </row>
    <row r="111" spans="1:20" x14ac:dyDescent="0.35">
      <c r="A111">
        <f ca="1">OFFSET(Sheet2!B$3,(ROW(A112))*3,0)</f>
        <v>43855</v>
      </c>
      <c r="B111">
        <f ca="1">OFFSET(Sheet2!C$3,(ROW(B112))*3,0)</f>
        <v>20</v>
      </c>
      <c r="C111" t="str">
        <f ca="1">OFFSET(Sheet2!D$3,(ROW(C112))*3,0)</f>
        <v>South</v>
      </c>
      <c r="D111" t="str">
        <f ca="1">OFFSET(Sheet2!F$3,(ROW(D112))*3,0)</f>
        <v>MUKHWANA MOSES</v>
      </c>
      <c r="E111" t="str">
        <f ca="1">OFFSET(Sheet2!G$3,(ROW(E112))*3,0)</f>
        <v>H2Go</v>
      </c>
      <c r="F111">
        <f ca="1">OFFSET(Sheet2!H$3,(ROW(F112))*3,0)</f>
        <v>0</v>
      </c>
      <c r="G111" t="str">
        <f ca="1">OFFSET(Sheet2!I$3,(ROW(G112))*3,0)</f>
        <v>WEEKLY</v>
      </c>
      <c r="H111">
        <f ca="1">OFFSET(Sheet2!J$3,(ROW(H112))*3,0)</f>
        <v>70</v>
      </c>
      <c r="I111" t="str">
        <f ca="1">OFFSET(Sheet2!K$3,(ROW(I112))*3,0)</f>
        <v>Recommendation</v>
      </c>
      <c r="J111" t="str">
        <f ca="1">OFFSET(Sheet2!L$3,(ROW(J112))*3,0)</f>
        <v>change weekly</v>
      </c>
      <c r="K111" t="str">
        <f ca="1">OFFSET(Sheet2!M$3,(ROW(K112))*3,0)</f>
        <v>GOOD</v>
      </c>
      <c r="L111" t="str">
        <f ca="1">OFFSET(Sheet2!N$3,(ROW(L112))*3,0)</f>
        <v>GOOD</v>
      </c>
      <c r="M111" t="str">
        <f ca="1">OFFSET(Sheet2!O$3,(ROW(M112))*3,0)</f>
        <v>ATLEAST WEEKLY</v>
      </c>
      <c r="N111" t="str">
        <f ca="1">OFFSET(Sheet2!P$3,(ROW(N112))*3,0)</f>
        <v>GOOD</v>
      </c>
      <c r="O111" t="str">
        <f ca="1">OFFSET(Sheet2!Q$3,(ROW(O112))*3,0)</f>
        <v>ATLEAST ONCE IN A WEEK TO BE CHECKED</v>
      </c>
      <c r="P111">
        <f ca="1">OFFSET(Sheet2!R$3,(ROW(P112))*3,0)</f>
        <v>0</v>
      </c>
      <c r="Q111">
        <f ca="1">OFFSET(Sheet2!S$3,(ROW(Q112))*3,0)</f>
        <v>0</v>
      </c>
      <c r="R111">
        <f ca="1">OFFSET(Sheet2!T$3,(ROW(R112))*3,0)</f>
        <v>0</v>
      </c>
      <c r="S111">
        <f ca="1">OFFSET(Sheet2!U$2,(ROW(S112))*3,0)</f>
        <v>0</v>
      </c>
      <c r="T111">
        <f ca="1">OFFSET(Sheet2!V$2,(ROW(T112))*3,0)</f>
        <v>0</v>
      </c>
    </row>
    <row r="112" spans="1:20" x14ac:dyDescent="0.35">
      <c r="A112">
        <f ca="1">OFFSET(Sheet2!B$3,(ROW(A113))*3,0)</f>
        <v>43862</v>
      </c>
      <c r="B112">
        <f ca="1">OFFSET(Sheet2!C$3,(ROW(B113))*3,0)</f>
        <v>20</v>
      </c>
      <c r="C112" t="str">
        <f ca="1">OFFSET(Sheet2!D$3,(ROW(C113))*3,0)</f>
        <v>South</v>
      </c>
      <c r="D112" t="str">
        <f ca="1">OFFSET(Sheet2!F$3,(ROW(D113))*3,0)</f>
        <v>MUKHWANA MOSES</v>
      </c>
      <c r="E112" t="str">
        <f ca="1">OFFSET(Sheet2!G$3,(ROW(E113))*3,0)</f>
        <v>H2Go</v>
      </c>
      <c r="F112">
        <f ca="1">OFFSET(Sheet2!H$3,(ROW(F113))*3,0)</f>
        <v>0</v>
      </c>
      <c r="G112" t="str">
        <f ca="1">OFFSET(Sheet2!I$3,(ROW(G113))*3,0)</f>
        <v>WEEKLY</v>
      </c>
      <c r="H112">
        <f ca="1">OFFSET(Sheet2!J$3,(ROW(H113))*3,0)</f>
        <v>80</v>
      </c>
      <c r="I112" t="str">
        <f ca="1">OFFSET(Sheet2!K$3,(ROW(I113))*3,0)</f>
        <v>Recommendation</v>
      </c>
      <c r="J112" t="str">
        <f ca="1">OFFSET(Sheet2!L$3,(ROW(J113))*3,0)</f>
        <v>change weekly</v>
      </c>
      <c r="K112" t="str">
        <f ca="1">OFFSET(Sheet2!M$3,(ROW(K113))*3,0)</f>
        <v>GOOD</v>
      </c>
      <c r="L112" t="str">
        <f ca="1">OFFSET(Sheet2!N$3,(ROW(L113))*3,0)</f>
        <v>ATLEAST TO BE CHECKED WEEKLY</v>
      </c>
      <c r="M112" t="str">
        <f ca="1">OFFSET(Sheet2!O$3,(ROW(M113))*3,0)</f>
        <v>GOOD</v>
      </c>
      <c r="N112" t="str">
        <f ca="1">OFFSET(Sheet2!P$3,(ROW(N113))*3,0)</f>
        <v>GOOD</v>
      </c>
      <c r="O112" t="str">
        <f ca="1">OFFSET(Sheet2!Q$3,(ROW(O113))*3,0)</f>
        <v>GOOD</v>
      </c>
      <c r="P112">
        <f ca="1">OFFSET(Sheet2!R$3,(ROW(P113))*3,0)</f>
        <v>0</v>
      </c>
      <c r="Q112">
        <f ca="1">OFFSET(Sheet2!S$3,(ROW(Q113))*3,0)</f>
        <v>0</v>
      </c>
      <c r="R112">
        <f ca="1">OFFSET(Sheet2!T$3,(ROW(R113))*3,0)</f>
        <v>0</v>
      </c>
      <c r="S112">
        <f ca="1">OFFSET(Sheet2!U$2,(ROW(S113))*3,0)</f>
        <v>0</v>
      </c>
      <c r="T112">
        <f ca="1">OFFSET(Sheet2!V$2,(ROW(T113))*3,0)</f>
        <v>0</v>
      </c>
    </row>
    <row r="113" spans="1:20" x14ac:dyDescent="0.35">
      <c r="A113">
        <f ca="1">OFFSET(Sheet2!B$3,(ROW(A114))*3,0)</f>
        <v>43869</v>
      </c>
      <c r="B113">
        <f ca="1">OFFSET(Sheet2!C$3,(ROW(B114))*3,0)</f>
        <v>20</v>
      </c>
      <c r="C113" t="str">
        <f ca="1">OFFSET(Sheet2!D$3,(ROW(C114))*3,0)</f>
        <v>South</v>
      </c>
      <c r="D113" t="str">
        <f ca="1">OFFSET(Sheet2!F$3,(ROW(D114))*3,0)</f>
        <v>MUKHWANA MOSES</v>
      </c>
      <c r="E113" t="str">
        <f ca="1">OFFSET(Sheet2!G$3,(ROW(E114))*3,0)</f>
        <v>H2Go</v>
      </c>
      <c r="F113">
        <f ca="1">OFFSET(Sheet2!H$3,(ROW(F114))*3,0)</f>
        <v>0</v>
      </c>
      <c r="G113" t="str">
        <f ca="1">OFFSET(Sheet2!I$3,(ROW(G114))*3,0)</f>
        <v>WEEKLY</v>
      </c>
      <c r="H113">
        <f ca="1">OFFSET(Sheet2!J$3,(ROW(H114))*3,0)</f>
        <v>116</v>
      </c>
      <c r="I113" t="str">
        <f ca="1">OFFSET(Sheet2!K$3,(ROW(I114))*3,0)</f>
        <v>Recommendation</v>
      </c>
      <c r="J113" t="str">
        <f ca="1">OFFSET(Sheet2!L$3,(ROW(J114))*3,0)</f>
        <v>change weekly</v>
      </c>
      <c r="K113" t="str">
        <f ca="1">OFFSET(Sheet2!M$3,(ROW(K114))*3,0)</f>
        <v>CHECK WEEKLY</v>
      </c>
      <c r="L113" t="str">
        <f ca="1">OFFSET(Sheet2!N$3,(ROW(L114))*3,0)</f>
        <v>KEEP IT SET</v>
      </c>
      <c r="M113" t="str">
        <f ca="1">OFFSET(Sheet2!O$3,(ROW(M114))*3,0)</f>
        <v>Keep it clean</v>
      </c>
      <c r="N113" t="str">
        <f ca="1">OFFSET(Sheet2!P$3,(ROW(N114))*3,0)</f>
        <v>Keep it clean</v>
      </c>
      <c r="O113" t="str">
        <f ca="1">OFFSET(Sheet2!Q$3,(ROW(O114))*3,0)</f>
        <v>KEEP IT MAINTAINED</v>
      </c>
      <c r="P113">
        <f ca="1">OFFSET(Sheet2!R$3,(ROW(P114))*3,0)</f>
        <v>0</v>
      </c>
      <c r="Q113">
        <f ca="1">OFFSET(Sheet2!S$3,(ROW(Q114))*3,0)</f>
        <v>0</v>
      </c>
      <c r="R113">
        <f ca="1">OFFSET(Sheet2!T$3,(ROW(R114))*3,0)</f>
        <v>0</v>
      </c>
      <c r="S113">
        <f ca="1">OFFSET(Sheet2!U$2,(ROW(S114))*3,0)</f>
        <v>0</v>
      </c>
      <c r="T113">
        <f ca="1">OFFSET(Sheet2!V$2,(ROW(T114))*3,0)</f>
        <v>0</v>
      </c>
    </row>
    <row r="114" spans="1:20" x14ac:dyDescent="0.35">
      <c r="A114">
        <f ca="1">OFFSET(Sheet2!B$3,(ROW(A115))*3,0)</f>
        <v>43876</v>
      </c>
      <c r="B114">
        <f ca="1">OFFSET(Sheet2!C$3,(ROW(B115))*3,0)</f>
        <v>20</v>
      </c>
      <c r="C114" t="str">
        <f ca="1">OFFSET(Sheet2!D$3,(ROW(C115))*3,0)</f>
        <v>South</v>
      </c>
      <c r="D114" t="str">
        <f ca="1">OFFSET(Sheet2!F$3,(ROW(D115))*3,0)</f>
        <v>MUKHWANA MOSES</v>
      </c>
      <c r="E114" t="str">
        <f ca="1">OFFSET(Sheet2!G$3,(ROW(E115))*3,0)</f>
        <v>H2Go</v>
      </c>
      <c r="F114">
        <f ca="1">OFFSET(Sheet2!H$3,(ROW(F115))*3,0)</f>
        <v>0</v>
      </c>
      <c r="G114" t="str">
        <f ca="1">OFFSET(Sheet2!I$3,(ROW(G115))*3,0)</f>
        <v>WEEKLY</v>
      </c>
      <c r="H114">
        <f ca="1">OFFSET(Sheet2!J$3,(ROW(H115))*3,0)</f>
        <v>127</v>
      </c>
      <c r="I114" t="str">
        <f ca="1">OFFSET(Sheet2!K$3,(ROW(I115))*3,0)</f>
        <v>Recommendation</v>
      </c>
      <c r="J114" t="str">
        <f ca="1">OFFSET(Sheet2!L$3,(ROW(J115))*3,0)</f>
        <v>change weekly</v>
      </c>
      <c r="K114" t="str">
        <f ca="1">OFFSET(Sheet2!M$3,(ROW(K115))*3,0)</f>
        <v>KEEP IT CHECKED</v>
      </c>
      <c r="L114" t="str">
        <f ca="1">OFFSET(Sheet2!N$3,(ROW(L115))*3,0)</f>
        <v>KEEP IT MAINTAINED</v>
      </c>
      <c r="M114" t="str">
        <f ca="1">OFFSET(Sheet2!O$3,(ROW(M115))*3,0)</f>
        <v>Needs cleaning on daily basis</v>
      </c>
      <c r="N114" t="str">
        <f ca="1">OFFSET(Sheet2!P$3,(ROW(N115))*3,0)</f>
        <v>Keep it clean</v>
      </c>
      <c r="O114" t="str">
        <f ca="1">OFFSET(Sheet2!Q$3,(ROW(O115))*3,0)</f>
        <v>KEEP IT MAINTAINED</v>
      </c>
      <c r="P114">
        <f ca="1">OFFSET(Sheet2!R$3,(ROW(P115))*3,0)</f>
        <v>0</v>
      </c>
      <c r="Q114">
        <f ca="1">OFFSET(Sheet2!S$3,(ROW(Q115))*3,0)</f>
        <v>0</v>
      </c>
      <c r="R114">
        <f ca="1">OFFSET(Sheet2!T$3,(ROW(R115))*3,0)</f>
        <v>0</v>
      </c>
      <c r="S114">
        <f ca="1">OFFSET(Sheet2!U$2,(ROW(S115))*3,0)</f>
        <v>0</v>
      </c>
      <c r="T114">
        <f ca="1">OFFSET(Sheet2!V$2,(ROW(T115))*3,0)</f>
        <v>0</v>
      </c>
    </row>
    <row r="115" spans="1:20" x14ac:dyDescent="0.35">
      <c r="A115">
        <f ca="1">OFFSET(Sheet2!B$3,(ROW(A116))*3,0)</f>
        <v>43885</v>
      </c>
      <c r="B115">
        <f ca="1">OFFSET(Sheet2!C$3,(ROW(B116))*3,0)</f>
        <v>20</v>
      </c>
      <c r="C115" t="str">
        <f ca="1">OFFSET(Sheet2!D$3,(ROW(C116))*3,0)</f>
        <v>South</v>
      </c>
      <c r="D115" t="str">
        <f ca="1">OFFSET(Sheet2!F$3,(ROW(D116))*3,0)</f>
        <v>MUKHWANA MOSES</v>
      </c>
      <c r="E115" t="str">
        <f ca="1">OFFSET(Sheet2!G$3,(ROW(E116))*3,0)</f>
        <v>H2Go</v>
      </c>
      <c r="F115">
        <f ca="1">OFFSET(Sheet2!H$3,(ROW(F116))*3,0)</f>
        <v>0</v>
      </c>
      <c r="G115" t="str">
        <f ca="1">OFFSET(Sheet2!I$3,(ROW(G116))*3,0)</f>
        <v>WEEKLY</v>
      </c>
      <c r="H115">
        <f ca="1">OFFSET(Sheet2!J$3,(ROW(H116))*3,0)</f>
        <v>134</v>
      </c>
      <c r="I115" t="str">
        <f ca="1">OFFSET(Sheet2!K$3,(ROW(I116))*3,0)</f>
        <v>Recommendation</v>
      </c>
      <c r="J115" t="str">
        <f ca="1">OFFSET(Sheet2!L$3,(ROW(J116))*3,0)</f>
        <v>Needs to be changed</v>
      </c>
      <c r="K115" t="str">
        <f ca="1">OFFSET(Sheet2!M$3,(ROW(K116))*3,0)</f>
        <v>No service needed, looks good, maintain</v>
      </c>
      <c r="L115" t="str">
        <f ca="1">OFFSET(Sheet2!N$3,(ROW(L116))*3,0)</f>
        <v>Needs adjustment, tappets are tight</v>
      </c>
      <c r="M115" t="str">
        <f ca="1">OFFSET(Sheet2!O$3,(ROW(M116))*3,0)</f>
        <v>No service needed, looks good, maintain</v>
      </c>
      <c r="N115" t="str">
        <f ca="1">OFFSET(Sheet2!P$3,(ROW(N116))*3,0)</f>
        <v>No service needed, looks good, maintain</v>
      </c>
      <c r="O115" t="str">
        <f ca="1">OFFSET(Sheet2!Q$3,(ROW(O116))*3,0)</f>
        <v>No service needed, looks good, maintain</v>
      </c>
      <c r="P115">
        <f ca="1">OFFSET(Sheet2!R$3,(ROW(P116))*3,0)</f>
        <v>0</v>
      </c>
      <c r="Q115">
        <f ca="1">OFFSET(Sheet2!S$3,(ROW(Q116))*3,0)</f>
        <v>0</v>
      </c>
      <c r="R115">
        <f ca="1">OFFSET(Sheet2!T$3,(ROW(R116))*3,0)</f>
        <v>0</v>
      </c>
      <c r="S115">
        <f ca="1">OFFSET(Sheet2!U$2,(ROW(S116))*3,0)</f>
        <v>0</v>
      </c>
      <c r="T115">
        <f ca="1">OFFSET(Sheet2!V$2,(ROW(T116))*3,0)</f>
        <v>0</v>
      </c>
    </row>
    <row r="116" spans="1:20" x14ac:dyDescent="0.35">
      <c r="A116">
        <f ca="1">OFFSET(Sheet2!B$3,(ROW(A117))*3,0)</f>
        <v>43892</v>
      </c>
      <c r="B116">
        <f ca="1">OFFSET(Sheet2!C$3,(ROW(B117))*3,0)</f>
        <v>20</v>
      </c>
      <c r="C116" t="str">
        <f ca="1">OFFSET(Sheet2!D$3,(ROW(C117))*3,0)</f>
        <v>South</v>
      </c>
      <c r="D116" t="str">
        <f ca="1">OFFSET(Sheet2!F$3,(ROW(D117))*3,0)</f>
        <v>MUKHWANA MOSES</v>
      </c>
      <c r="E116" t="str">
        <f ca="1">OFFSET(Sheet2!G$3,(ROW(E117))*3,0)</f>
        <v>H2GO</v>
      </c>
      <c r="F116">
        <f ca="1">OFFSET(Sheet2!H$3,(ROW(F117))*3,0)</f>
        <v>0</v>
      </c>
      <c r="G116" t="str">
        <f ca="1">OFFSET(Sheet2!I$3,(ROW(G117))*3,0)</f>
        <v>WEEKLY</v>
      </c>
      <c r="H116">
        <f ca="1">OFFSET(Sheet2!J$3,(ROW(H117))*3,0)</f>
        <v>139</v>
      </c>
      <c r="I116" t="str">
        <f ca="1">OFFSET(Sheet2!K$3,(ROW(I117))*3,0)</f>
        <v>Recommendation</v>
      </c>
      <c r="J116" t="str">
        <f ca="1">OFFSET(Sheet2!L$3,(ROW(J117))*3,0)</f>
        <v>Needs to be changed</v>
      </c>
      <c r="K116" t="str">
        <f ca="1">OFFSET(Sheet2!M$3,(ROW(K117))*3,0)</f>
        <v>Needs to be cleaned</v>
      </c>
      <c r="L116" t="str">
        <f ca="1">OFFSET(Sheet2!N$3,(ROW(L117))*3,0)</f>
        <v>Needs adjustment</v>
      </c>
      <c r="M116" t="str">
        <f ca="1">OFFSET(Sheet2!O$3,(ROW(M117))*3,0)</f>
        <v>Will need to be cleaned in a few days</v>
      </c>
      <c r="N116" t="str">
        <f ca="1">OFFSET(Sheet2!P$3,(ROW(N117))*3,0)</f>
        <v>Needs to be Changed</v>
      </c>
      <c r="O116" t="str">
        <f ca="1">OFFSET(Sheet2!Q$3,(ROW(O117))*3,0)</f>
        <v>No service needed, looks good, maintain</v>
      </c>
      <c r="P116">
        <f ca="1">OFFSET(Sheet2!R$3,(ROW(P117))*3,0)</f>
        <v>0</v>
      </c>
      <c r="Q116">
        <f ca="1">OFFSET(Sheet2!S$3,(ROW(Q117))*3,0)</f>
        <v>0</v>
      </c>
      <c r="R116">
        <f ca="1">OFFSET(Sheet2!T$3,(ROW(R117))*3,0)</f>
        <v>0</v>
      </c>
      <c r="S116">
        <f ca="1">OFFSET(Sheet2!U$2,(ROW(S117))*3,0)</f>
        <v>0</v>
      </c>
      <c r="T116">
        <f ca="1">OFFSET(Sheet2!V$2,(ROW(T117))*3,0)</f>
        <v>0</v>
      </c>
    </row>
    <row r="117" spans="1:20" x14ac:dyDescent="0.35">
      <c r="A117">
        <f ca="1">OFFSET(Sheet2!B$3,(ROW(A118))*3,0)</f>
        <v>43899</v>
      </c>
      <c r="B117">
        <f ca="1">OFFSET(Sheet2!C$3,(ROW(B118))*3,0)</f>
        <v>20</v>
      </c>
      <c r="C117" t="str">
        <f ca="1">OFFSET(Sheet2!D$3,(ROW(C118))*3,0)</f>
        <v>South</v>
      </c>
      <c r="D117" t="str">
        <f ca="1">OFFSET(Sheet2!F$3,(ROW(D118))*3,0)</f>
        <v>MUKHWANA MOSES</v>
      </c>
      <c r="E117" t="str">
        <f ca="1">OFFSET(Sheet2!G$3,(ROW(E118))*3,0)</f>
        <v>H2GO</v>
      </c>
      <c r="F117">
        <f ca="1">OFFSET(Sheet2!H$3,(ROW(F118))*3,0)</f>
        <v>0</v>
      </c>
      <c r="G117" t="str">
        <f ca="1">OFFSET(Sheet2!I$3,(ROW(G118))*3,0)</f>
        <v>WEEKLY</v>
      </c>
      <c r="H117">
        <f ca="1">OFFSET(Sheet2!J$3,(ROW(H118))*3,0)</f>
        <v>173</v>
      </c>
      <c r="I117" t="str">
        <f ca="1">OFFSET(Sheet2!K$3,(ROW(I118))*3,0)</f>
        <v>Recommendation</v>
      </c>
      <c r="J117" t="str">
        <f ca="1">OFFSET(Sheet2!L$3,(ROW(J118))*3,0)</f>
        <v>Needs to be changed</v>
      </c>
      <c r="K117" t="str">
        <f ca="1">OFFSET(Sheet2!M$3,(ROW(K118))*3,0)</f>
        <v>No service needed, looks good, maintain</v>
      </c>
      <c r="L117" t="str">
        <f ca="1">OFFSET(Sheet2!N$3,(ROW(L118))*3,0)</f>
        <v>No adjustment needed, looks good, maintain</v>
      </c>
      <c r="M117" t="str">
        <f ca="1">OFFSET(Sheet2!O$3,(ROW(M118))*3,0)</f>
        <v>No service needed, looks good, maintain</v>
      </c>
      <c r="N117" t="str">
        <f ca="1">OFFSET(Sheet2!P$3,(ROW(N118))*3,0)</f>
        <v>No service needed, looks good, maintain</v>
      </c>
      <c r="O117" t="str">
        <f ca="1">OFFSET(Sheet2!Q$3,(ROW(O118))*3,0)</f>
        <v>No service needed, looks good, maintain</v>
      </c>
      <c r="P117">
        <f ca="1">OFFSET(Sheet2!R$3,(ROW(P118))*3,0)</f>
        <v>0</v>
      </c>
      <c r="Q117">
        <f ca="1">OFFSET(Sheet2!S$3,(ROW(Q118))*3,0)</f>
        <v>0</v>
      </c>
      <c r="R117">
        <f ca="1">OFFSET(Sheet2!T$3,(ROW(R118))*3,0)</f>
        <v>0</v>
      </c>
      <c r="S117">
        <f ca="1">OFFSET(Sheet2!U$2,(ROW(S118))*3,0)</f>
        <v>0</v>
      </c>
      <c r="T117">
        <f ca="1">OFFSET(Sheet2!V$2,(ROW(T118))*3,0)</f>
        <v>0</v>
      </c>
    </row>
    <row r="118" spans="1:20" x14ac:dyDescent="0.35">
      <c r="A118">
        <f ca="1">OFFSET(Sheet2!B$3,(ROW(A119))*3,0)</f>
        <v>43841</v>
      </c>
      <c r="B118">
        <f ca="1">OFFSET(Sheet2!C$3,(ROW(B119))*3,0)</f>
        <v>21</v>
      </c>
      <c r="C118" t="str">
        <f ca="1">OFFSET(Sheet2!D$3,(ROW(C119))*3,0)</f>
        <v>South</v>
      </c>
      <c r="D118" t="str">
        <f ca="1">OFFSET(Sheet2!F$3,(ROW(D119))*3,0)</f>
        <v>WAMBEDE MUSA</v>
      </c>
      <c r="E118" t="str">
        <f ca="1">OFFSET(Sheet2!G$3,(ROW(E119))*3,0)</f>
        <v>H2Go</v>
      </c>
      <c r="F118">
        <f ca="1">OFFSET(Sheet2!H$3,(ROW(F119))*3,0)</f>
        <v>0</v>
      </c>
      <c r="G118" t="str">
        <f ca="1">OFFSET(Sheet2!I$3,(ROW(G119))*3,0)</f>
        <v>Comprehensive</v>
      </c>
      <c r="H118">
        <f ca="1">OFFSET(Sheet2!J$3,(ROW(H119))*3,0)</f>
        <v>91</v>
      </c>
      <c r="I118" t="str">
        <f ca="1">OFFSET(Sheet2!K$3,(ROW(I119))*3,0)</f>
        <v>Recommendation</v>
      </c>
      <c r="J118" t="str">
        <f ca="1">OFFSET(Sheet2!L$3,(ROW(J119))*3,0)</f>
        <v>needs to be changed weekly</v>
      </c>
      <c r="K118" t="str">
        <f ca="1">OFFSET(Sheet2!M$3,(ROW(K119))*3,0)</f>
        <v>maintain</v>
      </c>
      <c r="L118" t="str">
        <f ca="1">OFFSET(Sheet2!N$3,(ROW(L119))*3,0)</f>
        <v>maintain</v>
      </c>
      <c r="M118" t="str">
        <f ca="1">OFFSET(Sheet2!O$3,(ROW(M119))*3,0)</f>
        <v>maintain</v>
      </c>
      <c r="N118" t="str">
        <f ca="1">OFFSET(Sheet2!P$3,(ROW(N119))*3,0)</f>
        <v>maintain</v>
      </c>
      <c r="O118" t="str">
        <f ca="1">OFFSET(Sheet2!Q$3,(ROW(O119))*3,0)</f>
        <v>maintain</v>
      </c>
      <c r="P118" t="str">
        <f ca="1">OFFSET(Sheet2!R$3,(ROW(P119))*3,0)</f>
        <v>maintain</v>
      </c>
      <c r="Q118" t="str">
        <f ca="1">OFFSET(Sheet2!S$3,(ROW(Q119))*3,0)</f>
        <v>maintain it</v>
      </c>
      <c r="R118" t="str">
        <f ca="1">OFFSET(Sheet2!T$3,(ROW(R119))*3,0)</f>
        <v>maintain it</v>
      </c>
      <c r="S118">
        <f ca="1">OFFSET(Sheet2!U$2,(ROW(S119))*3,0)</f>
        <v>0</v>
      </c>
      <c r="T118">
        <f ca="1">OFFSET(Sheet2!V$2,(ROW(T119))*3,0)</f>
        <v>0</v>
      </c>
    </row>
    <row r="119" spans="1:20" x14ac:dyDescent="0.35">
      <c r="A119">
        <f ca="1">OFFSET(Sheet2!B$3,(ROW(A120))*3,0)</f>
        <v>43848</v>
      </c>
      <c r="B119">
        <f ca="1">OFFSET(Sheet2!C$3,(ROW(B120))*3,0)</f>
        <v>21</v>
      </c>
      <c r="C119" t="str">
        <f ca="1">OFFSET(Sheet2!D$3,(ROW(C120))*3,0)</f>
        <v>South</v>
      </c>
      <c r="D119" t="str">
        <f ca="1">OFFSET(Sheet2!F$3,(ROW(D120))*3,0)</f>
        <v>WAMBEDE MUSA</v>
      </c>
      <c r="E119" t="str">
        <f ca="1">OFFSET(Sheet2!G$3,(ROW(E120))*3,0)</f>
        <v>H2Go</v>
      </c>
      <c r="F119">
        <f ca="1">OFFSET(Sheet2!H$3,(ROW(F120))*3,0)</f>
        <v>0</v>
      </c>
      <c r="G119" t="str">
        <f ca="1">OFFSET(Sheet2!I$3,(ROW(G120))*3,0)</f>
        <v>WEEKLY</v>
      </c>
      <c r="H119">
        <f ca="1">OFFSET(Sheet2!J$3,(ROW(H120))*3,0)</f>
        <v>99</v>
      </c>
      <c r="I119" t="str">
        <f ca="1">OFFSET(Sheet2!K$3,(ROW(I120))*3,0)</f>
        <v>Recommendation</v>
      </c>
      <c r="J119" t="str">
        <f ca="1">OFFSET(Sheet2!L$3,(ROW(J120))*3,0)</f>
        <v>change weekly</v>
      </c>
      <c r="K119" t="str">
        <f ca="1">OFFSET(Sheet2!M$3,(ROW(K120))*3,0)</f>
        <v>good</v>
      </c>
      <c r="L119" t="str">
        <f ca="1">OFFSET(Sheet2!N$3,(ROW(L120))*3,0)</f>
        <v>service needed weekly</v>
      </c>
      <c r="M119" t="str">
        <f ca="1">OFFSET(Sheet2!O$3,(ROW(M120))*3,0)</f>
        <v>good</v>
      </c>
      <c r="N119" t="str">
        <f ca="1">OFFSET(Sheet2!P$3,(ROW(N120))*3,0)</f>
        <v>it needs to be removed</v>
      </c>
      <c r="O119" t="str">
        <f ca="1">OFFSET(Sheet2!Q$3,(ROW(O120))*3,0)</f>
        <v>needs to be checked weekly</v>
      </c>
      <c r="P119">
        <f ca="1">OFFSET(Sheet2!R$3,(ROW(P120))*3,0)</f>
        <v>0</v>
      </c>
      <c r="Q119">
        <f ca="1">OFFSET(Sheet2!S$3,(ROW(Q120))*3,0)</f>
        <v>0</v>
      </c>
      <c r="R119">
        <f ca="1">OFFSET(Sheet2!T$3,(ROW(R120))*3,0)</f>
        <v>0</v>
      </c>
      <c r="S119">
        <f ca="1">OFFSET(Sheet2!U$2,(ROW(S120))*3,0)</f>
        <v>0</v>
      </c>
      <c r="T119">
        <f ca="1">OFFSET(Sheet2!V$2,(ROW(T120))*3,0)</f>
        <v>0</v>
      </c>
    </row>
    <row r="120" spans="1:20" x14ac:dyDescent="0.35">
      <c r="A120">
        <f ca="1">OFFSET(Sheet2!B$3,(ROW(A121))*3,0)</f>
        <v>43855</v>
      </c>
      <c r="B120">
        <f ca="1">OFFSET(Sheet2!C$3,(ROW(B121))*3,0)</f>
        <v>21</v>
      </c>
      <c r="C120" t="str">
        <f ca="1">OFFSET(Sheet2!D$3,(ROW(C121))*3,0)</f>
        <v>South</v>
      </c>
      <c r="D120" t="str">
        <f ca="1">OFFSET(Sheet2!F$3,(ROW(D121))*3,0)</f>
        <v>WAMBEDE MUSA</v>
      </c>
      <c r="E120" t="str">
        <f ca="1">OFFSET(Sheet2!G$3,(ROW(E121))*3,0)</f>
        <v>H2Go</v>
      </c>
      <c r="F120">
        <f ca="1">OFFSET(Sheet2!H$3,(ROW(F121))*3,0)</f>
        <v>0</v>
      </c>
      <c r="G120" t="str">
        <f ca="1">OFFSET(Sheet2!I$3,(ROW(G121))*3,0)</f>
        <v>WEEKLY</v>
      </c>
      <c r="H120">
        <f ca="1">OFFSET(Sheet2!J$3,(ROW(H121))*3,0)</f>
        <v>31</v>
      </c>
      <c r="I120" t="str">
        <f ca="1">OFFSET(Sheet2!K$3,(ROW(I121))*3,0)</f>
        <v>Recommendation</v>
      </c>
      <c r="J120" t="str">
        <f ca="1">OFFSET(Sheet2!L$3,(ROW(J121))*3,0)</f>
        <v>CHANGE WEEKLY</v>
      </c>
      <c r="K120" t="str">
        <f ca="1">OFFSET(Sheet2!M$3,(ROW(K121))*3,0)</f>
        <v>CHECK ONCE IN A MONTH ATLESST</v>
      </c>
      <c r="L120" t="str">
        <f ca="1">OFFSET(Sheet2!N$3,(ROW(L121))*3,0)</f>
        <v>CHECK ONCE IN A MONTH ATLESST</v>
      </c>
      <c r="M120" t="str">
        <f ca="1">OFFSET(Sheet2!O$3,(ROW(M121))*3,0)</f>
        <v>GOOD</v>
      </c>
      <c r="N120" t="str">
        <f ca="1">OFFSET(Sheet2!P$3,(ROW(N121))*3,0)</f>
        <v>GOOD</v>
      </c>
      <c r="O120" t="str">
        <f ca="1">OFFSET(Sheet2!Q$3,(ROW(O121))*3,0)</f>
        <v xml:space="preserve">TO BE CHECKED atleast once in a month                                                                                                                                                            </v>
      </c>
      <c r="P120">
        <f ca="1">OFFSET(Sheet2!R$3,(ROW(P121))*3,0)</f>
        <v>0</v>
      </c>
      <c r="Q120">
        <f ca="1">OFFSET(Sheet2!S$3,(ROW(Q121))*3,0)</f>
        <v>0</v>
      </c>
      <c r="R120">
        <f ca="1">OFFSET(Sheet2!T$3,(ROW(R121))*3,0)</f>
        <v>0</v>
      </c>
      <c r="S120">
        <f ca="1">OFFSET(Sheet2!U$2,(ROW(S121))*3,0)</f>
        <v>0</v>
      </c>
      <c r="T120">
        <f ca="1">OFFSET(Sheet2!V$2,(ROW(T121))*3,0)</f>
        <v>0</v>
      </c>
    </row>
    <row r="121" spans="1:20" x14ac:dyDescent="0.35">
      <c r="A121">
        <f ca="1">OFFSET(Sheet2!B$3,(ROW(A122))*3,0)</f>
        <v>43862</v>
      </c>
      <c r="B121">
        <f ca="1">OFFSET(Sheet2!C$3,(ROW(B122))*3,0)</f>
        <v>21</v>
      </c>
      <c r="C121" t="str">
        <f ca="1">OFFSET(Sheet2!D$3,(ROW(C122))*3,0)</f>
        <v>South</v>
      </c>
      <c r="D121" t="str">
        <f ca="1">OFFSET(Sheet2!F$3,(ROW(D122))*3,0)</f>
        <v>WAMBEDE MUSA</v>
      </c>
      <c r="E121" t="str">
        <f ca="1">OFFSET(Sheet2!G$3,(ROW(E122))*3,0)</f>
        <v>H2Go</v>
      </c>
      <c r="F121">
        <f ca="1">OFFSET(Sheet2!H$3,(ROW(F122))*3,0)</f>
        <v>0</v>
      </c>
      <c r="G121" t="str">
        <f ca="1">OFFSET(Sheet2!I$3,(ROW(G122))*3,0)</f>
        <v>WEEKLY</v>
      </c>
      <c r="H121">
        <f ca="1">OFFSET(Sheet2!J$3,(ROW(H122))*3,0)</f>
        <v>81</v>
      </c>
      <c r="I121" t="str">
        <f ca="1">OFFSET(Sheet2!K$3,(ROW(I122))*3,0)</f>
        <v>Recommendation</v>
      </c>
      <c r="J121" t="str">
        <f ca="1">OFFSET(Sheet2!L$3,(ROW(J122))*3,0)</f>
        <v>change weekly</v>
      </c>
      <c r="K121" t="str">
        <f ca="1">OFFSET(Sheet2!M$3,(ROW(K122))*3,0)</f>
        <v>GOOD</v>
      </c>
      <c r="L121" t="str">
        <f ca="1">OFFSET(Sheet2!N$3,(ROW(L122))*3,0)</f>
        <v>GOOD</v>
      </c>
      <c r="M121" t="str">
        <f ca="1">OFFSET(Sheet2!O$3,(ROW(M122))*3,0)</f>
        <v>GOOD</v>
      </c>
      <c r="N121" t="str">
        <f ca="1">OFFSET(Sheet2!P$3,(ROW(N122))*3,0)</f>
        <v>GOOD</v>
      </c>
      <c r="O121" t="str">
        <f ca="1">OFFSET(Sheet2!Q$3,(ROW(O122))*3,0)</f>
        <v>TO BE CHECKED WEEKLY</v>
      </c>
      <c r="P121">
        <f ca="1">OFFSET(Sheet2!R$3,(ROW(P122))*3,0)</f>
        <v>0</v>
      </c>
      <c r="Q121">
        <f ca="1">OFFSET(Sheet2!S$3,(ROW(Q122))*3,0)</f>
        <v>0</v>
      </c>
      <c r="R121">
        <f ca="1">OFFSET(Sheet2!T$3,(ROW(R122))*3,0)</f>
        <v>0</v>
      </c>
      <c r="S121">
        <f ca="1">OFFSET(Sheet2!U$2,(ROW(S122))*3,0)</f>
        <v>0</v>
      </c>
      <c r="T121">
        <f ca="1">OFFSET(Sheet2!V$2,(ROW(T122))*3,0)</f>
        <v>0</v>
      </c>
    </row>
    <row r="122" spans="1:20" x14ac:dyDescent="0.35">
      <c r="A122">
        <f ca="1">OFFSET(Sheet2!B$3,(ROW(A123))*3,0)</f>
        <v>43869</v>
      </c>
      <c r="B122">
        <f ca="1">OFFSET(Sheet2!C$3,(ROW(B123))*3,0)</f>
        <v>21</v>
      </c>
      <c r="C122" t="str">
        <f ca="1">OFFSET(Sheet2!D$3,(ROW(C123))*3,0)</f>
        <v>South</v>
      </c>
      <c r="D122" t="str">
        <f ca="1">OFFSET(Sheet2!F$3,(ROW(D123))*3,0)</f>
        <v>WAMBEDE MUSA</v>
      </c>
      <c r="E122" t="str">
        <f ca="1">OFFSET(Sheet2!G$3,(ROW(E123))*3,0)</f>
        <v>H2Go</v>
      </c>
      <c r="F122">
        <f ca="1">OFFSET(Sheet2!H$3,(ROW(F123))*3,0)</f>
        <v>0</v>
      </c>
      <c r="G122" t="str">
        <f ca="1">OFFSET(Sheet2!I$3,(ROW(G123))*3,0)</f>
        <v>WEEKLY</v>
      </c>
      <c r="H122">
        <f ca="1">OFFSET(Sheet2!J$3,(ROW(H123))*3,0)</f>
        <v>199</v>
      </c>
      <c r="I122" t="str">
        <f ca="1">OFFSET(Sheet2!K$3,(ROW(I123))*3,0)</f>
        <v>Recommendation</v>
      </c>
      <c r="J122" t="str">
        <f ca="1">OFFSET(Sheet2!L$3,(ROW(J123))*3,0)</f>
        <v>change weekly</v>
      </c>
      <c r="K122" t="str">
        <f ca="1">OFFSET(Sheet2!M$3,(ROW(K123))*3,0)</f>
        <v>GOOD</v>
      </c>
      <c r="L122" t="str">
        <f ca="1">OFFSET(Sheet2!N$3,(ROW(L123))*3,0)</f>
        <v>GOOD</v>
      </c>
      <c r="M122" t="str">
        <f ca="1">OFFSET(Sheet2!O$3,(ROW(M123))*3,0)</f>
        <v>check weekly</v>
      </c>
      <c r="N122" t="str">
        <f ca="1">OFFSET(Sheet2!P$3,(ROW(N123))*3,0)</f>
        <v>Good</v>
      </c>
      <c r="O122" t="str">
        <f ca="1">OFFSET(Sheet2!Q$3,(ROW(O123))*3,0)</f>
        <v>GOOD</v>
      </c>
      <c r="P122">
        <f ca="1">OFFSET(Sheet2!R$3,(ROW(P123))*3,0)</f>
        <v>0</v>
      </c>
      <c r="Q122">
        <f ca="1">OFFSET(Sheet2!S$3,(ROW(Q123))*3,0)</f>
        <v>0</v>
      </c>
      <c r="R122">
        <f ca="1">OFFSET(Sheet2!T$3,(ROW(R123))*3,0)</f>
        <v>0</v>
      </c>
      <c r="S122">
        <f ca="1">OFFSET(Sheet2!U$2,(ROW(S123))*3,0)</f>
        <v>0</v>
      </c>
      <c r="T122">
        <f ca="1">OFFSET(Sheet2!V$2,(ROW(T123))*3,0)</f>
        <v>0</v>
      </c>
    </row>
    <row r="123" spans="1:20" x14ac:dyDescent="0.35">
      <c r="A123">
        <f ca="1">OFFSET(Sheet2!B$3,(ROW(A124))*3,0)</f>
        <v>43876</v>
      </c>
      <c r="B123">
        <f ca="1">OFFSET(Sheet2!C$3,(ROW(B124))*3,0)</f>
        <v>21</v>
      </c>
      <c r="C123" t="str">
        <f ca="1">OFFSET(Sheet2!D$3,(ROW(C124))*3,0)</f>
        <v>South</v>
      </c>
      <c r="D123" t="str">
        <f ca="1">OFFSET(Sheet2!F$3,(ROW(D124))*3,0)</f>
        <v>WAMBEDE MUSA</v>
      </c>
      <c r="E123" t="str">
        <f ca="1">OFFSET(Sheet2!G$3,(ROW(E124))*3,0)</f>
        <v>H2Go</v>
      </c>
      <c r="F123">
        <f ca="1">OFFSET(Sheet2!H$3,(ROW(F124))*3,0)</f>
        <v>0</v>
      </c>
      <c r="G123" t="str">
        <f ca="1">OFFSET(Sheet2!I$3,(ROW(G124))*3,0)</f>
        <v>WEEKLY</v>
      </c>
      <c r="H123">
        <f ca="1">OFFSET(Sheet2!J$3,(ROW(H124))*3,0)</f>
        <v>129</v>
      </c>
      <c r="I123" t="str">
        <f ca="1">OFFSET(Sheet2!K$3,(ROW(I124))*3,0)</f>
        <v>Recommendation</v>
      </c>
      <c r="J123" t="str">
        <f ca="1">OFFSET(Sheet2!L$3,(ROW(J124))*3,0)</f>
        <v>CHANGE WEEKLY</v>
      </c>
      <c r="K123" t="str">
        <f ca="1">OFFSET(Sheet2!M$3,(ROW(K124))*3,0)</f>
        <v>KEEP IT MAINTAINED</v>
      </c>
      <c r="L123" t="str">
        <f ca="1">OFFSET(Sheet2!N$3,(ROW(L124))*3,0)</f>
        <v>KEEP IT MAINTAINED</v>
      </c>
      <c r="M123" t="str">
        <f ca="1">OFFSET(Sheet2!O$3,(ROW(M124))*3,0)</f>
        <v>Keep it clean</v>
      </c>
      <c r="N123" t="str">
        <f ca="1">OFFSET(Sheet2!P$3,(ROW(N124))*3,0)</f>
        <v>Keep it clean</v>
      </c>
      <c r="O123" t="str">
        <f ca="1">OFFSET(Sheet2!Q$3,(ROW(O124))*3,0)</f>
        <v>KEEP IT MAINTAINED</v>
      </c>
      <c r="P123">
        <f ca="1">OFFSET(Sheet2!R$3,(ROW(P124))*3,0)</f>
        <v>0</v>
      </c>
      <c r="Q123">
        <f ca="1">OFFSET(Sheet2!S$3,(ROW(Q124))*3,0)</f>
        <v>0</v>
      </c>
      <c r="R123">
        <f ca="1">OFFSET(Sheet2!T$3,(ROW(R124))*3,0)</f>
        <v>0</v>
      </c>
      <c r="S123">
        <f ca="1">OFFSET(Sheet2!U$2,(ROW(S124))*3,0)</f>
        <v>0</v>
      </c>
      <c r="T123">
        <f ca="1">OFFSET(Sheet2!V$2,(ROW(T124))*3,0)</f>
        <v>0</v>
      </c>
    </row>
    <row r="124" spans="1:20" x14ac:dyDescent="0.35">
      <c r="A124">
        <f ca="1">OFFSET(Sheet2!B$3,(ROW(A125))*3,0)</f>
        <v>43885</v>
      </c>
      <c r="B124">
        <f ca="1">OFFSET(Sheet2!C$3,(ROW(B125))*3,0)</f>
        <v>21</v>
      </c>
      <c r="C124" t="str">
        <f ca="1">OFFSET(Sheet2!D$3,(ROW(C125))*3,0)</f>
        <v>South</v>
      </c>
      <c r="D124" t="str">
        <f ca="1">OFFSET(Sheet2!F$3,(ROW(D125))*3,0)</f>
        <v>WAMBEDE MUSA</v>
      </c>
      <c r="E124" t="str">
        <f ca="1">OFFSET(Sheet2!G$3,(ROW(E125))*3,0)</f>
        <v>H2Go</v>
      </c>
      <c r="F124">
        <f ca="1">OFFSET(Sheet2!H$3,(ROW(F125))*3,0)</f>
        <v>0</v>
      </c>
      <c r="G124" t="str">
        <f ca="1">OFFSET(Sheet2!I$3,(ROW(G125))*3,0)</f>
        <v>WEEKLY</v>
      </c>
      <c r="H124">
        <f ca="1">OFFSET(Sheet2!J$3,(ROW(H125))*3,0)</f>
        <v>155</v>
      </c>
      <c r="I124" t="str">
        <f ca="1">OFFSET(Sheet2!K$3,(ROW(I125))*3,0)</f>
        <v>Recommendation</v>
      </c>
      <c r="J124" t="str">
        <f ca="1">OFFSET(Sheet2!L$3,(ROW(J125))*3,0)</f>
        <v>Needs to be changed</v>
      </c>
      <c r="K124" t="str">
        <f ca="1">OFFSET(Sheet2!M$3,(ROW(K125))*3,0)</f>
        <v>No service needed, looks good, maintain</v>
      </c>
      <c r="L124" t="str">
        <f ca="1">OFFSET(Sheet2!N$3,(ROW(L125))*3,0)</f>
        <v>Needs adjustment, tappets are tight</v>
      </c>
      <c r="M124" t="str">
        <f ca="1">OFFSET(Sheet2!O$3,(ROW(M125))*3,0)</f>
        <v>No service needed, looks good, maintain</v>
      </c>
      <c r="N124" t="str">
        <f ca="1">OFFSET(Sheet2!P$3,(ROW(N125))*3,0)</f>
        <v>No service needed, looks good, maintain</v>
      </c>
      <c r="O124" t="str">
        <f ca="1">OFFSET(Sheet2!Q$3,(ROW(O125))*3,0)</f>
        <v>Nut showing wear, will need to replace soon</v>
      </c>
      <c r="P124">
        <f ca="1">OFFSET(Sheet2!R$3,(ROW(P125))*3,0)</f>
        <v>0</v>
      </c>
      <c r="Q124">
        <f ca="1">OFFSET(Sheet2!S$3,(ROW(Q125))*3,0)</f>
        <v>0</v>
      </c>
      <c r="R124">
        <f ca="1">OFFSET(Sheet2!T$3,(ROW(R125))*3,0)</f>
        <v>0</v>
      </c>
      <c r="S124">
        <f ca="1">OFFSET(Sheet2!U$2,(ROW(S125))*3,0)</f>
        <v>0</v>
      </c>
      <c r="T124">
        <f ca="1">OFFSET(Sheet2!V$2,(ROW(T125))*3,0)</f>
        <v>0</v>
      </c>
    </row>
    <row r="125" spans="1:20" x14ac:dyDescent="0.35">
      <c r="A125">
        <f ca="1">OFFSET(Sheet2!B$3,(ROW(A126))*3,0)</f>
        <v>43892</v>
      </c>
      <c r="B125">
        <f ca="1">OFFSET(Sheet2!C$3,(ROW(B126))*3,0)</f>
        <v>21</v>
      </c>
      <c r="C125" t="str">
        <f ca="1">OFFSET(Sheet2!D$3,(ROW(C126))*3,0)</f>
        <v>South</v>
      </c>
      <c r="D125" t="str">
        <f ca="1">OFFSET(Sheet2!F$3,(ROW(D126))*3,0)</f>
        <v>WAMBEDE MUSA</v>
      </c>
      <c r="E125" t="str">
        <f ca="1">OFFSET(Sheet2!G$3,(ROW(E126))*3,0)</f>
        <v>H2GO</v>
      </c>
      <c r="F125">
        <f ca="1">OFFSET(Sheet2!H$3,(ROW(F126))*3,0)</f>
        <v>0</v>
      </c>
      <c r="G125" t="str">
        <f ca="1">OFFSET(Sheet2!I$3,(ROW(G126))*3,0)</f>
        <v>WEEKLY</v>
      </c>
      <c r="H125">
        <f ca="1">OFFSET(Sheet2!J$3,(ROW(H126))*3,0)</f>
        <v>103</v>
      </c>
      <c r="I125" t="str">
        <f ca="1">OFFSET(Sheet2!K$3,(ROW(I126))*3,0)</f>
        <v>Recommendation</v>
      </c>
      <c r="J125" t="str">
        <f ca="1">OFFSET(Sheet2!L$3,(ROW(J126))*3,0)</f>
        <v>Needs to be changed</v>
      </c>
      <c r="K125" t="str">
        <f ca="1">OFFSET(Sheet2!M$3,(ROW(K126))*3,0)</f>
        <v>Needs to be cleaned</v>
      </c>
      <c r="L125" t="str">
        <f ca="1">OFFSET(Sheet2!N$3,(ROW(L126))*3,0)</f>
        <v>Needs adjustment, tappets are loose</v>
      </c>
      <c r="M125" t="str">
        <f ca="1">OFFSET(Sheet2!O$3,(ROW(M126))*3,0)</f>
        <v>Will need to be cleaned next week</v>
      </c>
      <c r="N125" t="str">
        <f ca="1">OFFSET(Sheet2!P$3,(ROW(N126))*3,0)</f>
        <v>No service needed, looks good, maintain</v>
      </c>
      <c r="O125" t="str">
        <f ca="1">OFFSET(Sheet2!Q$3,(ROW(O126))*3,0)</f>
        <v xml:space="preserve">Replace Nut </v>
      </c>
      <c r="P125">
        <f ca="1">OFFSET(Sheet2!R$3,(ROW(P126))*3,0)</f>
        <v>0</v>
      </c>
      <c r="Q125">
        <f ca="1">OFFSET(Sheet2!S$3,(ROW(Q126))*3,0)</f>
        <v>0</v>
      </c>
      <c r="R125">
        <f ca="1">OFFSET(Sheet2!T$3,(ROW(R126))*3,0)</f>
        <v>0</v>
      </c>
      <c r="S125">
        <f ca="1">OFFSET(Sheet2!U$2,(ROW(S126))*3,0)</f>
        <v>0</v>
      </c>
      <c r="T125">
        <f ca="1">OFFSET(Sheet2!V$2,(ROW(T126))*3,0)</f>
        <v>0</v>
      </c>
    </row>
    <row r="126" spans="1:20" x14ac:dyDescent="0.35">
      <c r="A126">
        <f ca="1">OFFSET(Sheet2!B$3,(ROW(A127))*3,0)</f>
        <v>43899</v>
      </c>
      <c r="B126">
        <f ca="1">OFFSET(Sheet2!C$3,(ROW(B127))*3,0)</f>
        <v>21</v>
      </c>
      <c r="C126" t="str">
        <f ca="1">OFFSET(Sheet2!D$3,(ROW(C127))*3,0)</f>
        <v>South</v>
      </c>
      <c r="D126" t="str">
        <f ca="1">OFFSET(Sheet2!F$3,(ROW(D127))*3,0)</f>
        <v>WAMBEDE MUSA</v>
      </c>
      <c r="E126" t="str">
        <f ca="1">OFFSET(Sheet2!G$3,(ROW(E127))*3,0)</f>
        <v>H2GO</v>
      </c>
      <c r="F126">
        <f ca="1">OFFSET(Sheet2!H$3,(ROW(F127))*3,0)</f>
        <v>0</v>
      </c>
      <c r="G126" t="str">
        <f ca="1">OFFSET(Sheet2!I$3,(ROW(G127))*3,0)</f>
        <v>WEEKLY</v>
      </c>
      <c r="H126">
        <f ca="1">OFFSET(Sheet2!J$3,(ROW(H127))*3,0)</f>
        <v>172</v>
      </c>
      <c r="I126" t="str">
        <f ca="1">OFFSET(Sheet2!K$3,(ROW(I127))*3,0)</f>
        <v>Recommendation</v>
      </c>
      <c r="J126" t="str">
        <f ca="1">OFFSET(Sheet2!L$3,(ROW(J127))*3,0)</f>
        <v>Needs to be changed</v>
      </c>
      <c r="K126" t="str">
        <f ca="1">OFFSET(Sheet2!M$3,(ROW(K127))*3,0)</f>
        <v>No service needed, looks good, maintain</v>
      </c>
      <c r="L126" t="str">
        <f ca="1">OFFSET(Sheet2!N$3,(ROW(L127))*3,0)</f>
        <v>No adjustment needed, looks good, maintain</v>
      </c>
      <c r="M126" t="str">
        <f ca="1">OFFSET(Sheet2!O$3,(ROW(M127))*3,0)</f>
        <v>Needs to be cleaned</v>
      </c>
      <c r="N126" t="str">
        <f ca="1">OFFSET(Sheet2!P$3,(ROW(N127))*3,0)</f>
        <v>No service needed, looks good, maintain</v>
      </c>
      <c r="O126" t="str">
        <f ca="1">OFFSET(Sheet2!Q$3,(ROW(O127))*3,0)</f>
        <v>No service needed, looks good, maintain</v>
      </c>
      <c r="P126">
        <f ca="1">OFFSET(Sheet2!R$3,(ROW(P127))*3,0)</f>
        <v>0</v>
      </c>
      <c r="Q126">
        <f ca="1">OFFSET(Sheet2!S$3,(ROW(Q127))*3,0)</f>
        <v>0</v>
      </c>
      <c r="R126">
        <f ca="1">OFFSET(Sheet2!T$3,(ROW(R127))*3,0)</f>
        <v>0</v>
      </c>
      <c r="S126">
        <f ca="1">OFFSET(Sheet2!U$2,(ROW(S127))*3,0)</f>
        <v>0</v>
      </c>
      <c r="T126">
        <f ca="1">OFFSET(Sheet2!V$2,(ROW(T127))*3,0)</f>
        <v>0</v>
      </c>
    </row>
    <row r="127" spans="1:20" x14ac:dyDescent="0.35">
      <c r="A127">
        <f ca="1">OFFSET(Sheet2!B$3,(ROW(A128))*3,0)</f>
        <v>43841</v>
      </c>
      <c r="B127">
        <f ca="1">OFFSET(Sheet2!C$3,(ROW(B128))*3,0)</f>
        <v>22</v>
      </c>
      <c r="C127" t="str">
        <f ca="1">OFFSET(Sheet2!D$3,(ROW(C128))*3,0)</f>
        <v>South</v>
      </c>
      <c r="D127" t="str">
        <f ca="1">OFFSET(Sheet2!F$3,(ROW(D128))*3,0)</f>
        <v>WANINDA PAUL</v>
      </c>
      <c r="E127" t="str">
        <f ca="1">OFFSET(Sheet2!G$3,(ROW(E128))*3,0)</f>
        <v>H2Go</v>
      </c>
      <c r="F127">
        <f ca="1">OFFSET(Sheet2!H$3,(ROW(F128))*3,0)</f>
        <v>0</v>
      </c>
      <c r="G127" t="str">
        <f ca="1">OFFSET(Sheet2!I$3,(ROW(G128))*3,0)</f>
        <v>Comprehensive</v>
      </c>
      <c r="H127">
        <f ca="1">OFFSET(Sheet2!J$3,(ROW(H128))*3,0)</f>
        <v>94</v>
      </c>
      <c r="I127" t="str">
        <f ca="1">OFFSET(Sheet2!K$3,(ROW(I128))*3,0)</f>
        <v>Recommendation</v>
      </c>
      <c r="J127" t="str">
        <f ca="1">OFFSET(Sheet2!L$3,(ROW(J128))*3,0)</f>
        <v>needs to be changed weekly</v>
      </c>
      <c r="K127" t="str">
        <f ca="1">OFFSET(Sheet2!M$3,(ROW(K128))*3,0)</f>
        <v>maintain</v>
      </c>
      <c r="L127" t="str">
        <f ca="1">OFFSET(Sheet2!N$3,(ROW(L128))*3,0)</f>
        <v>needs setting</v>
      </c>
      <c r="M127" t="str">
        <f ca="1">OFFSET(Sheet2!O$3,(ROW(M128))*3,0)</f>
        <v>KEEP IT ON</v>
      </c>
      <c r="N127" t="str">
        <f ca="1">OFFSET(Sheet2!P$3,(ROW(N128))*3,0)</f>
        <v>KEEP IT ON</v>
      </c>
      <c r="O127" t="str">
        <f ca="1">OFFSET(Sheet2!Q$3,(ROW(O128))*3,0)</f>
        <v>KEEP IT UP</v>
      </c>
      <c r="P127" t="str">
        <f ca="1">OFFSET(Sheet2!R$3,(ROW(P128))*3,0)</f>
        <v>Maintain</v>
      </c>
      <c r="Q127" t="str">
        <f ca="1">OFFSET(Sheet2!S$3,(ROW(Q128))*3,0)</f>
        <v>MAINTAIN</v>
      </c>
      <c r="R127" t="str">
        <f ca="1">OFFSET(Sheet2!T$3,(ROW(R128))*3,0)</f>
        <v>MAINTAIN</v>
      </c>
      <c r="S127">
        <f ca="1">OFFSET(Sheet2!U$2,(ROW(S128))*3,0)</f>
        <v>0</v>
      </c>
      <c r="T127">
        <f ca="1">OFFSET(Sheet2!V$2,(ROW(T128))*3,0)</f>
        <v>0</v>
      </c>
    </row>
    <row r="128" spans="1:20" x14ac:dyDescent="0.35">
      <c r="A128">
        <f ca="1">OFFSET(Sheet2!B$3,(ROW(A129))*3,0)</f>
        <v>43848</v>
      </c>
      <c r="B128">
        <f ca="1">OFFSET(Sheet2!C$3,(ROW(B129))*3,0)</f>
        <v>22</v>
      </c>
      <c r="C128" t="str">
        <f ca="1">OFFSET(Sheet2!D$3,(ROW(C129))*3,0)</f>
        <v>South</v>
      </c>
      <c r="D128" t="str">
        <f ca="1">OFFSET(Sheet2!F$3,(ROW(D129))*3,0)</f>
        <v>WANINDA PAUL</v>
      </c>
      <c r="E128" t="str">
        <f ca="1">OFFSET(Sheet2!G$3,(ROW(E129))*3,0)</f>
        <v>H2Go</v>
      </c>
      <c r="F128">
        <f ca="1">OFFSET(Sheet2!H$3,(ROW(F129))*3,0)</f>
        <v>0</v>
      </c>
      <c r="G128" t="str">
        <f ca="1">OFFSET(Sheet2!I$3,(ROW(G129))*3,0)</f>
        <v>WEEKLY</v>
      </c>
      <c r="H128">
        <f ca="1">OFFSET(Sheet2!J$3,(ROW(H129))*3,0)</f>
        <v>100</v>
      </c>
      <c r="I128" t="str">
        <f ca="1">OFFSET(Sheet2!K$3,(ROW(I129))*3,0)</f>
        <v>Recommendation</v>
      </c>
      <c r="J128" t="str">
        <f ca="1">OFFSET(Sheet2!L$3,(ROW(J129))*3,0)</f>
        <v>change weekly</v>
      </c>
      <c r="K128" t="str">
        <f ca="1">OFFSET(Sheet2!M$3,(ROW(K129))*3,0)</f>
        <v>needs to be checked weekly</v>
      </c>
      <c r="L128" t="str">
        <f ca="1">OFFSET(Sheet2!N$3,(ROW(L129))*3,0)</f>
        <v>very okay</v>
      </c>
      <c r="M128" t="str">
        <f ca="1">OFFSET(Sheet2!O$3,(ROW(M129))*3,0)</f>
        <v>good</v>
      </c>
      <c r="N128" t="str">
        <f ca="1">OFFSET(Sheet2!P$3,(ROW(N129))*3,0)</f>
        <v>good</v>
      </c>
      <c r="O128" t="str">
        <f ca="1">OFFSET(Sheet2!Q$3,(ROW(O129))*3,0)</f>
        <v>good</v>
      </c>
      <c r="P128">
        <f ca="1">OFFSET(Sheet2!R$3,(ROW(P129))*3,0)</f>
        <v>0</v>
      </c>
      <c r="Q128">
        <f ca="1">OFFSET(Sheet2!S$3,(ROW(Q129))*3,0)</f>
        <v>0</v>
      </c>
      <c r="R128">
        <f ca="1">OFFSET(Sheet2!T$3,(ROW(R129))*3,0)</f>
        <v>0</v>
      </c>
      <c r="S128">
        <f ca="1">OFFSET(Sheet2!U$2,(ROW(S129))*3,0)</f>
        <v>0</v>
      </c>
      <c r="T128">
        <f ca="1">OFFSET(Sheet2!V$2,(ROW(T129))*3,0)</f>
        <v>0</v>
      </c>
    </row>
    <row r="129" spans="1:20" x14ac:dyDescent="0.35">
      <c r="A129">
        <f ca="1">OFFSET(Sheet2!B$3,(ROW(A130))*3,0)</f>
        <v>43855</v>
      </c>
      <c r="B129">
        <f ca="1">OFFSET(Sheet2!C$3,(ROW(B130))*3,0)</f>
        <v>22</v>
      </c>
      <c r="C129" t="str">
        <f ca="1">OFFSET(Sheet2!D$3,(ROW(C130))*3,0)</f>
        <v>South</v>
      </c>
      <c r="D129" t="str">
        <f ca="1">OFFSET(Sheet2!F$3,(ROW(D130))*3,0)</f>
        <v>WANINDA PAUL</v>
      </c>
      <c r="E129" t="str">
        <f ca="1">OFFSET(Sheet2!G$3,(ROW(E130))*3,0)</f>
        <v>H2Go</v>
      </c>
      <c r="F129">
        <f ca="1">OFFSET(Sheet2!H$3,(ROW(F130))*3,0)</f>
        <v>0</v>
      </c>
      <c r="G129" t="str">
        <f ca="1">OFFSET(Sheet2!I$3,(ROW(G130))*3,0)</f>
        <v>WEEKLY</v>
      </c>
      <c r="H129">
        <f ca="1">OFFSET(Sheet2!J$3,(ROW(H130))*3,0)</f>
        <v>66</v>
      </c>
      <c r="I129" t="str">
        <f ca="1">OFFSET(Sheet2!K$3,(ROW(I130))*3,0)</f>
        <v>Recommendation</v>
      </c>
      <c r="J129" t="str">
        <f ca="1">OFFSET(Sheet2!L$3,(ROW(J130))*3,0)</f>
        <v>CHANGE WEEKLY</v>
      </c>
      <c r="K129" t="str">
        <f ca="1">OFFSET(Sheet2!M$3,(ROW(K130))*3,0)</f>
        <v>ATLEAST ONCE IN A WEEK</v>
      </c>
      <c r="L129" t="str">
        <f ca="1">OFFSET(Sheet2!N$3,(ROW(L130))*3,0)</f>
        <v>GOOD</v>
      </c>
      <c r="M129" t="str">
        <f ca="1">OFFSET(Sheet2!O$3,(ROW(M130))*3,0)</f>
        <v>GOOD</v>
      </c>
      <c r="N129" t="str">
        <f ca="1">OFFSET(Sheet2!P$3,(ROW(N130))*3,0)</f>
        <v>GOOD</v>
      </c>
      <c r="O129" t="str">
        <f ca="1">OFFSET(Sheet2!Q$3,(ROW(O130))*3,0)</f>
        <v>ATLEAST ONCE IN A WEEK CHECK NEEDED</v>
      </c>
      <c r="P129">
        <f ca="1">OFFSET(Sheet2!R$3,(ROW(P130))*3,0)</f>
        <v>0</v>
      </c>
      <c r="Q129">
        <f ca="1">OFFSET(Sheet2!S$3,(ROW(Q130))*3,0)</f>
        <v>0</v>
      </c>
      <c r="R129">
        <f ca="1">OFFSET(Sheet2!T$3,(ROW(R130))*3,0)</f>
        <v>0</v>
      </c>
      <c r="S129">
        <f ca="1">OFFSET(Sheet2!U$2,(ROW(S130))*3,0)</f>
        <v>0</v>
      </c>
      <c r="T129">
        <f ca="1">OFFSET(Sheet2!V$2,(ROW(T130))*3,0)</f>
        <v>0</v>
      </c>
    </row>
    <row r="130" spans="1:20" x14ac:dyDescent="0.35">
      <c r="A130">
        <f ca="1">OFFSET(Sheet2!B$3,(ROW(A131))*3,0)</f>
        <v>43862</v>
      </c>
      <c r="B130">
        <f ca="1">OFFSET(Sheet2!C$3,(ROW(B131))*3,0)</f>
        <v>22</v>
      </c>
      <c r="C130" t="str">
        <f ca="1">OFFSET(Sheet2!D$3,(ROW(C131))*3,0)</f>
        <v>South</v>
      </c>
      <c r="D130" t="str">
        <f ca="1">OFFSET(Sheet2!F$3,(ROW(D131))*3,0)</f>
        <v>WANINDA PAUL</v>
      </c>
      <c r="E130" t="str">
        <f ca="1">OFFSET(Sheet2!G$3,(ROW(E131))*3,0)</f>
        <v>H2Go</v>
      </c>
      <c r="F130">
        <f ca="1">OFFSET(Sheet2!H$3,(ROW(F131))*3,0)</f>
        <v>0</v>
      </c>
      <c r="G130" t="str">
        <f ca="1">OFFSET(Sheet2!I$3,(ROW(G131))*3,0)</f>
        <v>WEEKLY</v>
      </c>
      <c r="H130">
        <f ca="1">OFFSET(Sheet2!J$3,(ROW(H131))*3,0)</f>
        <v>87</v>
      </c>
      <c r="I130" t="str">
        <f ca="1">OFFSET(Sheet2!K$3,(ROW(I131))*3,0)</f>
        <v>Recommendation</v>
      </c>
      <c r="J130" t="str">
        <f ca="1">OFFSET(Sheet2!L$3,(ROW(J131))*3,0)</f>
        <v>change weekly</v>
      </c>
      <c r="K130" t="str">
        <f ca="1">OFFSET(Sheet2!M$3,(ROW(K131))*3,0)</f>
        <v>GOOD</v>
      </c>
      <c r="L130" t="str">
        <f ca="1">OFFSET(Sheet2!N$3,(ROW(L131))*3,0)</f>
        <v>GOOD</v>
      </c>
      <c r="M130" t="str">
        <f ca="1">OFFSET(Sheet2!O$3,(ROW(M131))*3,0)</f>
        <v>GOOD</v>
      </c>
      <c r="N130" t="str">
        <f ca="1">OFFSET(Sheet2!P$3,(ROW(N131))*3,0)</f>
        <v>GOOD</v>
      </c>
      <c r="O130" t="str">
        <f ca="1">OFFSET(Sheet2!Q$3,(ROW(O131))*3,0)</f>
        <v>TO BE CHECKED WEEKLY</v>
      </c>
      <c r="P130">
        <f ca="1">OFFSET(Sheet2!R$3,(ROW(P131))*3,0)</f>
        <v>0</v>
      </c>
      <c r="Q130">
        <f ca="1">OFFSET(Sheet2!S$3,(ROW(Q131))*3,0)</f>
        <v>0</v>
      </c>
      <c r="R130">
        <f ca="1">OFFSET(Sheet2!T$3,(ROW(R131))*3,0)</f>
        <v>0</v>
      </c>
      <c r="S130">
        <f ca="1">OFFSET(Sheet2!U$2,(ROW(S131))*3,0)</f>
        <v>0</v>
      </c>
      <c r="T130">
        <f ca="1">OFFSET(Sheet2!V$2,(ROW(T131))*3,0)</f>
        <v>0</v>
      </c>
    </row>
    <row r="131" spans="1:20" x14ac:dyDescent="0.35">
      <c r="A131">
        <f ca="1">OFFSET(Sheet2!B$3,(ROW(A132))*3,0)</f>
        <v>43869</v>
      </c>
      <c r="B131">
        <f ca="1">OFFSET(Sheet2!C$3,(ROW(B132))*3,0)</f>
        <v>22</v>
      </c>
      <c r="C131" t="str">
        <f ca="1">OFFSET(Sheet2!D$3,(ROW(C132))*3,0)</f>
        <v>South</v>
      </c>
      <c r="D131" t="str">
        <f ca="1">OFFSET(Sheet2!F$3,(ROW(D132))*3,0)</f>
        <v>WANINDA PAUL</v>
      </c>
      <c r="E131" t="str">
        <f ca="1">OFFSET(Sheet2!G$3,(ROW(E132))*3,0)</f>
        <v>H2Go</v>
      </c>
      <c r="F131">
        <f ca="1">OFFSET(Sheet2!H$3,(ROW(F132))*3,0)</f>
        <v>0</v>
      </c>
      <c r="G131" t="str">
        <f ca="1">OFFSET(Sheet2!I$3,(ROW(G132))*3,0)</f>
        <v>WEEKLY</v>
      </c>
      <c r="H131">
        <f ca="1">OFFSET(Sheet2!J$3,(ROW(H132))*3,0)</f>
        <v>195</v>
      </c>
      <c r="I131" t="str">
        <f ca="1">OFFSET(Sheet2!K$3,(ROW(I132))*3,0)</f>
        <v>Recommendation</v>
      </c>
      <c r="J131" t="str">
        <f ca="1">OFFSET(Sheet2!L$3,(ROW(J132))*3,0)</f>
        <v>change weekly</v>
      </c>
      <c r="K131" t="str">
        <f ca="1">OFFSET(Sheet2!M$3,(ROW(K132))*3,0)</f>
        <v>CHECK WEEKLY</v>
      </c>
      <c r="L131" t="str">
        <f ca="1">OFFSET(Sheet2!N$3,(ROW(L132))*3,0)</f>
        <v>GOOD</v>
      </c>
      <c r="M131" t="str">
        <f ca="1">OFFSET(Sheet2!O$3,(ROW(M132))*3,0)</f>
        <v>check weekly</v>
      </c>
      <c r="N131" t="str">
        <f ca="1">OFFSET(Sheet2!P$3,(ROW(N132))*3,0)</f>
        <v>GOOD</v>
      </c>
      <c r="O131" t="str">
        <f ca="1">OFFSET(Sheet2!Q$3,(ROW(O132))*3,0)</f>
        <v xml:space="preserve">GOOD </v>
      </c>
      <c r="P131">
        <f ca="1">OFFSET(Sheet2!R$3,(ROW(P132))*3,0)</f>
        <v>0</v>
      </c>
      <c r="Q131">
        <f ca="1">OFFSET(Sheet2!S$3,(ROW(Q132))*3,0)</f>
        <v>0</v>
      </c>
      <c r="R131">
        <f ca="1">OFFSET(Sheet2!T$3,(ROW(R132))*3,0)</f>
        <v>0</v>
      </c>
      <c r="S131">
        <f ca="1">OFFSET(Sheet2!U$2,(ROW(S132))*3,0)</f>
        <v>0</v>
      </c>
      <c r="T131">
        <f ca="1">OFFSET(Sheet2!V$2,(ROW(T132))*3,0)</f>
        <v>0</v>
      </c>
    </row>
    <row r="132" spans="1:20" x14ac:dyDescent="0.35">
      <c r="A132">
        <f ca="1">OFFSET(Sheet2!B$3,(ROW(A133))*3,0)</f>
        <v>43876</v>
      </c>
      <c r="B132">
        <f ca="1">OFFSET(Sheet2!C$3,(ROW(B133))*3,0)</f>
        <v>22</v>
      </c>
      <c r="C132" t="str">
        <f ca="1">OFFSET(Sheet2!D$3,(ROW(C133))*3,0)</f>
        <v>South</v>
      </c>
      <c r="D132" t="str">
        <f ca="1">OFFSET(Sheet2!F$3,(ROW(D133))*3,0)</f>
        <v>WANINDA PAUL</v>
      </c>
      <c r="E132" t="str">
        <f ca="1">OFFSET(Sheet2!G$3,(ROW(E133))*3,0)</f>
        <v>H2Go</v>
      </c>
      <c r="F132">
        <f ca="1">OFFSET(Sheet2!H$3,(ROW(F133))*3,0)</f>
        <v>0</v>
      </c>
      <c r="G132" t="str">
        <f ca="1">OFFSET(Sheet2!I$3,(ROW(G133))*3,0)</f>
        <v>WEEKLY</v>
      </c>
      <c r="H132">
        <f ca="1">OFFSET(Sheet2!J$3,(ROW(H133))*3,0)</f>
        <v>124</v>
      </c>
      <c r="I132" t="str">
        <f ca="1">OFFSET(Sheet2!K$3,(ROW(I133))*3,0)</f>
        <v>Recommendation</v>
      </c>
      <c r="J132" t="str">
        <f ca="1">OFFSET(Sheet2!L$3,(ROW(J133))*3,0)</f>
        <v>change weekly</v>
      </c>
      <c r="K132" t="str">
        <f ca="1">OFFSET(Sheet2!M$3,(ROW(K133))*3,0)</f>
        <v>KEEP IT CHECKED</v>
      </c>
      <c r="L132" t="str">
        <f ca="1">OFFSET(Sheet2!N$3,(ROW(L133))*3,0)</f>
        <v>KEEP IT MAINTAINED</v>
      </c>
      <c r="M132" t="str">
        <f ca="1">OFFSET(Sheet2!O$3,(ROW(M133))*3,0)</f>
        <v>KEEP IT CHECKED</v>
      </c>
      <c r="N132" t="str">
        <f ca="1">OFFSET(Sheet2!P$3,(ROW(N133))*3,0)</f>
        <v>Keep it clean</v>
      </c>
      <c r="O132" t="str">
        <f ca="1">OFFSET(Sheet2!Q$3,(ROW(O133))*3,0)</f>
        <v>KEEP IT MAINTAINED</v>
      </c>
      <c r="P132">
        <f ca="1">OFFSET(Sheet2!R$3,(ROW(P133))*3,0)</f>
        <v>0</v>
      </c>
      <c r="Q132">
        <f ca="1">OFFSET(Sheet2!S$3,(ROW(Q133))*3,0)</f>
        <v>0</v>
      </c>
      <c r="R132">
        <f ca="1">OFFSET(Sheet2!T$3,(ROW(R133))*3,0)</f>
        <v>0</v>
      </c>
      <c r="S132">
        <f ca="1">OFFSET(Sheet2!U$2,(ROW(S133))*3,0)</f>
        <v>0</v>
      </c>
      <c r="T132">
        <f ca="1">OFFSET(Sheet2!V$2,(ROW(T133))*3,0)</f>
        <v>0</v>
      </c>
    </row>
    <row r="133" spans="1:20" x14ac:dyDescent="0.35">
      <c r="A133">
        <f ca="1">OFFSET(Sheet2!B$3,(ROW(A134))*3,0)</f>
        <v>43885</v>
      </c>
      <c r="B133">
        <f ca="1">OFFSET(Sheet2!C$3,(ROW(B134))*3,0)</f>
        <v>22</v>
      </c>
      <c r="C133" t="str">
        <f ca="1">OFFSET(Sheet2!D$3,(ROW(C134))*3,0)</f>
        <v>South</v>
      </c>
      <c r="D133" t="str">
        <f ca="1">OFFSET(Sheet2!F$3,(ROW(D134))*3,0)</f>
        <v>WANINDA PAUL</v>
      </c>
      <c r="E133" t="str">
        <f ca="1">OFFSET(Sheet2!G$3,(ROW(E134))*3,0)</f>
        <v>H2Go</v>
      </c>
      <c r="F133">
        <f ca="1">OFFSET(Sheet2!H$3,(ROW(F134))*3,0)</f>
        <v>0</v>
      </c>
      <c r="G133" t="str">
        <f ca="1">OFFSET(Sheet2!I$3,(ROW(G134))*3,0)</f>
        <v>WEEKLY</v>
      </c>
      <c r="H133">
        <f ca="1">OFFSET(Sheet2!J$3,(ROW(H134))*3,0)</f>
        <v>113</v>
      </c>
      <c r="I133" t="str">
        <f ca="1">OFFSET(Sheet2!K$3,(ROW(I134))*3,0)</f>
        <v>Recommendation</v>
      </c>
      <c r="J133" t="str">
        <f ca="1">OFFSET(Sheet2!L$3,(ROW(J134))*3,0)</f>
        <v>Needs to be changed</v>
      </c>
      <c r="K133" t="str">
        <f ca="1">OFFSET(Sheet2!M$3,(ROW(K134))*3,0)</f>
        <v>No service needed, looks good, maintain</v>
      </c>
      <c r="L133" t="str">
        <f ca="1">OFFSET(Sheet2!N$3,(ROW(L134))*3,0)</f>
        <v>Needs adjustment, tappets are loose</v>
      </c>
      <c r="M133" t="str">
        <f ca="1">OFFSET(Sheet2!O$3,(ROW(M134))*3,0)</f>
        <v>No service needed, looks good, maintain</v>
      </c>
      <c r="N133" t="str">
        <f ca="1">OFFSET(Sheet2!P$3,(ROW(N134))*3,0)</f>
        <v>No service needed, looks good, maintain</v>
      </c>
      <c r="O133" t="str">
        <f ca="1">OFFSET(Sheet2!Q$3,(ROW(O134))*3,0)</f>
        <v>No service needed, looks good, maintain</v>
      </c>
      <c r="P133">
        <f ca="1">OFFSET(Sheet2!R$3,(ROW(P134))*3,0)</f>
        <v>0</v>
      </c>
      <c r="Q133">
        <f ca="1">OFFSET(Sheet2!S$3,(ROW(Q134))*3,0)</f>
        <v>0</v>
      </c>
      <c r="R133">
        <f ca="1">OFFSET(Sheet2!T$3,(ROW(R134))*3,0)</f>
        <v>0</v>
      </c>
      <c r="S133">
        <f ca="1">OFFSET(Sheet2!U$2,(ROW(S134))*3,0)</f>
        <v>0</v>
      </c>
      <c r="T133">
        <f ca="1">OFFSET(Sheet2!V$2,(ROW(T134))*3,0)</f>
        <v>0</v>
      </c>
    </row>
    <row r="134" spans="1:20" x14ac:dyDescent="0.35">
      <c r="A134">
        <f ca="1">OFFSET(Sheet2!B$3,(ROW(A135))*3,0)</f>
        <v>43892</v>
      </c>
      <c r="B134">
        <f ca="1">OFFSET(Sheet2!C$3,(ROW(B135))*3,0)</f>
        <v>22</v>
      </c>
      <c r="C134" t="str">
        <f ca="1">OFFSET(Sheet2!D$3,(ROW(C135))*3,0)</f>
        <v>South</v>
      </c>
      <c r="D134" t="str">
        <f ca="1">OFFSET(Sheet2!F$3,(ROW(D135))*3,0)</f>
        <v>WANINDA PAUL</v>
      </c>
      <c r="E134" t="str">
        <f ca="1">OFFSET(Sheet2!G$3,(ROW(E135))*3,0)</f>
        <v>H2GO</v>
      </c>
      <c r="F134">
        <f ca="1">OFFSET(Sheet2!H$3,(ROW(F135))*3,0)</f>
        <v>0</v>
      </c>
      <c r="G134" t="str">
        <f ca="1">OFFSET(Sheet2!I$3,(ROW(G135))*3,0)</f>
        <v>WEEKLY</v>
      </c>
      <c r="H134">
        <f ca="1">OFFSET(Sheet2!J$3,(ROW(H135))*3,0)</f>
        <v>106</v>
      </c>
      <c r="I134" t="str">
        <f ca="1">OFFSET(Sheet2!K$3,(ROW(I135))*3,0)</f>
        <v>Recommendation</v>
      </c>
      <c r="J134" t="str">
        <f ca="1">OFFSET(Sheet2!L$3,(ROW(J135))*3,0)</f>
        <v>Needs to be changed</v>
      </c>
      <c r="K134" t="str">
        <f ca="1">OFFSET(Sheet2!M$3,(ROW(K135))*3,0)</f>
        <v>No service needed, looks good, maintain</v>
      </c>
      <c r="L134" t="str">
        <f ca="1">OFFSET(Sheet2!N$3,(ROW(L135))*3,0)</f>
        <v>Needs adjustment</v>
      </c>
      <c r="M134" t="str">
        <f ca="1">OFFSET(Sheet2!O$3,(ROW(M135))*3,0)</f>
        <v>Needs to be cleaned</v>
      </c>
      <c r="N134" t="str">
        <f ca="1">OFFSET(Sheet2!P$3,(ROW(N135))*3,0)</f>
        <v>Monitor closely, will need to be changed soon</v>
      </c>
      <c r="O134" t="str">
        <f ca="1">OFFSET(Sheet2!Q$3,(ROW(O135))*3,0)</f>
        <v>No service needed, looks good, maintain</v>
      </c>
      <c r="P134">
        <f ca="1">OFFSET(Sheet2!R$3,(ROW(P135))*3,0)</f>
        <v>0</v>
      </c>
      <c r="Q134">
        <f ca="1">OFFSET(Sheet2!S$3,(ROW(Q135))*3,0)</f>
        <v>0</v>
      </c>
      <c r="R134">
        <f ca="1">OFFSET(Sheet2!T$3,(ROW(R135))*3,0)</f>
        <v>0</v>
      </c>
      <c r="S134">
        <f ca="1">OFFSET(Sheet2!U$2,(ROW(S135))*3,0)</f>
        <v>0</v>
      </c>
      <c r="T134">
        <f ca="1">OFFSET(Sheet2!V$2,(ROW(T135))*3,0)</f>
        <v>0</v>
      </c>
    </row>
    <row r="135" spans="1:20" x14ac:dyDescent="0.35">
      <c r="A135">
        <f ca="1">OFFSET(Sheet2!B$3,(ROW(A136))*3,0)</f>
        <v>43899</v>
      </c>
      <c r="B135">
        <f ca="1">OFFSET(Sheet2!C$3,(ROW(B136))*3,0)</f>
        <v>22</v>
      </c>
      <c r="C135" t="str">
        <f ca="1">OFFSET(Sheet2!D$3,(ROW(C136))*3,0)</f>
        <v>South</v>
      </c>
      <c r="D135" t="str">
        <f ca="1">OFFSET(Sheet2!F$3,(ROW(D136))*3,0)</f>
        <v>WANINDA PAUL</v>
      </c>
      <c r="E135" t="str">
        <f ca="1">OFFSET(Sheet2!G$3,(ROW(E136))*3,0)</f>
        <v>H2GO</v>
      </c>
      <c r="F135">
        <f ca="1">OFFSET(Sheet2!H$3,(ROW(F136))*3,0)</f>
        <v>0</v>
      </c>
      <c r="G135" t="str">
        <f ca="1">OFFSET(Sheet2!I$3,(ROW(G136))*3,0)</f>
        <v>WEEKLY</v>
      </c>
      <c r="H135">
        <f ca="1">OFFSET(Sheet2!J$3,(ROW(H136))*3,0)</f>
        <v>180</v>
      </c>
      <c r="I135" t="str">
        <f ca="1">OFFSET(Sheet2!K$3,(ROW(I136))*3,0)</f>
        <v>Recommendation</v>
      </c>
      <c r="J135" t="str">
        <f ca="1">OFFSET(Sheet2!L$3,(ROW(J136))*3,0)</f>
        <v>Needs to be changed</v>
      </c>
      <c r="K135" t="str">
        <f ca="1">OFFSET(Sheet2!M$3,(ROW(K136))*3,0)</f>
        <v>No service needed, looks good, maintain</v>
      </c>
      <c r="L135" t="str">
        <f ca="1">OFFSET(Sheet2!N$3,(ROW(L136))*3,0)</f>
        <v>Needs adjustment</v>
      </c>
      <c r="M135" t="str">
        <f ca="1">OFFSET(Sheet2!O$3,(ROW(M136))*3,0)</f>
        <v>Needs to be cleaned</v>
      </c>
      <c r="N135" t="str">
        <f ca="1">OFFSET(Sheet2!P$3,(ROW(N136))*3,0)</f>
        <v>Monitor closely, will need to be changed soon</v>
      </c>
      <c r="O135" t="str">
        <f ca="1">OFFSET(Sheet2!Q$3,(ROW(O136))*3,0)</f>
        <v>No service needed, looks good, maintain</v>
      </c>
      <c r="P135">
        <f ca="1">OFFSET(Sheet2!R$3,(ROW(P136))*3,0)</f>
        <v>0</v>
      </c>
      <c r="Q135">
        <f ca="1">OFFSET(Sheet2!S$3,(ROW(Q136))*3,0)</f>
        <v>0</v>
      </c>
      <c r="R135">
        <f ca="1">OFFSET(Sheet2!T$3,(ROW(R136))*3,0)</f>
        <v>0</v>
      </c>
      <c r="S135">
        <f ca="1">OFFSET(Sheet2!U$2,(ROW(S136))*3,0)</f>
        <v>0</v>
      </c>
      <c r="T135">
        <f ca="1">OFFSET(Sheet2!V$2,(ROW(T136))*3,0)</f>
        <v>0</v>
      </c>
    </row>
    <row r="136" spans="1:20" x14ac:dyDescent="0.35">
      <c r="A136">
        <f ca="1">OFFSET(Sheet2!B$3,(ROW(A137))*3,0)</f>
        <v>43841</v>
      </c>
      <c r="B136">
        <f ca="1">OFFSET(Sheet2!C$3,(ROW(B137))*3,0)</f>
        <v>23</v>
      </c>
      <c r="C136" t="str">
        <f ca="1">OFFSET(Sheet2!D$3,(ROW(C137))*3,0)</f>
        <v>South</v>
      </c>
      <c r="D136" t="str">
        <f ca="1">OFFSET(Sheet2!F$3,(ROW(D137))*3,0)</f>
        <v>WAFUMBO ROGERS</v>
      </c>
      <c r="E136" t="str">
        <f ca="1">OFFSET(Sheet2!G$3,(ROW(E137))*3,0)</f>
        <v>H2Go</v>
      </c>
      <c r="F136">
        <f ca="1">OFFSET(Sheet2!H$3,(ROW(F137))*3,0)</f>
        <v>0</v>
      </c>
      <c r="G136" t="str">
        <f ca="1">OFFSET(Sheet2!I$3,(ROW(G137))*3,0)</f>
        <v>Comprehensive</v>
      </c>
      <c r="H136">
        <f ca="1">OFFSET(Sheet2!J$3,(ROW(H137))*3,0)</f>
        <v>97</v>
      </c>
      <c r="I136" t="str">
        <f ca="1">OFFSET(Sheet2!K$3,(ROW(I137))*3,0)</f>
        <v>Recommendation</v>
      </c>
      <c r="J136" t="str">
        <f ca="1">OFFSET(Sheet2!L$3,(ROW(J137))*3,0)</f>
        <v>change weekly</v>
      </c>
      <c r="K136" t="str">
        <f ca="1">OFFSET(Sheet2!M$3,(ROW(K137))*3,0)</f>
        <v>maintain</v>
      </c>
      <c r="L136" t="str">
        <f ca="1">OFFSET(Sheet2!N$3,(ROW(L137))*3,0)</f>
        <v>atleast once in a week</v>
      </c>
      <c r="M136" t="str">
        <f ca="1">OFFSET(Sheet2!O$3,(ROW(M137))*3,0)</f>
        <v>maintain</v>
      </c>
      <c r="N136" t="str">
        <f ca="1">OFFSET(Sheet2!P$3,(ROW(N137))*3,0)</f>
        <v>maintain</v>
      </c>
      <c r="O136" t="str">
        <f ca="1">OFFSET(Sheet2!Q$3,(ROW(O137))*3,0)</f>
        <v>maintain</v>
      </c>
      <c r="P136" t="str">
        <f ca="1">OFFSET(Sheet2!R$3,(ROW(P137))*3,0)</f>
        <v>needs to be changed</v>
      </c>
      <c r="Q136" t="str">
        <f ca="1">OFFSET(Sheet2!S$3,(ROW(Q137))*3,0)</f>
        <v>maintain</v>
      </c>
      <c r="R136" t="str">
        <f ca="1">OFFSET(Sheet2!T$3,(ROW(R137))*3,0)</f>
        <v>maintain</v>
      </c>
      <c r="S136">
        <f ca="1">OFFSET(Sheet2!U$2,(ROW(S137))*3,0)</f>
        <v>0</v>
      </c>
      <c r="T136">
        <f ca="1">OFFSET(Sheet2!V$2,(ROW(T137))*3,0)</f>
        <v>0</v>
      </c>
    </row>
    <row r="137" spans="1:20" x14ac:dyDescent="0.35">
      <c r="A137">
        <f ca="1">OFFSET(Sheet2!B$3,(ROW(A138))*3,0)</f>
        <v>43848</v>
      </c>
      <c r="B137">
        <f ca="1">OFFSET(Sheet2!C$3,(ROW(B138))*3,0)</f>
        <v>23</v>
      </c>
      <c r="C137" t="str">
        <f ca="1">OFFSET(Sheet2!D$3,(ROW(C138))*3,0)</f>
        <v>South</v>
      </c>
      <c r="D137" t="str">
        <f ca="1">OFFSET(Sheet2!F$3,(ROW(D138))*3,0)</f>
        <v>WAFUMBO ROGERS</v>
      </c>
      <c r="E137" t="str">
        <f ca="1">OFFSET(Sheet2!G$3,(ROW(E138))*3,0)</f>
        <v>H2Go</v>
      </c>
      <c r="F137">
        <f ca="1">OFFSET(Sheet2!H$3,(ROW(F138))*3,0)</f>
        <v>0</v>
      </c>
      <c r="G137" t="str">
        <f ca="1">OFFSET(Sheet2!I$3,(ROW(G138))*3,0)</f>
        <v>WEEKLY</v>
      </c>
      <c r="H137">
        <f ca="1">OFFSET(Sheet2!J$3,(ROW(H138))*3,0)</f>
        <v>32</v>
      </c>
      <c r="I137" t="str">
        <f ca="1">OFFSET(Sheet2!K$3,(ROW(I138))*3,0)</f>
        <v>Recommendation</v>
      </c>
      <c r="J137" t="str">
        <f ca="1">OFFSET(Sheet2!L$3,(ROW(J138))*3,0)</f>
        <v>change weekly</v>
      </c>
      <c r="K137" t="str">
        <f ca="1">OFFSET(Sheet2!M$3,(ROW(K138))*3,0)</f>
        <v>to be done service weekly</v>
      </c>
      <c r="L137" t="str">
        <f ca="1">OFFSET(Sheet2!N$3,(ROW(L138))*3,0)</f>
        <v>good</v>
      </c>
      <c r="M137" t="str">
        <f ca="1">OFFSET(Sheet2!O$3,(ROW(M138))*3,0)</f>
        <v>good</v>
      </c>
      <c r="N137" t="str">
        <f ca="1">OFFSET(Sheet2!P$3,(ROW(N138))*3,0)</f>
        <v>GOOD IN CONDITION</v>
      </c>
      <c r="O137" t="str">
        <f ca="1">OFFSET(Sheet2!Q$3,(ROW(O138))*3,0)</f>
        <v>good</v>
      </c>
      <c r="P137">
        <f ca="1">OFFSET(Sheet2!R$3,(ROW(P138))*3,0)</f>
        <v>0</v>
      </c>
      <c r="Q137">
        <f ca="1">OFFSET(Sheet2!S$3,(ROW(Q138))*3,0)</f>
        <v>0</v>
      </c>
      <c r="R137">
        <f ca="1">OFFSET(Sheet2!T$3,(ROW(R138))*3,0)</f>
        <v>0</v>
      </c>
      <c r="S137">
        <f ca="1">OFFSET(Sheet2!U$2,(ROW(S138))*3,0)</f>
        <v>0</v>
      </c>
      <c r="T137">
        <f ca="1">OFFSET(Sheet2!V$2,(ROW(T138))*3,0)</f>
        <v>0</v>
      </c>
    </row>
    <row r="138" spans="1:20" x14ac:dyDescent="0.35">
      <c r="A138">
        <f ca="1">OFFSET(Sheet2!B$3,(ROW(A139))*3,0)</f>
        <v>43862</v>
      </c>
      <c r="B138">
        <f ca="1">OFFSET(Sheet2!C$3,(ROW(B139))*3,0)</f>
        <v>23</v>
      </c>
      <c r="C138" t="str">
        <f ca="1">OFFSET(Sheet2!D$3,(ROW(C139))*3,0)</f>
        <v>South</v>
      </c>
      <c r="D138" t="str">
        <f ca="1">OFFSET(Sheet2!F$3,(ROW(D139))*3,0)</f>
        <v>WAFUMBO ROGERS</v>
      </c>
      <c r="E138" t="str">
        <f ca="1">OFFSET(Sheet2!G$3,(ROW(E139))*3,0)</f>
        <v>H2GO</v>
      </c>
      <c r="F138">
        <f ca="1">OFFSET(Sheet2!H$3,(ROW(F139))*3,0)</f>
        <v>0</v>
      </c>
      <c r="G138" t="str">
        <f ca="1">OFFSET(Sheet2!I$3,(ROW(G139))*3,0)</f>
        <v>WEEKLY</v>
      </c>
      <c r="H138">
        <f ca="1">OFFSET(Sheet2!J$3,(ROW(H139))*3,0)</f>
        <v>74</v>
      </c>
      <c r="I138" t="str">
        <f ca="1">OFFSET(Sheet2!K$3,(ROW(I139))*3,0)</f>
        <v>Recommendation</v>
      </c>
      <c r="J138" t="str">
        <f ca="1">OFFSET(Sheet2!L$3,(ROW(J139))*3,0)</f>
        <v>PLEASE CHANGE WEEKLY</v>
      </c>
      <c r="K138" t="str">
        <f ca="1">OFFSET(Sheet2!M$3,(ROW(K139))*3,0)</f>
        <v>SERVICE WEEKLY</v>
      </c>
      <c r="L138" t="str">
        <f ca="1">OFFSET(Sheet2!N$3,(ROW(L139))*3,0)</f>
        <v>GOOD</v>
      </c>
      <c r="M138" t="str">
        <f ca="1">OFFSET(Sheet2!O$3,(ROW(M139))*3,0)</f>
        <v>GOOD</v>
      </c>
      <c r="N138" t="str">
        <f ca="1">OFFSET(Sheet2!P$3,(ROW(N139))*3,0)</f>
        <v>GOOD</v>
      </c>
      <c r="O138" t="str">
        <f ca="1">OFFSET(Sheet2!Q$3,(ROW(O139))*3,0)</f>
        <v>GOOD</v>
      </c>
      <c r="P138">
        <f ca="1">OFFSET(Sheet2!R$3,(ROW(P139))*3,0)</f>
        <v>0</v>
      </c>
      <c r="Q138">
        <f ca="1">OFFSET(Sheet2!S$3,(ROW(Q139))*3,0)</f>
        <v>0</v>
      </c>
      <c r="R138">
        <f ca="1">OFFSET(Sheet2!T$3,(ROW(R139))*3,0)</f>
        <v>0</v>
      </c>
      <c r="S138">
        <f ca="1">OFFSET(Sheet2!U$2,(ROW(S139))*3,0)</f>
        <v>0</v>
      </c>
      <c r="T138">
        <f ca="1">OFFSET(Sheet2!V$2,(ROW(T139))*3,0)</f>
        <v>0</v>
      </c>
    </row>
    <row r="139" spans="1:20" x14ac:dyDescent="0.35">
      <c r="A139">
        <f ca="1">OFFSET(Sheet2!B$3,(ROW(A140))*3,0)</f>
        <v>43869</v>
      </c>
      <c r="B139">
        <f ca="1">OFFSET(Sheet2!C$3,(ROW(B140))*3,0)</f>
        <v>23</v>
      </c>
      <c r="C139" t="str">
        <f ca="1">OFFSET(Sheet2!D$3,(ROW(C140))*3,0)</f>
        <v>South</v>
      </c>
      <c r="D139" t="str">
        <f ca="1">OFFSET(Sheet2!F$3,(ROW(D140))*3,0)</f>
        <v>WAFUMBO ROGERS</v>
      </c>
      <c r="E139" t="str">
        <f ca="1">OFFSET(Sheet2!G$3,(ROW(E140))*3,0)</f>
        <v>H2Go</v>
      </c>
      <c r="F139">
        <f ca="1">OFFSET(Sheet2!H$3,(ROW(F140))*3,0)</f>
        <v>0</v>
      </c>
      <c r="G139" t="str">
        <f ca="1">OFFSET(Sheet2!I$3,(ROW(G140))*3,0)</f>
        <v>WEEKLY</v>
      </c>
      <c r="H139">
        <f ca="1">OFFSET(Sheet2!J$3,(ROW(H140))*3,0)</f>
        <v>197</v>
      </c>
      <c r="I139" t="str">
        <f ca="1">OFFSET(Sheet2!K$3,(ROW(I140))*3,0)</f>
        <v>Recommendation</v>
      </c>
      <c r="J139" t="str">
        <f ca="1">OFFSET(Sheet2!L$3,(ROW(J140))*3,0)</f>
        <v>change weekly</v>
      </c>
      <c r="K139" t="str">
        <f ca="1">OFFSET(Sheet2!M$3,(ROW(K140))*3,0)</f>
        <v>WELL SERVICED</v>
      </c>
      <c r="L139" t="str">
        <f ca="1">OFFSET(Sheet2!N$3,(ROW(L140))*3,0)</f>
        <v>TO BE SERVICED WEEKLY</v>
      </c>
      <c r="M139" t="str">
        <f ca="1">OFFSET(Sheet2!O$3,(ROW(M140))*3,0)</f>
        <v>GOOD</v>
      </c>
      <c r="N139" t="str">
        <f ca="1">OFFSET(Sheet2!P$3,(ROW(N140))*3,0)</f>
        <v>GOOD</v>
      </c>
      <c r="O139" t="str">
        <f ca="1">OFFSET(Sheet2!Q$3,(ROW(O140))*3,0)</f>
        <v>GOOD</v>
      </c>
      <c r="P139" t="str">
        <f ca="1">OFFSET(Sheet2!R$3,(ROW(P140))*3,0)</f>
        <v>Replaced Spark Plug</v>
      </c>
      <c r="Q139">
        <f ca="1">OFFSET(Sheet2!S$3,(ROW(Q140))*3,0)</f>
        <v>0</v>
      </c>
      <c r="R139">
        <f ca="1">OFFSET(Sheet2!T$3,(ROW(R140))*3,0)</f>
        <v>0</v>
      </c>
      <c r="S139">
        <f ca="1">OFFSET(Sheet2!U$2,(ROW(S140))*3,0)</f>
        <v>0</v>
      </c>
      <c r="T139">
        <f ca="1">OFFSET(Sheet2!V$2,(ROW(T140))*3,0)</f>
        <v>0</v>
      </c>
    </row>
    <row r="140" spans="1:20" x14ac:dyDescent="0.35">
      <c r="A140">
        <f ca="1">OFFSET(Sheet2!B$3,(ROW(A141))*3,0)</f>
        <v>43876</v>
      </c>
      <c r="B140">
        <f ca="1">OFFSET(Sheet2!C$3,(ROW(B141))*3,0)</f>
        <v>23</v>
      </c>
      <c r="C140" t="str">
        <f ca="1">OFFSET(Sheet2!D$3,(ROW(C141))*3,0)</f>
        <v>South</v>
      </c>
      <c r="D140" t="str">
        <f ca="1">OFFSET(Sheet2!F$3,(ROW(D141))*3,0)</f>
        <v>WAFUMBO ROGERS</v>
      </c>
      <c r="E140" t="str">
        <f ca="1">OFFSET(Sheet2!G$3,(ROW(E141))*3,0)</f>
        <v>H2Go</v>
      </c>
      <c r="F140">
        <f ca="1">OFFSET(Sheet2!H$3,(ROW(F141))*3,0)</f>
        <v>0</v>
      </c>
      <c r="G140" t="str">
        <f ca="1">OFFSET(Sheet2!I$3,(ROW(G141))*3,0)</f>
        <v>WEEKLY</v>
      </c>
      <c r="H140">
        <f ca="1">OFFSET(Sheet2!J$3,(ROW(H141))*3,0)</f>
        <v>121</v>
      </c>
      <c r="I140" t="str">
        <f ca="1">OFFSET(Sheet2!K$3,(ROW(I141))*3,0)</f>
        <v>Recommendation</v>
      </c>
      <c r="J140" t="str">
        <f ca="1">OFFSET(Sheet2!L$3,(ROW(J141))*3,0)</f>
        <v>CHANGE WEEKLY</v>
      </c>
      <c r="K140" t="str">
        <f ca="1">OFFSET(Sheet2!M$3,(ROW(K141))*3,0)</f>
        <v>KEEP IT CHECKED</v>
      </c>
      <c r="L140" t="str">
        <f ca="1">OFFSET(Sheet2!N$3,(ROW(L141))*3,0)</f>
        <v>NEEDS TO BE SET</v>
      </c>
      <c r="M140" t="str">
        <f ca="1">OFFSET(Sheet2!O$3,(ROW(M141))*3,0)</f>
        <v>Keep it clean</v>
      </c>
      <c r="N140" t="str">
        <f ca="1">OFFSET(Sheet2!P$3,(ROW(N141))*3,0)</f>
        <v>Keep it clean</v>
      </c>
      <c r="O140" t="str">
        <f ca="1">OFFSET(Sheet2!Q$3,(ROW(O141))*3,0)</f>
        <v>KEEP IT MAINTAINED</v>
      </c>
      <c r="P140">
        <f ca="1">OFFSET(Sheet2!R$3,(ROW(P141))*3,0)</f>
        <v>0</v>
      </c>
      <c r="Q140">
        <f ca="1">OFFSET(Sheet2!S$3,(ROW(Q141))*3,0)</f>
        <v>0</v>
      </c>
      <c r="R140">
        <f ca="1">OFFSET(Sheet2!T$3,(ROW(R141))*3,0)</f>
        <v>0</v>
      </c>
      <c r="S140">
        <f ca="1">OFFSET(Sheet2!U$2,(ROW(S141))*3,0)</f>
        <v>0</v>
      </c>
      <c r="T140">
        <f ca="1">OFFSET(Sheet2!V$2,(ROW(T141))*3,0)</f>
        <v>0</v>
      </c>
    </row>
    <row r="141" spans="1:20" x14ac:dyDescent="0.35">
      <c r="A141">
        <f ca="1">OFFSET(Sheet2!B$3,(ROW(A142))*3,0)</f>
        <v>43885</v>
      </c>
      <c r="B141">
        <f ca="1">OFFSET(Sheet2!C$3,(ROW(B142))*3,0)</f>
        <v>23</v>
      </c>
      <c r="C141" t="str">
        <f ca="1">OFFSET(Sheet2!D$3,(ROW(C142))*3,0)</f>
        <v>South</v>
      </c>
      <c r="D141" t="str">
        <f ca="1">OFFSET(Sheet2!F$3,(ROW(D142))*3,0)</f>
        <v>WAFUMBO ROGERS</v>
      </c>
      <c r="E141" t="str">
        <f ca="1">OFFSET(Sheet2!G$3,(ROW(E142))*3,0)</f>
        <v>H2GO</v>
      </c>
      <c r="F141">
        <f ca="1">OFFSET(Sheet2!H$3,(ROW(F142))*3,0)</f>
        <v>0</v>
      </c>
      <c r="G141" t="str">
        <f ca="1">OFFSET(Sheet2!I$3,(ROW(G142))*3,0)</f>
        <v>WEEKLY</v>
      </c>
      <c r="H141">
        <f ca="1">OFFSET(Sheet2!J$3,(ROW(H142))*3,0)</f>
        <v>147</v>
      </c>
      <c r="I141" t="str">
        <f ca="1">OFFSET(Sheet2!K$3,(ROW(I142))*3,0)</f>
        <v>Recommendation</v>
      </c>
      <c r="J141" t="str">
        <f ca="1">OFFSET(Sheet2!L$3,(ROW(J142))*3,0)</f>
        <v>Needs to be changed</v>
      </c>
      <c r="K141" t="str">
        <f ca="1">OFFSET(Sheet2!M$3,(ROW(K142))*3,0)</f>
        <v>No service needed, looks good, maintain</v>
      </c>
      <c r="L141" t="str">
        <f ca="1">OFFSET(Sheet2!N$3,(ROW(L142))*3,0)</f>
        <v>Needs adjustment, tappets are tight</v>
      </c>
      <c r="M141" t="str">
        <f ca="1">OFFSET(Sheet2!O$3,(ROW(M142))*3,0)</f>
        <v>No service needed, looks good, maintain</v>
      </c>
      <c r="N141" t="str">
        <f ca="1">OFFSET(Sheet2!P$3,(ROW(N142))*3,0)</f>
        <v>No service needed, looks good, maintain</v>
      </c>
      <c r="O141" t="str">
        <f ca="1">OFFSET(Sheet2!Q$3,(ROW(O142))*3,0)</f>
        <v>No service needed, looks good, maintain</v>
      </c>
      <c r="P141">
        <f ca="1">OFFSET(Sheet2!R$3,(ROW(P142))*3,0)</f>
        <v>0</v>
      </c>
      <c r="Q141">
        <f ca="1">OFFSET(Sheet2!S$3,(ROW(Q142))*3,0)</f>
        <v>0</v>
      </c>
      <c r="R141">
        <f ca="1">OFFSET(Sheet2!T$3,(ROW(R142))*3,0)</f>
        <v>0</v>
      </c>
      <c r="S141">
        <f ca="1">OFFSET(Sheet2!U$2,(ROW(S142))*3,0)</f>
        <v>0</v>
      </c>
      <c r="T141">
        <f ca="1">OFFSET(Sheet2!V$2,(ROW(T142))*3,0)</f>
        <v>0</v>
      </c>
    </row>
    <row r="142" spans="1:20" x14ac:dyDescent="0.35">
      <c r="A142">
        <f ca="1">OFFSET(Sheet2!B$3,(ROW(A143))*3,0)</f>
        <v>43855</v>
      </c>
      <c r="B142">
        <f ca="1">OFFSET(Sheet2!C$3,(ROW(B143))*3,0)</f>
        <v>23</v>
      </c>
      <c r="C142" t="str">
        <f ca="1">OFFSET(Sheet2!D$3,(ROW(C143))*3,0)</f>
        <v>South</v>
      </c>
      <c r="D142" t="str">
        <f ca="1">OFFSET(Sheet2!F$3,(ROW(D143))*3,0)</f>
        <v>WAFUMBO ROGERS</v>
      </c>
      <c r="E142" t="str">
        <f ca="1">OFFSET(Sheet2!G$3,(ROW(E143))*3,0)</f>
        <v>H2GO</v>
      </c>
      <c r="F142">
        <f ca="1">OFFSET(Sheet2!H$3,(ROW(F143))*3,0)</f>
        <v>0</v>
      </c>
      <c r="G142" t="str">
        <f ca="1">OFFSET(Sheet2!I$3,(ROW(G143))*3,0)</f>
        <v>WEEKLY</v>
      </c>
      <c r="H142">
        <f ca="1">OFFSET(Sheet2!J$3,(ROW(H143))*3,0)</f>
        <v>79</v>
      </c>
      <c r="I142" t="str">
        <f ca="1">OFFSET(Sheet2!K$3,(ROW(I143))*3,0)</f>
        <v>Recommendation</v>
      </c>
      <c r="J142" t="str">
        <f ca="1">OFFSET(Sheet2!L$3,(ROW(J143))*3,0)</f>
        <v>CHANGE WEEKLY</v>
      </c>
      <c r="K142" t="str">
        <f ca="1">OFFSET(Sheet2!M$3,(ROW(K143))*3,0)</f>
        <v>MAINTAIN IT</v>
      </c>
      <c r="L142" t="str">
        <f ca="1">OFFSET(Sheet2!N$3,(ROW(L143))*3,0)</f>
        <v>NEED SETTING</v>
      </c>
      <c r="M142" t="str">
        <f ca="1">OFFSET(Sheet2!O$3,(ROW(M143))*3,0)</f>
        <v>MAINTAIN</v>
      </c>
      <c r="N142" t="str">
        <f ca="1">OFFSET(Sheet2!P$3,(ROW(N143))*3,0)</f>
        <v>NEEDS CLEANING</v>
      </c>
      <c r="O142" t="str">
        <f ca="1">OFFSET(Sheet2!Q$3,(ROW(O143))*3,0)</f>
        <v>NO SERVICE NEEDED</v>
      </c>
      <c r="P142">
        <f ca="1">OFFSET(Sheet2!R$3,(ROW(P143))*3,0)</f>
        <v>0</v>
      </c>
      <c r="Q142">
        <f ca="1">OFFSET(Sheet2!S$3,(ROW(Q143))*3,0)</f>
        <v>0</v>
      </c>
      <c r="R142">
        <f ca="1">OFFSET(Sheet2!T$3,(ROW(R143))*3,0)</f>
        <v>0</v>
      </c>
      <c r="S142">
        <f ca="1">OFFSET(Sheet2!U$2,(ROW(S143))*3,0)</f>
        <v>0</v>
      </c>
      <c r="T142">
        <f ca="1">OFFSET(Sheet2!V$2,(ROW(T143))*3,0)</f>
        <v>0</v>
      </c>
    </row>
    <row r="143" spans="1:20" x14ac:dyDescent="0.35">
      <c r="A143">
        <f ca="1">OFFSET(Sheet2!B$3,(ROW(A144))*3,0)</f>
        <v>43892</v>
      </c>
      <c r="B143">
        <f ca="1">OFFSET(Sheet2!C$3,(ROW(B144))*3,0)</f>
        <v>23</v>
      </c>
      <c r="C143" t="str">
        <f ca="1">OFFSET(Sheet2!D$3,(ROW(C144))*3,0)</f>
        <v>South</v>
      </c>
      <c r="D143" t="str">
        <f ca="1">OFFSET(Sheet2!F$3,(ROW(D144))*3,0)</f>
        <v>WAFUMBO ROGERS</v>
      </c>
      <c r="E143" t="str">
        <f ca="1">OFFSET(Sheet2!G$3,(ROW(E144))*3,0)</f>
        <v>H2GO</v>
      </c>
      <c r="F143">
        <f ca="1">OFFSET(Sheet2!H$3,(ROW(F144))*3,0)</f>
        <v>0</v>
      </c>
      <c r="G143" t="str">
        <f ca="1">OFFSET(Sheet2!I$3,(ROW(G144))*3,0)</f>
        <v>WEEKLY</v>
      </c>
      <c r="H143">
        <f ca="1">OFFSET(Sheet2!J$3,(ROW(H144))*3,0)</f>
        <v>104</v>
      </c>
      <c r="I143" t="str">
        <f ca="1">OFFSET(Sheet2!K$3,(ROW(I144))*3,0)</f>
        <v>Recommendation</v>
      </c>
      <c r="J143" t="str">
        <f ca="1">OFFSET(Sheet2!L$3,(ROW(J144))*3,0)</f>
        <v>Needs to be changed</v>
      </c>
      <c r="K143" t="str">
        <f ca="1">OFFSET(Sheet2!M$3,(ROW(K144))*3,0)</f>
        <v>Needs to be cleaned</v>
      </c>
      <c r="L143" t="str">
        <f ca="1">OFFSET(Sheet2!N$3,(ROW(L144))*3,0)</f>
        <v>Needs adjustment</v>
      </c>
      <c r="M143" t="str">
        <f ca="1">OFFSET(Sheet2!O$3,(ROW(M144))*3,0)</f>
        <v>No service needed, looks good, maintain</v>
      </c>
      <c r="N143" t="str">
        <f ca="1">OFFSET(Sheet2!P$3,(ROW(N144))*3,0)</f>
        <v>No service needed, looks good, maintain</v>
      </c>
      <c r="O143" t="str">
        <f ca="1">OFFSET(Sheet2!Q$3,(ROW(O144))*3,0)</f>
        <v xml:space="preserve">Replace Nut </v>
      </c>
      <c r="P143">
        <f ca="1">OFFSET(Sheet2!R$3,(ROW(P144))*3,0)</f>
        <v>0</v>
      </c>
      <c r="Q143">
        <f ca="1">OFFSET(Sheet2!S$3,(ROW(Q144))*3,0)</f>
        <v>0</v>
      </c>
      <c r="R143">
        <f ca="1">OFFSET(Sheet2!T$3,(ROW(R144))*3,0)</f>
        <v>0</v>
      </c>
      <c r="S143">
        <f ca="1">OFFSET(Sheet2!U$2,(ROW(S144))*3,0)</f>
        <v>0</v>
      </c>
      <c r="T143">
        <f ca="1">OFFSET(Sheet2!V$2,(ROW(T144))*3,0)</f>
        <v>0</v>
      </c>
    </row>
    <row r="144" spans="1:20" x14ac:dyDescent="0.35">
      <c r="A144">
        <f ca="1">OFFSET(Sheet2!B$3,(ROW(A145))*3,0)</f>
        <v>43899</v>
      </c>
      <c r="B144">
        <f ca="1">OFFSET(Sheet2!C$3,(ROW(B145))*3,0)</f>
        <v>23</v>
      </c>
      <c r="C144" t="str">
        <f ca="1">OFFSET(Sheet2!D$3,(ROW(C145))*3,0)</f>
        <v>South</v>
      </c>
      <c r="D144" t="str">
        <f ca="1">OFFSET(Sheet2!F$3,(ROW(D145))*3,0)</f>
        <v>WAFUMBO ROGERS</v>
      </c>
      <c r="E144" t="str">
        <f ca="1">OFFSET(Sheet2!G$3,(ROW(E145))*3,0)</f>
        <v>H2GO</v>
      </c>
      <c r="F144">
        <f ca="1">OFFSET(Sheet2!H$3,(ROW(F145))*3,0)</f>
        <v>0</v>
      </c>
      <c r="G144" t="str">
        <f ca="1">OFFSET(Sheet2!I$3,(ROW(G145))*3,0)</f>
        <v>WEEKLY</v>
      </c>
      <c r="H144">
        <f ca="1">OFFSET(Sheet2!J$3,(ROW(H145))*3,0)</f>
        <v>152</v>
      </c>
      <c r="I144" t="str">
        <f ca="1">OFFSET(Sheet2!K$3,(ROW(I145))*3,0)</f>
        <v>Recommendation</v>
      </c>
      <c r="J144" t="str">
        <f ca="1">OFFSET(Sheet2!L$3,(ROW(J145))*3,0)</f>
        <v>Needs to be changed</v>
      </c>
      <c r="K144" t="str">
        <f ca="1">OFFSET(Sheet2!M$3,(ROW(K145))*3,0)</f>
        <v>No service needed, looks good, maintain</v>
      </c>
      <c r="L144" t="str">
        <f ca="1">OFFSET(Sheet2!N$3,(ROW(L145))*3,0)</f>
        <v>No adjustment needed, looks good, maintain</v>
      </c>
      <c r="M144" t="str">
        <f ca="1">OFFSET(Sheet2!O$3,(ROW(M145))*3,0)</f>
        <v>No service needed, looks good, maintain</v>
      </c>
      <c r="N144" t="str">
        <f ca="1">OFFSET(Sheet2!P$3,(ROW(N145))*3,0)</f>
        <v>No service needed, looks good, maintain</v>
      </c>
      <c r="O144" t="str">
        <f ca="1">OFFSET(Sheet2!Q$3,(ROW(O145))*3,0)</f>
        <v>No service needed, looks good, maintain</v>
      </c>
      <c r="P144">
        <f ca="1">OFFSET(Sheet2!R$3,(ROW(P145))*3,0)</f>
        <v>0</v>
      </c>
      <c r="Q144">
        <f ca="1">OFFSET(Sheet2!S$3,(ROW(Q145))*3,0)</f>
        <v>0</v>
      </c>
      <c r="R144">
        <f ca="1">OFFSET(Sheet2!T$3,(ROW(R145))*3,0)</f>
        <v>0</v>
      </c>
      <c r="S144">
        <f ca="1">OFFSET(Sheet2!U$2,(ROW(S145))*3,0)</f>
        <v>0</v>
      </c>
      <c r="T144">
        <f ca="1">OFFSET(Sheet2!V$2,(ROW(T145))*3,0)</f>
        <v>0</v>
      </c>
    </row>
    <row r="145" spans="1:20" x14ac:dyDescent="0.35">
      <c r="A145" t="str">
        <f ca="1">OFFSET(Sheet2!B$3,(ROW(A146))*3,0)</f>
        <v>23/1/2020</v>
      </c>
      <c r="B145">
        <f ca="1">OFFSET(Sheet2!C$3,(ROW(B146))*3,0)</f>
        <v>24</v>
      </c>
      <c r="C145" t="str">
        <f ca="1">OFFSET(Sheet2!D$3,(ROW(C146))*3,0)</f>
        <v>North</v>
      </c>
      <c r="D145" t="str">
        <f ca="1">OFFSET(Sheet2!F$3,(ROW(D146))*3,0)</f>
        <v>Kuyiga Benard</v>
      </c>
      <c r="E145" t="str">
        <f ca="1">OFFSET(Sheet2!G$3,(ROW(E146))*3,0)</f>
        <v>H2Go</v>
      </c>
      <c r="F145">
        <f ca="1">OFFSET(Sheet2!H$3,(ROW(F146))*3,0)</f>
        <v>0</v>
      </c>
      <c r="G145" t="str">
        <f ca="1">OFFSET(Sheet2!I$3,(ROW(G146))*3,0)</f>
        <v>Comprehensive</v>
      </c>
      <c r="H145">
        <f ca="1">OFFSET(Sheet2!J$3,(ROW(H146))*3,0)</f>
        <v>43</v>
      </c>
      <c r="I145" t="str">
        <f ca="1">OFFSET(Sheet2!K$3,(ROW(I146))*3,0)</f>
        <v>Recommendation</v>
      </c>
      <c r="J145" t="str">
        <f ca="1">OFFSET(Sheet2!L$3,(ROW(J146))*3,0)</f>
        <v>Change weekly,needs to be filtered</v>
      </c>
      <c r="K145" t="str">
        <f ca="1">OFFSET(Sheet2!M$3,(ROW(K146))*3,0)</f>
        <v>Clean weekly</v>
      </c>
      <c r="L145" t="str">
        <f ca="1">OFFSET(Sheet2!N$3,(ROW(L146))*3,0)</f>
        <v>Requires timely inspection</v>
      </c>
      <c r="M145" t="str">
        <f ca="1">OFFSET(Sheet2!O$3,(ROW(M146))*3,0)</f>
        <v>Requires cleaning periodically</v>
      </c>
      <c r="N145" t="str">
        <f ca="1">OFFSET(Sheet2!P$3,(ROW(N146))*3,0)</f>
        <v>inspect closely</v>
      </c>
      <c r="O145" t="str">
        <f ca="1">OFFSET(Sheet2!Q$3,(ROW(O146))*3,0)</f>
        <v>Inspect periodically</v>
      </c>
      <c r="P145" t="str">
        <f ca="1">OFFSET(Sheet2!R$3,(ROW(P146))*3,0)</f>
        <v>Keep close inspection</v>
      </c>
      <c r="Q145" t="str">
        <f ca="1">OFFSET(Sheet2!S$3,(ROW(Q146))*3,0)</f>
        <v>Requires close inspection</v>
      </c>
      <c r="R145" t="str">
        <f ca="1">OFFSET(Sheet2!T$3,(ROW(R146))*3,0)</f>
        <v>Requires regular cleaning</v>
      </c>
      <c r="S145">
        <f ca="1">OFFSET(Sheet2!U$2,(ROW(S146))*3,0)</f>
        <v>0</v>
      </c>
      <c r="T145">
        <f ca="1">OFFSET(Sheet2!V$2,(ROW(T146))*3,0)</f>
        <v>0</v>
      </c>
    </row>
    <row r="146" spans="1:20" x14ac:dyDescent="0.35">
      <c r="A146" t="str">
        <f ca="1">OFFSET(Sheet2!B$3,(ROW(A147))*3,0)</f>
        <v>31/1/2020</v>
      </c>
      <c r="B146">
        <f ca="1">OFFSET(Sheet2!C$3,(ROW(B147))*3,0)</f>
        <v>24</v>
      </c>
      <c r="C146" t="str">
        <f ca="1">OFFSET(Sheet2!D$3,(ROW(C147))*3,0)</f>
        <v>North</v>
      </c>
      <c r="D146" t="str">
        <f ca="1">OFFSET(Sheet2!F$3,(ROW(D147))*3,0)</f>
        <v>Kuyiga Benard</v>
      </c>
      <c r="E146" t="str">
        <f ca="1">OFFSET(Sheet2!G$3,(ROW(E147))*3,0)</f>
        <v>H2Go</v>
      </c>
      <c r="F146">
        <f ca="1">OFFSET(Sheet2!H$3,(ROW(F147))*3,0)</f>
        <v>0</v>
      </c>
      <c r="G146" t="str">
        <f ca="1">OFFSET(Sheet2!I$3,(ROW(G147))*3,0)</f>
        <v>weekly</v>
      </c>
      <c r="H146">
        <f ca="1">OFFSET(Sheet2!J$3,(ROW(H147))*3,0)</f>
        <v>266</v>
      </c>
      <c r="I146" t="str">
        <f ca="1">OFFSET(Sheet2!K$3,(ROW(I147))*3,0)</f>
        <v>Recommendation</v>
      </c>
      <c r="J146" t="str">
        <f ca="1">OFFSET(Sheet2!L$3,(ROW(J147))*3,0)</f>
        <v>Needs to be changed</v>
      </c>
      <c r="K146" t="str">
        <f ca="1">OFFSET(Sheet2!M$3,(ROW(K147))*3,0)</f>
        <v>Needs to be cleaned</v>
      </c>
      <c r="L146" t="str">
        <f ca="1">OFFSET(Sheet2!N$3,(ROW(L147))*3,0)</f>
        <v>Maintain the care</v>
      </c>
      <c r="M146" t="str">
        <f ca="1">OFFSET(Sheet2!O$3,(ROW(M147))*3,0)</f>
        <v>Needs to be cleaned</v>
      </c>
      <c r="N146" t="str">
        <f ca="1">OFFSET(Sheet2!P$3,(ROW(N147))*3,0)</f>
        <v>Maintain</v>
      </c>
      <c r="O146" t="str">
        <f ca="1">OFFSET(Sheet2!Q$3,(ROW(O147))*3,0)</f>
        <v>Needs a new one</v>
      </c>
      <c r="P146" t="str">
        <f ca="1">OFFSET(Sheet2!R$3,(ROW(P147))*3,0)</f>
        <v>Keep close inspection</v>
      </c>
      <c r="Q146" t="str">
        <f ca="1">OFFSET(Sheet2!S$3,(ROW(Q147))*3,0)</f>
        <v>keep close suervision</v>
      </c>
      <c r="R146" t="str">
        <f ca="1">OFFSET(Sheet2!T$3,(ROW(R147))*3,0)</f>
        <v>Maintain</v>
      </c>
      <c r="S146">
        <f ca="1">OFFSET(Sheet2!U$2,(ROW(S147))*3,0)</f>
        <v>0</v>
      </c>
      <c r="T146">
        <f ca="1">OFFSET(Sheet2!V$2,(ROW(T147))*3,0)</f>
        <v>0</v>
      </c>
    </row>
    <row r="147" spans="1:20" x14ac:dyDescent="0.35">
      <c r="A147">
        <f ca="1">OFFSET(Sheet2!B$3,(ROW(A148))*3,0)</f>
        <v>43868</v>
      </c>
      <c r="B147">
        <f ca="1">OFFSET(Sheet2!C$3,(ROW(B148))*3,0)</f>
        <v>24</v>
      </c>
      <c r="C147" t="str">
        <f ca="1">OFFSET(Sheet2!D$3,(ROW(C148))*3,0)</f>
        <v>North</v>
      </c>
      <c r="D147" t="str">
        <f ca="1">OFFSET(Sheet2!F$3,(ROW(D148))*3,0)</f>
        <v>Kuyiga Benard</v>
      </c>
      <c r="E147" t="str">
        <f ca="1">OFFSET(Sheet2!G$3,(ROW(E148))*3,0)</f>
        <v>H2Go</v>
      </c>
      <c r="F147">
        <f ca="1">OFFSET(Sheet2!H$3,(ROW(F148))*3,0)</f>
        <v>0</v>
      </c>
      <c r="G147" t="str">
        <f ca="1">OFFSET(Sheet2!I$3,(ROW(G148))*3,0)</f>
        <v>WEEKLY</v>
      </c>
      <c r="H147">
        <f ca="1">OFFSET(Sheet2!J$3,(ROW(H148))*3,0)</f>
        <v>283</v>
      </c>
      <c r="I147" t="str">
        <f ca="1">OFFSET(Sheet2!K$3,(ROW(I148))*3,0)</f>
        <v>Recommendation</v>
      </c>
      <c r="J147" t="str">
        <f ca="1">OFFSET(Sheet2!L$3,(ROW(J148))*3,0)</f>
        <v>Needs to be replaced</v>
      </c>
      <c r="K147" t="str">
        <f ca="1">OFFSET(Sheet2!M$3,(ROW(K148))*3,0)</f>
        <v>Keep the maintaince spirit</v>
      </c>
      <c r="L147" t="str">
        <f ca="1">OFFSET(Sheet2!N$3,(ROW(L148))*3,0)</f>
        <v>Observe for the misaigment</v>
      </c>
      <c r="M147" t="str">
        <f ca="1">OFFSET(Sheet2!O$3,(ROW(M148))*3,0)</f>
        <v>Clean on time</v>
      </c>
      <c r="N147" t="str">
        <f ca="1">OFFSET(Sheet2!P$3,(ROW(N148))*3,0)</f>
        <v>Maintain the care</v>
      </c>
      <c r="O147" t="str">
        <f ca="1">OFFSET(Sheet2!Q$3,(ROW(O148))*3,0)</f>
        <v>Inspect closely before the service</v>
      </c>
      <c r="P147" t="str">
        <f ca="1">OFFSET(Sheet2!R$3,(ROW(P148))*3,0)</f>
        <v>Regular check up required</v>
      </c>
      <c r="Q147" t="str">
        <f ca="1">OFFSET(Sheet2!S$3,(ROW(Q148))*3,0)</f>
        <v>Regular check up</v>
      </c>
      <c r="R147" t="str">
        <f ca="1">OFFSET(Sheet2!T$3,(ROW(R148))*3,0)</f>
        <v>Requires regular  check up</v>
      </c>
      <c r="S147">
        <f ca="1">OFFSET(Sheet2!U$2,(ROW(S148))*3,0)</f>
        <v>0</v>
      </c>
      <c r="T147">
        <f ca="1">OFFSET(Sheet2!V$2,(ROW(T148))*3,0)</f>
        <v>0</v>
      </c>
    </row>
    <row r="148" spans="1:20" x14ac:dyDescent="0.35">
      <c r="A148">
        <f ca="1">OFFSET(Sheet2!B$3,(ROW(A149))*3,0)</f>
        <v>43875</v>
      </c>
      <c r="B148">
        <f ca="1">OFFSET(Sheet2!C$3,(ROW(B149))*3,0)</f>
        <v>24</v>
      </c>
      <c r="C148" t="str">
        <f ca="1">OFFSET(Sheet2!D$3,(ROW(C149))*3,0)</f>
        <v>North</v>
      </c>
      <c r="D148" t="str">
        <f ca="1">OFFSET(Sheet2!F$3,(ROW(D149))*3,0)</f>
        <v>Kuyiga Benard</v>
      </c>
      <c r="E148" t="str">
        <f ca="1">OFFSET(Sheet2!G$3,(ROW(E149))*3,0)</f>
        <v>H2Go</v>
      </c>
      <c r="F148">
        <f ca="1">OFFSET(Sheet2!H$3,(ROW(F149))*3,0)</f>
        <v>0</v>
      </c>
      <c r="G148" t="str">
        <f ca="1">OFFSET(Sheet2!I$3,(ROW(G149))*3,0)</f>
        <v>WEEKLY</v>
      </c>
      <c r="H148">
        <f ca="1">OFFSET(Sheet2!J$3,(ROW(H149))*3,0)</f>
        <v>299</v>
      </c>
      <c r="I148" t="str">
        <f ca="1">OFFSET(Sheet2!K$3,(ROW(I149))*3,0)</f>
        <v>Recommendation</v>
      </c>
      <c r="J148" t="str">
        <f ca="1">OFFSET(Sheet2!L$3,(ROW(J149))*3,0)</f>
        <v>Needs to be changed</v>
      </c>
      <c r="K148" t="str">
        <f ca="1">OFFSET(Sheet2!M$3,(ROW(K149))*3,0)</f>
        <v>Needs to be cleaned</v>
      </c>
      <c r="L148" t="str">
        <f ca="1">OFFSET(Sheet2!N$3,(ROW(L149))*3,0)</f>
        <v>No adjustment needed, looks good, maintain</v>
      </c>
      <c r="M148" t="str">
        <f ca="1">OFFSET(Sheet2!O$3,(ROW(M149))*3,0)</f>
        <v>No service needed, looks good, maintain</v>
      </c>
      <c r="N148" t="str">
        <f ca="1">OFFSET(Sheet2!P$3,(ROW(N149))*3,0)</f>
        <v>No service needed, looks good, maintain</v>
      </c>
      <c r="O148" t="str">
        <f ca="1">OFFSET(Sheet2!Q$3,(ROW(O149))*3,0)</f>
        <v>No service needed, looks good, maintain</v>
      </c>
      <c r="P148">
        <f ca="1">OFFSET(Sheet2!R$3,(ROW(P149))*3,0)</f>
        <v>0</v>
      </c>
      <c r="Q148">
        <f ca="1">OFFSET(Sheet2!S$3,(ROW(Q149))*3,0)</f>
        <v>0</v>
      </c>
      <c r="R148">
        <f ca="1">OFFSET(Sheet2!T$3,(ROW(R149))*3,0)</f>
        <v>0</v>
      </c>
      <c r="S148">
        <f ca="1">OFFSET(Sheet2!U$2,(ROW(S149))*3,0)</f>
        <v>0</v>
      </c>
      <c r="T148">
        <f ca="1">OFFSET(Sheet2!V$2,(ROW(T149))*3,0)</f>
        <v>0</v>
      </c>
    </row>
    <row r="149" spans="1:20" x14ac:dyDescent="0.35">
      <c r="A149">
        <f ca="1">OFFSET(Sheet2!B$3,(ROW(A150))*3,0)</f>
        <v>43898</v>
      </c>
      <c r="B149">
        <f ca="1">OFFSET(Sheet2!C$3,(ROW(B150))*3,0)</f>
        <v>24</v>
      </c>
      <c r="C149" t="str">
        <f ca="1">OFFSET(Sheet2!D$3,(ROW(C150))*3,0)</f>
        <v>North</v>
      </c>
      <c r="D149" t="str">
        <f ca="1">OFFSET(Sheet2!F$3,(ROW(D150))*3,0)</f>
        <v>Kuyiga Benard</v>
      </c>
      <c r="E149" t="str">
        <f ca="1">OFFSET(Sheet2!G$3,(ROW(E150))*3,0)</f>
        <v>H2Go</v>
      </c>
      <c r="F149">
        <f ca="1">OFFSET(Sheet2!H$3,(ROW(F150))*3,0)</f>
        <v>0</v>
      </c>
      <c r="G149" t="str">
        <f ca="1">OFFSET(Sheet2!I$3,(ROW(G150))*3,0)</f>
        <v>WEEKLY</v>
      </c>
      <c r="H149">
        <f ca="1">OFFSET(Sheet2!J$3,(ROW(H150))*3,0)</f>
        <v>202</v>
      </c>
      <c r="I149" t="str">
        <f ca="1">OFFSET(Sheet2!K$3,(ROW(I150))*3,0)</f>
        <v>Recommendation</v>
      </c>
      <c r="J149" t="str">
        <f ca="1">OFFSET(Sheet2!L$3,(ROW(J150))*3,0)</f>
        <v>Needs to be changed</v>
      </c>
      <c r="K149" t="str">
        <f ca="1">OFFSET(Sheet2!M$3,(ROW(K150))*3,0)</f>
        <v>Needs to be cleaned</v>
      </c>
      <c r="L149" t="str">
        <f ca="1">OFFSET(Sheet2!N$3,(ROW(L150))*3,0)</f>
        <v>No adjustment needed, looks good, maintain</v>
      </c>
      <c r="M149" t="str">
        <f ca="1">OFFSET(Sheet2!O$3,(ROW(M150))*3,0)</f>
        <v>Needs to be cleaned</v>
      </c>
      <c r="N149" t="str">
        <f ca="1">OFFSET(Sheet2!P$3,(ROW(N150))*3,0)</f>
        <v>No service needed, looks good, maintain</v>
      </c>
      <c r="O149" t="str">
        <f ca="1">OFFSET(Sheet2!Q$3,(ROW(O150))*3,0)</f>
        <v>No service needed, looks good, maintain</v>
      </c>
      <c r="P149">
        <f ca="1">OFFSET(Sheet2!R$3,(ROW(P150))*3,0)</f>
        <v>0</v>
      </c>
      <c r="Q149">
        <f ca="1">OFFSET(Sheet2!S$3,(ROW(Q150))*3,0)</f>
        <v>0</v>
      </c>
      <c r="R149">
        <f ca="1">OFFSET(Sheet2!T$3,(ROW(R150))*3,0)</f>
        <v>0</v>
      </c>
      <c r="S149">
        <f ca="1">OFFSET(Sheet2!U$2,(ROW(S150))*3,0)</f>
        <v>0</v>
      </c>
      <c r="T149">
        <f ca="1">OFFSET(Sheet2!V$2,(ROW(T150))*3,0)</f>
        <v>0</v>
      </c>
    </row>
    <row r="150" spans="1:20" x14ac:dyDescent="0.35">
      <c r="A150" t="str">
        <f ca="1">OFFSET(Sheet2!B$3,(ROW(A151))*3,0)</f>
        <v>24/1/2020</v>
      </c>
      <c r="B150">
        <f ca="1">OFFSET(Sheet2!C$3,(ROW(B151))*3,0)</f>
        <v>26</v>
      </c>
      <c r="C150" t="str">
        <f ca="1">OFFSET(Sheet2!D$3,(ROW(C151))*3,0)</f>
        <v>North</v>
      </c>
      <c r="D150" t="str">
        <f ca="1">OFFSET(Sheet2!F$3,(ROW(D151))*3,0)</f>
        <v>Wetuma charles</v>
      </c>
      <c r="E150" t="str">
        <f ca="1">OFFSET(Sheet2!G$3,(ROW(E151))*3,0)</f>
        <v>H2Go</v>
      </c>
      <c r="F150">
        <f ca="1">OFFSET(Sheet2!H$3,(ROW(F151))*3,0)</f>
        <v>0</v>
      </c>
      <c r="G150" t="str">
        <f ca="1">OFFSET(Sheet2!I$3,(ROW(G151))*3,0)</f>
        <v>weekly</v>
      </c>
      <c r="H150">
        <f ca="1">OFFSET(Sheet2!J$3,(ROW(H151))*3,0)</f>
        <v>45</v>
      </c>
      <c r="I150" t="str">
        <f ca="1">OFFSET(Sheet2!K$3,(ROW(I151))*3,0)</f>
        <v>Recommendation</v>
      </c>
      <c r="J150" t="str">
        <f ca="1">OFFSET(Sheet2!L$3,(ROW(J151))*3,0)</f>
        <v>Needs to be changed</v>
      </c>
      <c r="K150" t="str">
        <f ca="1">OFFSET(Sheet2!M$3,(ROW(K151))*3,0)</f>
        <v>Needs maintainance</v>
      </c>
      <c r="L150" t="str">
        <f ca="1">OFFSET(Sheet2!N$3,(ROW(L151))*3,0)</f>
        <v>Monitor closely</v>
      </c>
      <c r="M150" t="str">
        <f ca="1">OFFSET(Sheet2!O$3,(ROW(M151))*3,0)</f>
        <v>Clean weekly</v>
      </c>
      <c r="N150" t="str">
        <f ca="1">OFFSET(Sheet2!P$3,(ROW(N151))*3,0)</f>
        <v>keep monitoring</v>
      </c>
      <c r="O150" t="str">
        <f ca="1">OFFSET(Sheet2!Q$3,(ROW(O151))*3,0)</f>
        <v>Needs to be changed</v>
      </c>
      <c r="P150">
        <f ca="1">OFFSET(Sheet2!R$3,(ROW(P151))*3,0)</f>
        <v>0</v>
      </c>
      <c r="Q150">
        <f ca="1">OFFSET(Sheet2!S$3,(ROW(Q151))*3,0)</f>
        <v>0</v>
      </c>
      <c r="R150">
        <f ca="1">OFFSET(Sheet2!T$3,(ROW(R151))*3,0)</f>
        <v>0</v>
      </c>
      <c r="S150">
        <f ca="1">OFFSET(Sheet2!U$2,(ROW(S151))*3,0)</f>
        <v>0</v>
      </c>
      <c r="T150">
        <f ca="1">OFFSET(Sheet2!V$2,(ROW(T151))*3,0)</f>
        <v>0</v>
      </c>
    </row>
    <row r="151" spans="1:20" x14ac:dyDescent="0.35">
      <c r="A151" t="str">
        <f ca="1">OFFSET(Sheet2!B$3,(ROW(A152))*3,0)</f>
        <v>31/1/2020</v>
      </c>
      <c r="B151">
        <f ca="1">OFFSET(Sheet2!C$3,(ROW(B152))*3,0)</f>
        <v>26</v>
      </c>
      <c r="C151" t="str">
        <f ca="1">OFFSET(Sheet2!D$3,(ROW(C152))*3,0)</f>
        <v>North</v>
      </c>
      <c r="D151" t="str">
        <f ca="1">OFFSET(Sheet2!F$3,(ROW(D152))*3,0)</f>
        <v>Wetuma charles</v>
      </c>
      <c r="E151" t="str">
        <f ca="1">OFFSET(Sheet2!G$3,(ROW(E152))*3,0)</f>
        <v>H2Go</v>
      </c>
      <c r="F151">
        <f ca="1">OFFSET(Sheet2!H$3,(ROW(F152))*3,0)</f>
        <v>0</v>
      </c>
      <c r="G151" t="str">
        <f ca="1">OFFSET(Sheet2!I$3,(ROW(G152))*3,0)</f>
        <v>weekly</v>
      </c>
      <c r="H151">
        <f ca="1">OFFSET(Sheet2!J$3,(ROW(H152))*3,0)</f>
        <v>58</v>
      </c>
      <c r="I151" t="str">
        <f ca="1">OFFSET(Sheet2!K$3,(ROW(I152))*3,0)</f>
        <v>Recommendation</v>
      </c>
      <c r="J151" t="str">
        <f ca="1">OFFSET(Sheet2!L$3,(ROW(J152))*3,0)</f>
        <v>Needs changing weekly</v>
      </c>
      <c r="K151" t="str">
        <f ca="1">OFFSET(Sheet2!M$3,(ROW(K152))*3,0)</f>
        <v>Watch closely</v>
      </c>
      <c r="L151" t="str">
        <f ca="1">OFFSET(Sheet2!N$3,(ROW(L152))*3,0)</f>
        <v>Maintain the care</v>
      </c>
      <c r="M151" t="str">
        <f ca="1">OFFSET(Sheet2!O$3,(ROW(M152))*3,0)</f>
        <v>Clean it soon</v>
      </c>
      <c r="N151" t="str">
        <f ca="1">OFFSET(Sheet2!P$3,(ROW(N152))*3,0)</f>
        <v>Watch closely</v>
      </c>
      <c r="O151" t="str">
        <f ca="1">OFFSET(Sheet2!Q$3,(ROW(O152))*3,0)</f>
        <v>Check after service</v>
      </c>
      <c r="P151" t="str">
        <f ca="1">OFFSET(Sheet2!R$3,(ROW(P152))*3,0)</f>
        <v>Watch for any unusual functioning</v>
      </c>
      <c r="Q151" t="str">
        <f ca="1">OFFSET(Sheet2!S$3,(ROW(Q152))*3,0)</f>
        <v>Maintain</v>
      </c>
      <c r="R151" t="str">
        <f ca="1">OFFSET(Sheet2!T$3,(ROW(R152))*3,0)</f>
        <v>watch it closely</v>
      </c>
      <c r="S151">
        <f ca="1">OFFSET(Sheet2!U$2,(ROW(S152))*3,0)</f>
        <v>0</v>
      </c>
      <c r="T151">
        <f ca="1">OFFSET(Sheet2!V$2,(ROW(T152))*3,0)</f>
        <v>0</v>
      </c>
    </row>
    <row r="152" spans="1:20" x14ac:dyDescent="0.35">
      <c r="A152">
        <f ca="1">OFFSET(Sheet2!B$3,(ROW(A153))*3,0)</f>
        <v>43868</v>
      </c>
      <c r="B152">
        <f ca="1">OFFSET(Sheet2!C$3,(ROW(B153))*3,0)</f>
        <v>26</v>
      </c>
      <c r="C152" t="str">
        <f ca="1">OFFSET(Sheet2!D$3,(ROW(C153))*3,0)</f>
        <v>North</v>
      </c>
      <c r="D152" t="str">
        <f ca="1">OFFSET(Sheet2!F$3,(ROW(D153))*3,0)</f>
        <v>wetuma charlse</v>
      </c>
      <c r="E152" t="str">
        <f ca="1">OFFSET(Sheet2!G$3,(ROW(E153))*3,0)</f>
        <v>H2GO</v>
      </c>
      <c r="F152">
        <f ca="1">OFFSET(Sheet2!H$3,(ROW(F153))*3,0)</f>
        <v>0</v>
      </c>
      <c r="G152" t="str">
        <f ca="1">OFFSET(Sheet2!I$3,(ROW(G153))*3,0)</f>
        <v>WEEKLY</v>
      </c>
      <c r="H152">
        <f ca="1">OFFSET(Sheet2!J$3,(ROW(H153))*3,0)</f>
        <v>285</v>
      </c>
      <c r="I152" t="str">
        <f ca="1">OFFSET(Sheet2!K$3,(ROW(I153))*3,0)</f>
        <v>Recommendation</v>
      </c>
      <c r="J152" t="str">
        <f ca="1">OFFSET(Sheet2!L$3,(ROW(J153))*3,0)</f>
        <v>Cange weekly</v>
      </c>
      <c r="K152" t="str">
        <f ca="1">OFFSET(Sheet2!M$3,(ROW(K153))*3,0)</f>
        <v>Maintain</v>
      </c>
      <c r="L152" t="str">
        <f ca="1">OFFSET(Sheet2!N$3,(ROW(L153))*3,0)</f>
        <v>Observe for any misalignment</v>
      </c>
      <c r="M152" t="str">
        <f ca="1">OFFSET(Sheet2!O$3,(ROW(M153))*3,0)</f>
        <v>Needs to be washed</v>
      </c>
      <c r="N152" t="str">
        <f ca="1">OFFSET(Sheet2!P$3,(ROW(N153))*3,0)</f>
        <v>Keep a close look</v>
      </c>
      <c r="O152" t="str">
        <f ca="1">OFFSET(Sheet2!Q$3,(ROW(O153))*3,0)</f>
        <v>Always inspect after the irrigation service</v>
      </c>
      <c r="P152" t="str">
        <f ca="1">OFFSET(Sheet2!R$3,(ROW(P153))*3,0)</f>
        <v>Maintain the care</v>
      </c>
      <c r="Q152" t="str">
        <f ca="1">OFFSET(Sheet2!S$3,(ROW(Q153))*3,0)</f>
        <v>Keep it up</v>
      </c>
      <c r="R152" t="str">
        <f ca="1">OFFSET(Sheet2!T$3,(ROW(R153))*3,0)</f>
        <v>Maintain</v>
      </c>
      <c r="S152">
        <f ca="1">OFFSET(Sheet2!U$2,(ROW(S153))*3,0)</f>
        <v>0</v>
      </c>
      <c r="T152">
        <f ca="1">OFFSET(Sheet2!V$2,(ROW(T153))*3,0)</f>
        <v>0</v>
      </c>
    </row>
    <row r="153" spans="1:20" x14ac:dyDescent="0.35">
      <c r="A153">
        <f ca="1">OFFSET(Sheet2!B$3,(ROW(A154))*3,0)</f>
        <v>43876</v>
      </c>
      <c r="B153">
        <f ca="1">OFFSET(Sheet2!C$3,(ROW(B154))*3,0)</f>
        <v>26</v>
      </c>
      <c r="C153" t="str">
        <f ca="1">OFFSET(Sheet2!D$3,(ROW(C154))*3,0)</f>
        <v>North</v>
      </c>
      <c r="D153" t="str">
        <f ca="1">OFFSET(Sheet2!F$3,(ROW(D154))*3,0)</f>
        <v>WETUMA CHARLES</v>
      </c>
      <c r="E153" t="str">
        <f ca="1">OFFSET(Sheet2!G$3,(ROW(E154))*3,0)</f>
        <v>H2Go</v>
      </c>
      <c r="F153">
        <f ca="1">OFFSET(Sheet2!H$3,(ROW(F154))*3,0)</f>
        <v>0</v>
      </c>
      <c r="G153" t="str">
        <f ca="1">OFFSET(Sheet2!I$3,(ROW(G154))*3,0)</f>
        <v>WEEKLY</v>
      </c>
      <c r="H153">
        <f ca="1">OFFSET(Sheet2!J$3,(ROW(H154))*3,0)</f>
        <v>295</v>
      </c>
      <c r="I153" t="str">
        <f ca="1">OFFSET(Sheet2!K$3,(ROW(I154))*3,0)</f>
        <v>Recommendation</v>
      </c>
      <c r="J153" t="str">
        <f ca="1">OFFSET(Sheet2!L$3,(ROW(J154))*3,0)</f>
        <v>Needs to be changed</v>
      </c>
      <c r="K153" t="str">
        <f ca="1">OFFSET(Sheet2!M$3,(ROW(K154))*3,0)</f>
        <v>No service needed, looks good, maintain</v>
      </c>
      <c r="L153" t="str">
        <f ca="1">OFFSET(Sheet2!N$3,(ROW(L154))*3,0)</f>
        <v>No adjustment needed, looks good, maintain</v>
      </c>
      <c r="M153" t="str">
        <f ca="1">OFFSET(Sheet2!O$3,(ROW(M154))*3,0)</f>
        <v>No service needed, looks good, maintain</v>
      </c>
      <c r="N153" t="str">
        <f ca="1">OFFSET(Sheet2!P$3,(ROW(N154))*3,0)</f>
        <v>No service needed, looks good, maintain</v>
      </c>
      <c r="O153" t="str">
        <f ca="1">OFFSET(Sheet2!Q$3,(ROW(O154))*3,0)</f>
        <v>Nut showing wear, will need to replace soon</v>
      </c>
      <c r="P153">
        <f ca="1">OFFSET(Sheet2!R$3,(ROW(P154))*3,0)</f>
        <v>0</v>
      </c>
      <c r="Q153">
        <f ca="1">OFFSET(Sheet2!S$3,(ROW(Q154))*3,0)</f>
        <v>0</v>
      </c>
      <c r="R153">
        <f ca="1">OFFSET(Sheet2!T$3,(ROW(R154))*3,0)</f>
        <v>0</v>
      </c>
      <c r="S153">
        <f ca="1">OFFSET(Sheet2!U$2,(ROW(S154))*3,0)</f>
        <v>0</v>
      </c>
      <c r="T153">
        <f ca="1">OFFSET(Sheet2!V$2,(ROW(T154))*3,0)</f>
        <v>0</v>
      </c>
    </row>
    <row r="154" spans="1:20" x14ac:dyDescent="0.35">
      <c r="A154">
        <f ca="1">OFFSET(Sheet2!B$3,(ROW(A155))*3,0)</f>
        <v>43883</v>
      </c>
      <c r="B154">
        <f ca="1">OFFSET(Sheet2!C$3,(ROW(B155))*3,0)</f>
        <v>26</v>
      </c>
      <c r="C154" t="str">
        <f ca="1">OFFSET(Sheet2!D$3,(ROW(C155))*3,0)</f>
        <v>North</v>
      </c>
      <c r="D154" t="str">
        <f ca="1">OFFSET(Sheet2!F$3,(ROW(D155))*3,0)</f>
        <v>Wetuma charles</v>
      </c>
      <c r="E154" t="str">
        <f ca="1">OFFSET(Sheet2!G$3,(ROW(E155))*3,0)</f>
        <v>H2Go</v>
      </c>
      <c r="F154">
        <f ca="1">OFFSET(Sheet2!H$3,(ROW(F155))*3,0)</f>
        <v>0</v>
      </c>
      <c r="G154" t="str">
        <f ca="1">OFFSET(Sheet2!I$3,(ROW(G155))*3,0)</f>
        <v>WEEKLY</v>
      </c>
      <c r="H154">
        <f ca="1">OFFSET(Sheet2!J$3,(ROW(H155))*3,0)</f>
        <v>221</v>
      </c>
      <c r="I154" t="str">
        <f ca="1">OFFSET(Sheet2!K$3,(ROW(I155))*3,0)</f>
        <v>Recommendation</v>
      </c>
      <c r="J154" t="str">
        <f ca="1">OFFSET(Sheet2!L$3,(ROW(J155))*3,0)</f>
        <v>Needs to be changed</v>
      </c>
      <c r="K154" t="str">
        <f ca="1">OFFSET(Sheet2!M$3,(ROW(K155))*3,0)</f>
        <v>Needs to be cleaned</v>
      </c>
      <c r="L154" t="str">
        <f ca="1">OFFSET(Sheet2!N$3,(ROW(L155))*3,0)</f>
        <v>No adjustment needed, looks good, maintain</v>
      </c>
      <c r="M154" t="str">
        <f ca="1">OFFSET(Sheet2!O$3,(ROW(M155))*3,0)</f>
        <v>Will need to be cleaned in a few days</v>
      </c>
      <c r="N154" t="str">
        <f ca="1">OFFSET(Sheet2!P$3,(ROW(N155))*3,0)</f>
        <v>No service needed, looks good, maintain</v>
      </c>
      <c r="O154" t="str">
        <f ca="1">OFFSET(Sheet2!Q$3,(ROW(O155))*3,0)</f>
        <v>No service needed, looks good, maintain</v>
      </c>
      <c r="P154">
        <f ca="1">OFFSET(Sheet2!R$3,(ROW(P155))*3,0)</f>
        <v>0</v>
      </c>
      <c r="Q154">
        <f ca="1">OFFSET(Sheet2!S$3,(ROW(Q155))*3,0)</f>
        <v>0</v>
      </c>
      <c r="R154">
        <f ca="1">OFFSET(Sheet2!T$3,(ROW(R155))*3,0)</f>
        <v>0</v>
      </c>
      <c r="S154">
        <f ca="1">OFFSET(Sheet2!U$2,(ROW(S155))*3,0)</f>
        <v>0</v>
      </c>
      <c r="T154">
        <f ca="1">OFFSET(Sheet2!V$2,(ROW(T155))*3,0)</f>
        <v>0</v>
      </c>
    </row>
    <row r="155" spans="1:20" x14ac:dyDescent="0.35">
      <c r="A155">
        <f ca="1">OFFSET(Sheet2!B$3,(ROW(A156))*3,0)</f>
        <v>43892</v>
      </c>
      <c r="B155">
        <f ca="1">OFFSET(Sheet2!C$3,(ROW(B156))*3,0)</f>
        <v>26</v>
      </c>
      <c r="C155" t="str">
        <f ca="1">OFFSET(Sheet2!D$3,(ROW(C156))*3,0)</f>
        <v>North</v>
      </c>
      <c r="D155" t="str">
        <f ca="1">OFFSET(Sheet2!F$3,(ROW(D156))*3,0)</f>
        <v>Wetuma charles</v>
      </c>
      <c r="E155" t="str">
        <f ca="1">OFFSET(Sheet2!G$3,(ROW(E156))*3,0)</f>
        <v>H2Go</v>
      </c>
      <c r="F155">
        <f ca="1">OFFSET(Sheet2!H$3,(ROW(F156))*3,0)</f>
        <v>0</v>
      </c>
      <c r="G155" t="str">
        <f ca="1">OFFSET(Sheet2!I$3,(ROW(G156))*3,0)</f>
        <v>WEEKLY</v>
      </c>
      <c r="H155">
        <f ca="1">OFFSET(Sheet2!J$3,(ROW(H156))*3,0)</f>
        <v>203</v>
      </c>
      <c r="I155" t="str">
        <f ca="1">OFFSET(Sheet2!K$3,(ROW(I156))*3,0)</f>
        <v>Recommendation</v>
      </c>
      <c r="J155" t="str">
        <f ca="1">OFFSET(Sheet2!L$3,(ROW(J156))*3,0)</f>
        <v>Needs to be changed</v>
      </c>
      <c r="K155" t="str">
        <f ca="1">OFFSET(Sheet2!M$3,(ROW(K156))*3,0)</f>
        <v>No service needed, looks good, maintain</v>
      </c>
      <c r="L155" t="str">
        <f ca="1">OFFSET(Sheet2!N$3,(ROW(L156))*3,0)</f>
        <v>No adjustment needed, looks good, maintain</v>
      </c>
      <c r="M155" t="str">
        <f ca="1">OFFSET(Sheet2!O$3,(ROW(M156))*3,0)</f>
        <v>Will need to be cleaned next week</v>
      </c>
      <c r="N155" t="str">
        <f ca="1">OFFSET(Sheet2!P$3,(ROW(N156))*3,0)</f>
        <v>No service needed, looks good, maintain</v>
      </c>
      <c r="O155" t="str">
        <f ca="1">OFFSET(Sheet2!Q$3,(ROW(O156))*3,0)</f>
        <v>No service needed, looks good, maintain</v>
      </c>
      <c r="P155">
        <f ca="1">OFFSET(Sheet2!R$3,(ROW(P156))*3,0)</f>
        <v>0</v>
      </c>
      <c r="Q155">
        <f ca="1">OFFSET(Sheet2!S$3,(ROW(Q156))*3,0)</f>
        <v>0</v>
      </c>
      <c r="R155">
        <f ca="1">OFFSET(Sheet2!T$3,(ROW(R156))*3,0)</f>
        <v>0</v>
      </c>
      <c r="S155">
        <f ca="1">OFFSET(Sheet2!U$2,(ROW(S156))*3,0)</f>
        <v>0</v>
      </c>
      <c r="T155">
        <f ca="1">OFFSET(Sheet2!V$2,(ROW(T156))*3,0)</f>
        <v>0</v>
      </c>
    </row>
    <row r="156" spans="1:20" x14ac:dyDescent="0.35">
      <c r="A156" t="str">
        <f ca="1">OFFSET(Sheet2!B$3,(ROW(A157))*3,0)</f>
        <v>17/1/2020</v>
      </c>
      <c r="B156">
        <f ca="1">OFFSET(Sheet2!C$3,(ROW(B157))*3,0)</f>
        <v>27</v>
      </c>
      <c r="C156" t="str">
        <f ca="1">OFFSET(Sheet2!D$3,(ROW(C157))*3,0)</f>
        <v>North</v>
      </c>
      <c r="D156" t="str">
        <f ca="1">OFFSET(Sheet2!F$3,(ROW(D157))*3,0)</f>
        <v>Womaungo Justine</v>
      </c>
      <c r="E156" t="str">
        <f ca="1">OFFSET(Sheet2!G$3,(ROW(E157))*3,0)</f>
        <v>H2Go</v>
      </c>
      <c r="F156">
        <f ca="1">OFFSET(Sheet2!H$3,(ROW(F157))*3,0)</f>
        <v>0</v>
      </c>
      <c r="G156" t="str">
        <f ca="1">OFFSET(Sheet2!I$3,(ROW(G157))*3,0)</f>
        <v>weekly</v>
      </c>
      <c r="H156">
        <f ca="1">OFFSET(Sheet2!J$3,(ROW(H157))*3,0)</f>
        <v>24</v>
      </c>
      <c r="I156" t="str">
        <f ca="1">OFFSET(Sheet2!K$3,(ROW(I157))*3,0)</f>
        <v>Recommendation</v>
      </c>
      <c r="J156" t="str">
        <f ca="1">OFFSET(Sheet2!L$3,(ROW(J157))*3,0)</f>
        <v>Change on time</v>
      </c>
      <c r="K156" t="str">
        <f ca="1">OFFSET(Sheet2!M$3,(ROW(K157))*3,0)</f>
        <v>Clean it when required</v>
      </c>
      <c r="L156" t="str">
        <f ca="1">OFFSET(Sheet2!N$3,(ROW(L157))*3,0)</f>
        <v>Inspect for any looseness</v>
      </c>
      <c r="M156" t="str">
        <f ca="1">OFFSET(Sheet2!O$3,(ROW(M157))*3,0)</f>
        <v>Cleaning it once in the while</v>
      </c>
      <c r="N156" t="str">
        <f ca="1">OFFSET(Sheet2!P$3,(ROW(N157))*3,0)</f>
        <v>Watch closely</v>
      </c>
      <c r="O156" t="str">
        <f ca="1">OFFSET(Sheet2!Q$3,(ROW(O157))*3,0)</f>
        <v>Always be keen while operating</v>
      </c>
      <c r="P156">
        <f ca="1">OFFSET(Sheet2!R$3,(ROW(P157))*3,0)</f>
        <v>0</v>
      </c>
      <c r="Q156">
        <f ca="1">OFFSET(Sheet2!S$3,(ROW(Q157))*3,0)</f>
        <v>0</v>
      </c>
      <c r="R156">
        <f ca="1">OFFSET(Sheet2!T$3,(ROW(R157))*3,0)</f>
        <v>0</v>
      </c>
      <c r="S156">
        <f ca="1">OFFSET(Sheet2!U$2,(ROW(S157))*3,0)</f>
        <v>0</v>
      </c>
      <c r="T156">
        <f ca="1">OFFSET(Sheet2!V$2,(ROW(T157))*3,0)</f>
        <v>0</v>
      </c>
    </row>
    <row r="157" spans="1:20" x14ac:dyDescent="0.35">
      <c r="A157" t="str">
        <f ca="1">OFFSET(Sheet2!B$3,(ROW(A158))*3,0)</f>
        <v>24/1/12020</v>
      </c>
      <c r="B157">
        <f ca="1">OFFSET(Sheet2!C$3,(ROW(B158))*3,0)</f>
        <v>27</v>
      </c>
      <c r="C157" t="str">
        <f ca="1">OFFSET(Sheet2!D$3,(ROW(C158))*3,0)</f>
        <v>North</v>
      </c>
      <c r="D157" t="str">
        <f ca="1">OFFSET(Sheet2!F$3,(ROW(D158))*3,0)</f>
        <v>Womaungo Justine</v>
      </c>
      <c r="E157" t="str">
        <f ca="1">OFFSET(Sheet2!G$3,(ROW(E158))*3,0)</f>
        <v>H2Go</v>
      </c>
      <c r="F157">
        <f ca="1">OFFSET(Sheet2!H$3,(ROW(F158))*3,0)</f>
        <v>0</v>
      </c>
      <c r="G157" t="str">
        <f ca="1">OFFSET(Sheet2!I$3,(ROW(G158))*3,0)</f>
        <v>weekly</v>
      </c>
      <c r="H157">
        <f ca="1">OFFSET(Sheet2!J$3,(ROW(H158))*3,0)</f>
        <v>13</v>
      </c>
      <c r="I157" t="str">
        <f ca="1">OFFSET(Sheet2!K$3,(ROW(I158))*3,0)</f>
        <v>Recommendation</v>
      </c>
      <c r="J157" t="str">
        <f ca="1">OFFSET(Sheet2!L$3,(ROW(J158))*3,0)</f>
        <v>Change weekly</v>
      </c>
      <c r="K157" t="str">
        <f ca="1">OFFSET(Sheet2!M$3,(ROW(K158))*3,0)</f>
        <v>Observe for abnomality</v>
      </c>
      <c r="L157" t="str">
        <f ca="1">OFFSET(Sheet2!N$3,(ROW(L158))*3,0)</f>
        <v>Observe for any abn0mality</v>
      </c>
      <c r="M157" t="str">
        <f ca="1">OFFSET(Sheet2!O$3,(ROW(M158))*3,0)</f>
        <v>Clean weekly</v>
      </c>
      <c r="N157" t="str">
        <f ca="1">OFFSET(Sheet2!P$3,(ROW(N158))*3,0)</f>
        <v>Maintain the care</v>
      </c>
      <c r="O157" t="str">
        <f ca="1">OFFSET(Sheet2!Q$3,(ROW(O158))*3,0)</f>
        <v>Inspect it after work for any wearing</v>
      </c>
      <c r="P157">
        <f ca="1">OFFSET(Sheet2!R$3,(ROW(P158))*3,0)</f>
        <v>0</v>
      </c>
      <c r="Q157">
        <f ca="1">OFFSET(Sheet2!S$3,(ROW(Q158))*3,0)</f>
        <v>0</v>
      </c>
      <c r="R157">
        <f ca="1">OFFSET(Sheet2!T$3,(ROW(R158))*3,0)</f>
        <v>0</v>
      </c>
      <c r="S157">
        <f ca="1">OFFSET(Sheet2!U$2,(ROW(S158))*3,0)</f>
        <v>0</v>
      </c>
      <c r="T157">
        <f ca="1">OFFSET(Sheet2!V$2,(ROW(T158))*3,0)</f>
        <v>0</v>
      </c>
    </row>
    <row r="158" spans="1:20" x14ac:dyDescent="0.35">
      <c r="A158" t="str">
        <f ca="1">OFFSET(Sheet2!B$3,(ROW(A159))*3,0)</f>
        <v>31/1/2020</v>
      </c>
      <c r="B158">
        <f ca="1">OFFSET(Sheet2!C$3,(ROW(B159))*3,0)</f>
        <v>27</v>
      </c>
      <c r="C158" t="str">
        <f ca="1">OFFSET(Sheet2!D$3,(ROW(C159))*3,0)</f>
        <v>North</v>
      </c>
      <c r="D158" t="str">
        <f ca="1">OFFSET(Sheet2!F$3,(ROW(D159))*3,0)</f>
        <v>Womaungo Justine</v>
      </c>
      <c r="E158" t="str">
        <f ca="1">OFFSET(Sheet2!G$3,(ROW(E159))*3,0)</f>
        <v>H2Go</v>
      </c>
      <c r="F158">
        <f ca="1">OFFSET(Sheet2!H$3,(ROW(F159))*3,0)</f>
        <v>0</v>
      </c>
      <c r="G158" t="str">
        <f ca="1">OFFSET(Sheet2!I$3,(ROW(G159))*3,0)</f>
        <v>weekly</v>
      </c>
      <c r="H158">
        <f ca="1">OFFSET(Sheet2!J$3,(ROW(H159))*3,0)</f>
        <v>56</v>
      </c>
      <c r="I158" t="str">
        <f ca="1">OFFSET(Sheet2!K$3,(ROW(I159))*3,0)</f>
        <v>Recommendation</v>
      </c>
      <c r="J158" t="str">
        <f ca="1">OFFSET(Sheet2!L$3,(ROW(J159))*3,0)</f>
        <v>Replace the nut</v>
      </c>
      <c r="K158" t="str">
        <f ca="1">OFFSET(Sheet2!M$3,(ROW(K159))*3,0)</f>
        <v>Clean next week</v>
      </c>
      <c r="L158" t="str">
        <f ca="1">OFFSET(Sheet2!N$3,(ROW(L159))*3,0)</f>
        <v>Inspect for any misallignment</v>
      </c>
      <c r="M158" t="str">
        <f ca="1">OFFSET(Sheet2!O$3,(ROW(M159))*3,0)</f>
        <v>Clean it next week</v>
      </c>
      <c r="N158" t="str">
        <f ca="1">OFFSET(Sheet2!P$3,(ROW(N159))*3,0)</f>
        <v>Maintain the care</v>
      </c>
      <c r="O158" t="str">
        <f ca="1">OFFSET(Sheet2!Q$3,(ROW(O159))*3,0)</f>
        <v>Maintain the care</v>
      </c>
      <c r="P158" t="str">
        <f ca="1">OFFSET(Sheet2!R$3,(ROW(P159))*3,0)</f>
        <v>Watch smoke released closely</v>
      </c>
      <c r="Q158" t="str">
        <f ca="1">OFFSET(Sheet2!S$3,(ROW(Q159))*3,0)</f>
        <v>Maintain</v>
      </c>
      <c r="R158" t="str">
        <f ca="1">OFFSET(Sheet2!T$3,(ROW(R159))*3,0)</f>
        <v>Maintain</v>
      </c>
      <c r="S158">
        <f ca="1">OFFSET(Sheet2!U$2,(ROW(S159))*3,0)</f>
        <v>0</v>
      </c>
      <c r="T158">
        <f ca="1">OFFSET(Sheet2!V$2,(ROW(T159))*3,0)</f>
        <v>0</v>
      </c>
    </row>
    <row r="159" spans="1:20" x14ac:dyDescent="0.35">
      <c r="A159">
        <f ca="1">OFFSET(Sheet2!B$3,(ROW(A160))*3,0)</f>
        <v>43868</v>
      </c>
      <c r="B159">
        <f ca="1">OFFSET(Sheet2!C$3,(ROW(B160))*3,0)</f>
        <v>27</v>
      </c>
      <c r="C159" t="str">
        <f ca="1">OFFSET(Sheet2!D$3,(ROW(C160))*3,0)</f>
        <v>North</v>
      </c>
      <c r="D159" t="str">
        <f ca="1">OFFSET(Sheet2!F$3,(ROW(D160))*3,0)</f>
        <v>WOMAUNGO JUSTINE</v>
      </c>
      <c r="E159" t="str">
        <f ca="1">OFFSET(Sheet2!G$3,(ROW(E160))*3,0)</f>
        <v>H2Go</v>
      </c>
      <c r="F159">
        <f ca="1">OFFSET(Sheet2!H$3,(ROW(F160))*3,0)</f>
        <v>0</v>
      </c>
      <c r="G159" t="str">
        <f ca="1">OFFSET(Sheet2!I$3,(ROW(G160))*3,0)</f>
        <v>WEEKLY</v>
      </c>
      <c r="H159">
        <f ca="1">OFFSET(Sheet2!J$3,(ROW(H160))*3,0)</f>
        <v>288</v>
      </c>
      <c r="I159" t="str">
        <f ca="1">OFFSET(Sheet2!K$3,(ROW(I160))*3,0)</f>
        <v>Recommendation</v>
      </c>
      <c r="J159" t="str">
        <f ca="1">OFFSET(Sheet2!L$3,(ROW(J160))*3,0)</f>
        <v xml:space="preserve">It needs to put more rings or a new piston </v>
      </c>
      <c r="K159" t="str">
        <f ca="1">OFFSET(Sheet2!M$3,(ROW(K160))*3,0)</f>
        <v>Regular check up</v>
      </c>
      <c r="L159" t="str">
        <f ca="1">OFFSET(Sheet2!N$3,(ROW(L160))*3,0)</f>
        <v>Regular check up</v>
      </c>
      <c r="M159" t="str">
        <f ca="1">OFFSET(Sheet2!O$3,(ROW(M160))*3,0)</f>
        <v>Clean weekly</v>
      </c>
      <c r="N159" t="str">
        <f ca="1">OFFSET(Sheet2!P$3,(ROW(N160))*3,0)</f>
        <v>Check regularly</v>
      </c>
      <c r="O159" t="str">
        <f ca="1">OFFSET(Sheet2!Q$3,(ROW(O160))*3,0)</f>
        <v>Regular check up required</v>
      </c>
      <c r="P159">
        <f ca="1">OFFSET(Sheet2!R$3,(ROW(P160))*3,0)</f>
        <v>0</v>
      </c>
      <c r="Q159">
        <f ca="1">OFFSET(Sheet2!S$3,(ROW(Q160))*3,0)</f>
        <v>0</v>
      </c>
      <c r="R159">
        <f ca="1">OFFSET(Sheet2!T$3,(ROW(R160))*3,0)</f>
        <v>0</v>
      </c>
      <c r="S159">
        <f ca="1">OFFSET(Sheet2!U$2,(ROW(S160))*3,0)</f>
        <v>0</v>
      </c>
      <c r="T159">
        <f ca="1">OFFSET(Sheet2!V$2,(ROW(T160))*3,0)</f>
        <v>0</v>
      </c>
    </row>
    <row r="160" spans="1:20" x14ac:dyDescent="0.35">
      <c r="A160">
        <f ca="1">OFFSET(Sheet2!B$3,(ROW(A161))*3,0)</f>
        <v>43875</v>
      </c>
      <c r="B160">
        <f ca="1">OFFSET(Sheet2!C$3,(ROW(B161))*3,0)</f>
        <v>27</v>
      </c>
      <c r="C160" t="str">
        <f ca="1">OFFSET(Sheet2!D$3,(ROW(C161))*3,0)</f>
        <v>North</v>
      </c>
      <c r="D160" t="str">
        <f ca="1">OFFSET(Sheet2!F$3,(ROW(D161))*3,0)</f>
        <v>womaungo justine</v>
      </c>
      <c r="E160" t="str">
        <f ca="1">OFFSET(Sheet2!G$3,(ROW(E161))*3,0)</f>
        <v>H2Go</v>
      </c>
      <c r="F160">
        <f ca="1">OFFSET(Sheet2!H$3,(ROW(F161))*3,0)</f>
        <v>0</v>
      </c>
      <c r="G160" t="str">
        <f ca="1">OFFSET(Sheet2!I$3,(ROW(G161))*3,0)</f>
        <v>WEEKLY</v>
      </c>
      <c r="H160">
        <f ca="1">OFFSET(Sheet2!J$3,(ROW(H161))*3,0)</f>
        <v>295</v>
      </c>
      <c r="I160" t="str">
        <f ca="1">OFFSET(Sheet2!K$3,(ROW(I161))*3,0)</f>
        <v>Recommendation</v>
      </c>
      <c r="J160" t="str">
        <f ca="1">OFFSET(Sheet2!L$3,(ROW(J161))*3,0)</f>
        <v>Needs to be changed</v>
      </c>
      <c r="K160" t="str">
        <f ca="1">OFFSET(Sheet2!M$3,(ROW(K161))*3,0)</f>
        <v>No service needed, looks good, maintain</v>
      </c>
      <c r="L160" t="str">
        <f ca="1">OFFSET(Sheet2!N$3,(ROW(L161))*3,0)</f>
        <v>No adjustment needed, looks good, maintain</v>
      </c>
      <c r="M160" t="str">
        <f ca="1">OFFSET(Sheet2!O$3,(ROW(M161))*3,0)</f>
        <v>No service needed, looks good, maintain</v>
      </c>
      <c r="N160" t="str">
        <f ca="1">OFFSET(Sheet2!P$3,(ROW(N161))*3,0)</f>
        <v>No service needed, looks good, maintain</v>
      </c>
      <c r="O160" t="str">
        <f ca="1">OFFSET(Sheet2!Q$3,(ROW(O161))*3,0)</f>
        <v>Nut showing wear, will need to replace soon</v>
      </c>
      <c r="P160">
        <f ca="1">OFFSET(Sheet2!R$3,(ROW(P161))*3,0)</f>
        <v>0</v>
      </c>
      <c r="Q160">
        <f ca="1">OFFSET(Sheet2!S$3,(ROW(Q161))*3,0)</f>
        <v>0</v>
      </c>
      <c r="R160">
        <f ca="1">OFFSET(Sheet2!T$3,(ROW(R161))*3,0)</f>
        <v>0</v>
      </c>
      <c r="S160">
        <f ca="1">OFFSET(Sheet2!U$2,(ROW(S161))*3,0)</f>
        <v>0</v>
      </c>
      <c r="T160">
        <f ca="1">OFFSET(Sheet2!V$2,(ROW(T161))*3,0)</f>
        <v>0</v>
      </c>
    </row>
    <row r="161" spans="1:20" x14ac:dyDescent="0.35">
      <c r="A161">
        <f ca="1">OFFSET(Sheet2!B$3,(ROW(A162))*3,0)</f>
        <v>43884</v>
      </c>
      <c r="B161">
        <f ca="1">OFFSET(Sheet2!C$3,(ROW(B162))*3,0)</f>
        <v>27</v>
      </c>
      <c r="C161" t="str">
        <f ca="1">OFFSET(Sheet2!D$3,(ROW(C162))*3,0)</f>
        <v>North</v>
      </c>
      <c r="D161" t="str">
        <f ca="1">OFFSET(Sheet2!F$3,(ROW(D162))*3,0)</f>
        <v>Womaungo Justine</v>
      </c>
      <c r="E161" t="str">
        <f ca="1">OFFSET(Sheet2!G$3,(ROW(E162))*3,0)</f>
        <v>H2Go</v>
      </c>
      <c r="F161">
        <f ca="1">OFFSET(Sheet2!H$3,(ROW(F162))*3,0)</f>
        <v>0</v>
      </c>
      <c r="G161" t="str">
        <f ca="1">OFFSET(Sheet2!I$3,(ROW(G162))*3,0)</f>
        <v>WEEKLY</v>
      </c>
      <c r="H161">
        <f ca="1">OFFSET(Sheet2!J$3,(ROW(H162))*3,0)</f>
        <v>227</v>
      </c>
      <c r="I161" t="str">
        <f ca="1">OFFSET(Sheet2!K$3,(ROW(I162))*3,0)</f>
        <v>Recommendation</v>
      </c>
      <c r="J161" t="str">
        <f ca="1">OFFSET(Sheet2!L$3,(ROW(J162))*3,0)</f>
        <v>Needs to be changed</v>
      </c>
      <c r="K161" t="str">
        <f ca="1">OFFSET(Sheet2!M$3,(ROW(K162))*3,0)</f>
        <v>No service needed, looks good, maintain</v>
      </c>
      <c r="L161" t="str">
        <f ca="1">OFFSET(Sheet2!N$3,(ROW(L162))*3,0)</f>
        <v>No adjustment needed, looks good, maintain</v>
      </c>
      <c r="M161" t="str">
        <f ca="1">OFFSET(Sheet2!O$3,(ROW(M162))*3,0)</f>
        <v>No service needed, looks good, maintain</v>
      </c>
      <c r="N161" t="str">
        <f ca="1">OFFSET(Sheet2!P$3,(ROW(N162))*3,0)</f>
        <v>No service needed, looks good, maintain</v>
      </c>
      <c r="O161" t="str">
        <f ca="1">OFFSET(Sheet2!Q$3,(ROW(O162))*3,0)</f>
        <v>No service needed, looks good, maintain</v>
      </c>
      <c r="P161">
        <f ca="1">OFFSET(Sheet2!R$3,(ROW(P162))*3,0)</f>
        <v>0</v>
      </c>
      <c r="Q161">
        <f ca="1">OFFSET(Sheet2!S$3,(ROW(Q162))*3,0)</f>
        <v>0</v>
      </c>
      <c r="R161">
        <f ca="1">OFFSET(Sheet2!T$3,(ROW(R162))*3,0)</f>
        <v>0</v>
      </c>
      <c r="S161">
        <f ca="1">OFFSET(Sheet2!U$2,(ROW(S162))*3,0)</f>
        <v>0</v>
      </c>
      <c r="T161">
        <f ca="1">OFFSET(Sheet2!V$2,(ROW(T162))*3,0)</f>
        <v>0</v>
      </c>
    </row>
    <row r="162" spans="1:20" x14ac:dyDescent="0.35">
      <c r="A162">
        <f ca="1">OFFSET(Sheet2!B$3,(ROW(A163))*3,0)</f>
        <v>43892</v>
      </c>
      <c r="B162">
        <f ca="1">OFFSET(Sheet2!C$3,(ROW(B163))*3,0)</f>
        <v>27</v>
      </c>
      <c r="C162" t="str">
        <f ca="1">OFFSET(Sheet2!D$3,(ROW(C163))*3,0)</f>
        <v>North</v>
      </c>
      <c r="D162" t="str">
        <f ca="1">OFFSET(Sheet2!F$3,(ROW(D163))*3,0)</f>
        <v>Womaungo Justine</v>
      </c>
      <c r="E162" t="str">
        <f ca="1">OFFSET(Sheet2!G$3,(ROW(E163))*3,0)</f>
        <v>H2Go</v>
      </c>
      <c r="F162">
        <f ca="1">OFFSET(Sheet2!H$3,(ROW(F163))*3,0)</f>
        <v>0</v>
      </c>
      <c r="G162" t="str">
        <f ca="1">OFFSET(Sheet2!I$3,(ROW(G163))*3,0)</f>
        <v>WEEKLY</v>
      </c>
      <c r="H162">
        <f ca="1">OFFSET(Sheet2!J$3,(ROW(H163))*3,0)</f>
        <v>256</v>
      </c>
      <c r="I162" t="str">
        <f ca="1">OFFSET(Sheet2!K$3,(ROW(I163))*3,0)</f>
        <v>Recommendation</v>
      </c>
      <c r="J162" t="str">
        <f ca="1">OFFSET(Sheet2!L$3,(ROW(J163))*3,0)</f>
        <v>Needs to be changed</v>
      </c>
      <c r="K162" t="str">
        <f ca="1">OFFSET(Sheet2!M$3,(ROW(K163))*3,0)</f>
        <v>Monitor, needs to be serviced soon</v>
      </c>
      <c r="L162" t="str">
        <f ca="1">OFFSET(Sheet2!N$3,(ROW(L163))*3,0)</f>
        <v>Needs adjustment, tappets are tight</v>
      </c>
      <c r="M162" t="str">
        <f ca="1">OFFSET(Sheet2!O$3,(ROW(M163))*3,0)</f>
        <v>Needs to be cleaned</v>
      </c>
      <c r="N162" t="str">
        <f ca="1">OFFSET(Sheet2!P$3,(ROW(N163))*3,0)</f>
        <v>Monitor closely, will need to be changed soon</v>
      </c>
      <c r="O162" t="str">
        <f ca="1">OFFSET(Sheet2!Q$3,(ROW(O163))*3,0)</f>
        <v>No service needed, looks good, maintain</v>
      </c>
      <c r="P162">
        <f ca="1">OFFSET(Sheet2!R$3,(ROW(P163))*3,0)</f>
        <v>0</v>
      </c>
      <c r="Q162">
        <f ca="1">OFFSET(Sheet2!S$3,(ROW(Q163))*3,0)</f>
        <v>0</v>
      </c>
      <c r="R162">
        <f ca="1">OFFSET(Sheet2!T$3,(ROW(R163))*3,0)</f>
        <v>0</v>
      </c>
      <c r="S162">
        <f ca="1">OFFSET(Sheet2!U$2,(ROW(S163))*3,0)</f>
        <v>0</v>
      </c>
      <c r="T162">
        <f ca="1">OFFSET(Sheet2!V$2,(ROW(T163))*3,0)</f>
        <v>0</v>
      </c>
    </row>
    <row r="163" spans="1:20" x14ac:dyDescent="0.35">
      <c r="A163">
        <f ca="1">OFFSET(Sheet2!B$3,(ROW(A164))*3,0)</f>
        <v>43900</v>
      </c>
      <c r="B163">
        <f ca="1">OFFSET(Sheet2!C$3,(ROW(B164))*3,0)</f>
        <v>27</v>
      </c>
      <c r="C163" t="str">
        <f ca="1">OFFSET(Sheet2!D$3,(ROW(C164))*3,0)</f>
        <v>North</v>
      </c>
      <c r="D163" t="str">
        <f ca="1">OFFSET(Sheet2!F$3,(ROW(D164))*3,0)</f>
        <v>Womaungo Justine</v>
      </c>
      <c r="E163" t="str">
        <f ca="1">OFFSET(Sheet2!G$3,(ROW(E164))*3,0)</f>
        <v>H2Go</v>
      </c>
      <c r="F163">
        <f ca="1">OFFSET(Sheet2!H$3,(ROW(F164))*3,0)</f>
        <v>0</v>
      </c>
      <c r="G163" t="str">
        <f ca="1">OFFSET(Sheet2!I$3,(ROW(G164))*3,0)</f>
        <v>WEEKLY</v>
      </c>
      <c r="H163">
        <f ca="1">OFFSET(Sheet2!J$3,(ROW(H164))*3,0)</f>
        <v>204</v>
      </c>
      <c r="I163" t="str">
        <f ca="1">OFFSET(Sheet2!K$3,(ROW(I164))*3,0)</f>
        <v>Recommendation</v>
      </c>
      <c r="J163" t="str">
        <f ca="1">OFFSET(Sheet2!L$3,(ROW(J164))*3,0)</f>
        <v>Needs to be changed</v>
      </c>
      <c r="K163" t="str">
        <f ca="1">OFFSET(Sheet2!M$3,(ROW(K164))*3,0)</f>
        <v>No service needed, looks good, maintain</v>
      </c>
      <c r="L163" t="str">
        <f ca="1">OFFSET(Sheet2!N$3,(ROW(L164))*3,0)</f>
        <v>Needs adjustment, tappets are loose</v>
      </c>
      <c r="M163" t="str">
        <f ca="1">OFFSET(Sheet2!O$3,(ROW(M164))*3,0)</f>
        <v>No service needed, looks good, maintain</v>
      </c>
      <c r="N163" t="str">
        <f ca="1">OFFSET(Sheet2!P$3,(ROW(N164))*3,0)</f>
        <v>No service needed, looks good, maintain</v>
      </c>
      <c r="O163" t="str">
        <f ca="1">OFFSET(Sheet2!Q$3,(ROW(O164))*3,0)</f>
        <v>No service needed, looks good, maintain</v>
      </c>
      <c r="P163">
        <f ca="1">OFFSET(Sheet2!R$3,(ROW(P164))*3,0)</f>
        <v>0</v>
      </c>
      <c r="Q163">
        <f ca="1">OFFSET(Sheet2!S$3,(ROW(Q164))*3,0)</f>
        <v>0</v>
      </c>
      <c r="R163">
        <f ca="1">OFFSET(Sheet2!T$3,(ROW(R164))*3,0)</f>
        <v>0</v>
      </c>
      <c r="S163">
        <f ca="1">OFFSET(Sheet2!U$2,(ROW(S164))*3,0)</f>
        <v>0</v>
      </c>
      <c r="T163">
        <f ca="1">OFFSET(Sheet2!V$2,(ROW(T164))*3,0)</f>
        <v>0</v>
      </c>
    </row>
    <row r="164" spans="1:20" x14ac:dyDescent="0.35">
      <c r="A164">
        <f ca="1">OFFSET(Sheet2!B$3,(ROW(A165))*3,0)</f>
        <v>43848</v>
      </c>
      <c r="B164">
        <f ca="1">OFFSET(Sheet2!C$3,(ROW(B165))*3,0)</f>
        <v>28</v>
      </c>
      <c r="C164" t="str">
        <f ca="1">OFFSET(Sheet2!D$3,(ROW(C165))*3,0)</f>
        <v>South</v>
      </c>
      <c r="D164" t="str">
        <f ca="1">OFFSET(Sheet2!F$3,(ROW(D165))*3,0)</f>
        <v>NAGOMU LATIFU</v>
      </c>
      <c r="E164" t="str">
        <f ca="1">OFFSET(Sheet2!G$3,(ROW(E165))*3,0)</f>
        <v>Control</v>
      </c>
      <c r="F164">
        <f ca="1">OFFSET(Sheet2!H$3,(ROW(F165))*3,0)</f>
        <v>0</v>
      </c>
      <c r="G164" t="str">
        <f ca="1">OFFSET(Sheet2!I$3,(ROW(G165))*3,0)</f>
        <v>Comprehensive</v>
      </c>
      <c r="H164">
        <f ca="1">OFFSET(Sheet2!J$3,(ROW(H165))*3,0)</f>
        <v>37</v>
      </c>
      <c r="I164" t="str">
        <f ca="1">OFFSET(Sheet2!K$3,(ROW(I165))*3,0)</f>
        <v>Recommendation</v>
      </c>
      <c r="J164" t="str">
        <f ca="1">OFFSET(Sheet2!L$3,(ROW(J165))*3,0)</f>
        <v>change weekly</v>
      </c>
      <c r="K164" t="str">
        <f ca="1">OFFSET(Sheet2!M$3,(ROW(K165))*3,0)</f>
        <v>good</v>
      </c>
      <c r="L164" t="str">
        <f ca="1">OFFSET(Sheet2!N$3,(ROW(L165))*3,0)</f>
        <v>good</v>
      </c>
      <c r="M164" t="str">
        <f ca="1">OFFSET(Sheet2!O$3,(ROW(M165))*3,0)</f>
        <v>good</v>
      </c>
      <c r="N164" t="str">
        <f ca="1">OFFSET(Sheet2!P$3,(ROW(N165))*3,0)</f>
        <v>good</v>
      </c>
      <c r="O164" t="str">
        <f ca="1">OFFSET(Sheet2!Q$3,(ROW(O165))*3,0)</f>
        <v>good</v>
      </c>
      <c r="P164" t="str">
        <f ca="1">OFFSET(Sheet2!R$3,(ROW(P165))*3,0)</f>
        <v>good</v>
      </c>
      <c r="Q164" t="str">
        <f ca="1">OFFSET(Sheet2!S$3,(ROW(Q165))*3,0)</f>
        <v>good</v>
      </c>
      <c r="R164" t="str">
        <f ca="1">OFFSET(Sheet2!T$3,(ROW(R165))*3,0)</f>
        <v>good</v>
      </c>
      <c r="S164">
        <f ca="1">OFFSET(Sheet2!U$2,(ROW(S165))*3,0)</f>
        <v>0</v>
      </c>
      <c r="T164">
        <f ca="1">OFFSET(Sheet2!V$2,(ROW(T165))*3,0)</f>
        <v>0</v>
      </c>
    </row>
    <row r="165" spans="1:20" x14ac:dyDescent="0.35">
      <c r="A165">
        <f ca="1">OFFSET(Sheet2!B$3,(ROW(A166))*3,0)</f>
        <v>43869</v>
      </c>
      <c r="B165">
        <f ca="1">OFFSET(Sheet2!C$3,(ROW(B166))*3,0)</f>
        <v>28</v>
      </c>
      <c r="C165" t="str">
        <f ca="1">OFFSET(Sheet2!D$3,(ROW(C166))*3,0)</f>
        <v>South</v>
      </c>
      <c r="D165" t="str">
        <f ca="1">OFFSET(Sheet2!F$3,(ROW(D166))*3,0)</f>
        <v>NAGOMU LATIFU</v>
      </c>
      <c r="E165" t="str">
        <f ca="1">OFFSET(Sheet2!G$3,(ROW(E166))*3,0)</f>
        <v>Control</v>
      </c>
      <c r="F165">
        <f ca="1">OFFSET(Sheet2!H$3,(ROW(F166))*3,0)</f>
        <v>0</v>
      </c>
      <c r="G165" t="str">
        <f ca="1">OFFSET(Sheet2!I$3,(ROW(G166))*3,0)</f>
        <v>WEEKLY</v>
      </c>
      <c r="H165">
        <f ca="1">OFFSET(Sheet2!J$3,(ROW(H166))*3,0)</f>
        <v>120</v>
      </c>
      <c r="I165" t="str">
        <f ca="1">OFFSET(Sheet2!K$3,(ROW(I166))*3,0)</f>
        <v>Recommendation</v>
      </c>
      <c r="J165" t="str">
        <f ca="1">OFFSET(Sheet2!L$3,(ROW(J166))*3,0)</f>
        <v>IT HAS NO PROBLEM IN VALVES</v>
      </c>
      <c r="K165" t="str">
        <f ca="1">OFFSET(Sheet2!M$3,(ROW(K166))*3,0)</f>
        <v>IT WAS CLEANED AND SERVICED WELL</v>
      </c>
      <c r="L165" t="str">
        <f ca="1">OFFSET(Sheet2!N$3,(ROW(L166))*3,0)</f>
        <v>NEED TO BE SETTED</v>
      </c>
      <c r="M165" t="str">
        <f ca="1">OFFSET(Sheet2!O$3,(ROW(M166))*3,0)</f>
        <v>NEEDS SERVICE ONCE A WEEK</v>
      </c>
      <c r="N165" t="str">
        <f ca="1">OFFSET(Sheet2!P$3,(ROW(N166))*3,0)</f>
        <v>NEEDS A PLUG</v>
      </c>
      <c r="O165" t="str">
        <f ca="1">OFFSET(Sheet2!Q$3,(ROW(O166))*3,0)</f>
        <v>GOOD</v>
      </c>
      <c r="P165">
        <f ca="1">OFFSET(Sheet2!R$3,(ROW(P166))*3,0)</f>
        <v>0</v>
      </c>
      <c r="Q165">
        <f ca="1">OFFSET(Sheet2!S$3,(ROW(Q166))*3,0)</f>
        <v>0</v>
      </c>
      <c r="R165">
        <f ca="1">OFFSET(Sheet2!T$3,(ROW(R166))*3,0)</f>
        <v>0</v>
      </c>
      <c r="S165">
        <f ca="1">OFFSET(Sheet2!U$2,(ROW(S166))*3,0)</f>
        <v>0</v>
      </c>
      <c r="T165">
        <f ca="1">OFFSET(Sheet2!V$2,(ROW(T166))*3,0)</f>
        <v>0</v>
      </c>
    </row>
    <row r="166" spans="1:20" x14ac:dyDescent="0.35">
      <c r="A166">
        <f ca="1">OFFSET(Sheet2!B$3,(ROW(A167))*3,0)</f>
        <v>43848</v>
      </c>
      <c r="B166">
        <f ca="1">OFFSET(Sheet2!C$3,(ROW(B167))*3,0)</f>
        <v>29</v>
      </c>
      <c r="C166" t="str">
        <f ca="1">OFFSET(Sheet2!D$3,(ROW(C167))*3,0)</f>
        <v>South</v>
      </c>
      <c r="D166" t="str">
        <f ca="1">OFFSET(Sheet2!F$3,(ROW(D167))*3,0)</f>
        <v>WAZENGE SALIMU</v>
      </c>
      <c r="E166" t="str">
        <f ca="1">OFFSET(Sheet2!G$3,(ROW(E167))*3,0)</f>
        <v>Control</v>
      </c>
      <c r="F166">
        <f ca="1">OFFSET(Sheet2!H$3,(ROW(F167))*3,0)</f>
        <v>0</v>
      </c>
      <c r="G166" t="str">
        <f ca="1">OFFSET(Sheet2!I$3,(ROW(G167))*3,0)</f>
        <v>Comprehensive</v>
      </c>
      <c r="H166">
        <f ca="1">OFFSET(Sheet2!J$3,(ROW(H167))*3,0)</f>
        <v>36</v>
      </c>
      <c r="I166" t="str">
        <f ca="1">OFFSET(Sheet2!K$3,(ROW(I167))*3,0)</f>
        <v>Recommendation</v>
      </c>
      <c r="J166" t="str">
        <f ca="1">OFFSET(Sheet2!L$3,(ROW(J167))*3,0)</f>
        <v>change weekly</v>
      </c>
      <c r="K166" t="str">
        <f ca="1">OFFSET(Sheet2!M$3,(ROW(K167))*3,0)</f>
        <v>good</v>
      </c>
      <c r="L166" t="str">
        <f ca="1">OFFSET(Sheet2!N$3,(ROW(L167))*3,0)</f>
        <v>good</v>
      </c>
      <c r="M166" t="str">
        <f ca="1">OFFSET(Sheet2!O$3,(ROW(M167))*3,0)</f>
        <v>good</v>
      </c>
      <c r="N166" t="str">
        <f ca="1">OFFSET(Sheet2!P$3,(ROW(N167))*3,0)</f>
        <v>good</v>
      </c>
      <c r="O166" t="str">
        <f ca="1">OFFSET(Sheet2!Q$3,(ROW(O167))*3,0)</f>
        <v>good</v>
      </c>
      <c r="P166" t="str">
        <f ca="1">OFFSET(Sheet2!R$3,(ROW(P167))*3,0)</f>
        <v>good</v>
      </c>
      <c r="Q166" t="str">
        <f ca="1">OFFSET(Sheet2!S$3,(ROW(Q167))*3,0)</f>
        <v>good</v>
      </c>
      <c r="R166" t="str">
        <f ca="1">OFFSET(Sheet2!T$3,(ROW(R167))*3,0)</f>
        <v>good</v>
      </c>
      <c r="S166">
        <f ca="1">OFFSET(Sheet2!U$2,(ROW(S167))*3,0)</f>
        <v>0</v>
      </c>
      <c r="T166">
        <f ca="1">OFFSET(Sheet2!V$2,(ROW(T167))*3,0)</f>
        <v>0</v>
      </c>
    </row>
    <row r="167" spans="1:20" x14ac:dyDescent="0.35">
      <c r="A167">
        <f ca="1">OFFSET(Sheet2!B$3,(ROW(A168))*3,0)</f>
        <v>43855</v>
      </c>
      <c r="B167">
        <f ca="1">OFFSET(Sheet2!C$3,(ROW(B168))*3,0)</f>
        <v>29</v>
      </c>
      <c r="C167" t="str">
        <f ca="1">OFFSET(Sheet2!D$3,(ROW(C168))*3,0)</f>
        <v>South</v>
      </c>
      <c r="D167" t="str">
        <f ca="1">OFFSET(Sheet2!F$3,(ROW(D168))*3,0)</f>
        <v>WAZENGE SALIMU</v>
      </c>
      <c r="E167" t="str">
        <f ca="1">OFFSET(Sheet2!G$3,(ROW(E168))*3,0)</f>
        <v>H2Go</v>
      </c>
      <c r="F167">
        <f ca="1">OFFSET(Sheet2!H$3,(ROW(F168))*3,0)</f>
        <v>0</v>
      </c>
      <c r="G167" t="str">
        <f ca="1">OFFSET(Sheet2!I$3,(ROW(G168))*3,0)</f>
        <v>WEEKLY</v>
      </c>
      <c r="H167">
        <f ca="1">OFFSET(Sheet2!J$3,(ROW(H168))*3,0)</f>
        <v>72</v>
      </c>
      <c r="I167" t="str">
        <f ca="1">OFFSET(Sheet2!K$3,(ROW(I168))*3,0)</f>
        <v>Recommendation</v>
      </c>
      <c r="J167" t="str">
        <f ca="1">OFFSET(Sheet2!L$3,(ROW(J168))*3,0)</f>
        <v>CHANGE WEEKLY</v>
      </c>
      <c r="K167" t="str">
        <f ca="1">OFFSET(Sheet2!M$3,(ROW(K168))*3,0)</f>
        <v>KEEP IT MAINTAINED</v>
      </c>
      <c r="L167" t="str">
        <f ca="1">OFFSET(Sheet2!N$3,(ROW(L168))*3,0)</f>
        <v>KEEP IT SET</v>
      </c>
      <c r="M167" t="str">
        <f ca="1">OFFSET(Sheet2!O$3,(ROW(M168))*3,0)</f>
        <v>KEEP IT CLEAN &amp; SERVICED</v>
      </c>
      <c r="N167" t="str">
        <f ca="1">OFFSET(Sheet2!P$3,(ROW(N168))*3,0)</f>
        <v>Needs replacement</v>
      </c>
      <c r="O167" t="str">
        <f ca="1">OFFSET(Sheet2!Q$3,(ROW(O168))*3,0)</f>
        <v>KEEP IT MAINTAINED</v>
      </c>
      <c r="P167">
        <f ca="1">OFFSET(Sheet2!R$3,(ROW(P168))*3,0)</f>
        <v>0</v>
      </c>
      <c r="Q167">
        <f ca="1">OFFSET(Sheet2!S$3,(ROW(Q168))*3,0)</f>
        <v>0</v>
      </c>
      <c r="R167">
        <f ca="1">OFFSET(Sheet2!T$3,(ROW(R168))*3,0)</f>
        <v>0</v>
      </c>
      <c r="S167">
        <f ca="1">OFFSET(Sheet2!U$2,(ROW(S168))*3,0)</f>
        <v>0</v>
      </c>
      <c r="T167">
        <f ca="1">OFFSET(Sheet2!V$2,(ROW(T168))*3,0)</f>
        <v>0</v>
      </c>
    </row>
    <row r="168" spans="1:20" x14ac:dyDescent="0.35">
      <c r="A168">
        <f ca="1">OFFSET(Sheet2!B$3,(ROW(A169))*3,0)</f>
        <v>43862</v>
      </c>
      <c r="B168">
        <f ca="1">OFFSET(Sheet2!C$3,(ROW(B169))*3,0)</f>
        <v>29</v>
      </c>
      <c r="C168" t="str">
        <f ca="1">OFFSET(Sheet2!D$3,(ROW(C169))*3,0)</f>
        <v>South</v>
      </c>
      <c r="D168" t="str">
        <f ca="1">OFFSET(Sheet2!F$3,(ROW(D169))*3,0)</f>
        <v>WAZENGE SALIMU</v>
      </c>
      <c r="E168" t="str">
        <f ca="1">OFFSET(Sheet2!G$3,(ROW(E169))*3,0)</f>
        <v>H2Go</v>
      </c>
      <c r="F168">
        <f ca="1">OFFSET(Sheet2!H$3,(ROW(F169))*3,0)</f>
        <v>0</v>
      </c>
      <c r="G168" t="str">
        <f ca="1">OFFSET(Sheet2!I$3,(ROW(G169))*3,0)</f>
        <v>WEEKLY</v>
      </c>
      <c r="H168">
        <f ca="1">OFFSET(Sheet2!J$3,(ROW(H169))*3,0)</f>
        <v>86</v>
      </c>
      <c r="I168" t="str">
        <f ca="1">OFFSET(Sheet2!K$3,(ROW(I169))*3,0)</f>
        <v>Recommendation</v>
      </c>
      <c r="J168" t="str">
        <f ca="1">OFFSET(Sheet2!L$3,(ROW(J169))*3,0)</f>
        <v>CHANGE WEEKLY</v>
      </c>
      <c r="K168" t="str">
        <f ca="1">OFFSET(Sheet2!M$3,(ROW(K169))*3,0)</f>
        <v>KEEP IT MAINTAINED</v>
      </c>
      <c r="L168" t="str">
        <f ca="1">OFFSET(Sheet2!N$3,(ROW(L169))*3,0)</f>
        <v>KEEP IT MAINTAINED</v>
      </c>
      <c r="M168" t="str">
        <f ca="1">OFFSET(Sheet2!O$3,(ROW(M169))*3,0)</f>
        <v>KEEP IT CLEAN &amp; SERVICED</v>
      </c>
      <c r="N168" t="str">
        <f ca="1">OFFSET(Sheet2!P$3,(ROW(N169))*3,0)</f>
        <v>Keep it clean</v>
      </c>
      <c r="O168" t="str">
        <f ca="1">OFFSET(Sheet2!Q$3,(ROW(O169))*3,0)</f>
        <v>Keep it checked</v>
      </c>
      <c r="P168">
        <f ca="1">OFFSET(Sheet2!R$3,(ROW(P169))*3,0)</f>
        <v>0</v>
      </c>
      <c r="Q168">
        <f ca="1">OFFSET(Sheet2!S$3,(ROW(Q169))*3,0)</f>
        <v>0</v>
      </c>
      <c r="R168">
        <f ca="1">OFFSET(Sheet2!T$3,(ROW(R169))*3,0)</f>
        <v>0</v>
      </c>
      <c r="S168">
        <f ca="1">OFFSET(Sheet2!U$2,(ROW(S169))*3,0)</f>
        <v>0</v>
      </c>
      <c r="T168">
        <f ca="1">OFFSET(Sheet2!V$2,(ROW(T169))*3,0)</f>
        <v>0</v>
      </c>
    </row>
    <row r="169" spans="1:20" x14ac:dyDescent="0.35">
      <c r="A169">
        <f ca="1">OFFSET(Sheet2!B$3,(ROW(A170))*3,0)</f>
        <v>43869</v>
      </c>
      <c r="B169">
        <f ca="1">OFFSET(Sheet2!C$3,(ROW(B170))*3,0)</f>
        <v>29</v>
      </c>
      <c r="C169" t="str">
        <f ca="1">OFFSET(Sheet2!D$3,(ROW(C170))*3,0)</f>
        <v>South</v>
      </c>
      <c r="D169" t="str">
        <f ca="1">OFFSET(Sheet2!F$3,(ROW(D170))*3,0)</f>
        <v>WAZENGE SALIMU</v>
      </c>
      <c r="E169" t="str">
        <f ca="1">OFFSET(Sheet2!G$3,(ROW(E170))*3,0)</f>
        <v>Control</v>
      </c>
      <c r="F169">
        <f ca="1">OFFSET(Sheet2!H$3,(ROW(F170))*3,0)</f>
        <v>0</v>
      </c>
      <c r="G169" t="str">
        <f ca="1">OFFSET(Sheet2!I$3,(ROW(G170))*3,0)</f>
        <v>WEEKLY</v>
      </c>
      <c r="H169">
        <f ca="1">OFFSET(Sheet2!J$3,(ROW(H170))*3,0)</f>
        <v>77</v>
      </c>
      <c r="I169" t="str">
        <f ca="1">OFFSET(Sheet2!K$3,(ROW(I170))*3,0)</f>
        <v>Recommendation</v>
      </c>
      <c r="J169" t="str">
        <f ca="1">OFFSET(Sheet2!L$3,(ROW(J170))*3,0)</f>
        <v>NEEDS WEEKLY CHANGING</v>
      </c>
      <c r="K169" t="str">
        <f ca="1">OFFSET(Sheet2!M$3,(ROW(K170))*3,0)</f>
        <v>MAINTAINED ALWAYS</v>
      </c>
      <c r="L169" t="str">
        <f ca="1">OFFSET(Sheet2!N$3,(ROW(L170))*3,0)</f>
        <v>NEED TO BE SETTED</v>
      </c>
      <c r="M169" t="str">
        <f ca="1">OFFSET(Sheet2!O$3,(ROW(M170))*3,0)</f>
        <v>PLEASE KEEP IT UP</v>
      </c>
      <c r="N169" t="str">
        <f ca="1">OFFSET(Sheet2!P$3,(ROW(N170))*3,0)</f>
        <v>NEEDS TO BE CLEANED</v>
      </c>
      <c r="O169" t="str">
        <f ca="1">OFFSET(Sheet2!Q$3,(ROW(O170))*3,0)</f>
        <v>NEED TO BE CHECKED WEEKLY</v>
      </c>
      <c r="P169">
        <f ca="1">OFFSET(Sheet2!R$3,(ROW(P170))*3,0)</f>
        <v>0</v>
      </c>
      <c r="Q169">
        <f ca="1">OFFSET(Sheet2!S$3,(ROW(Q170))*3,0)</f>
        <v>0</v>
      </c>
      <c r="R169">
        <f ca="1">OFFSET(Sheet2!T$3,(ROW(R170))*3,0)</f>
        <v>0</v>
      </c>
      <c r="S169">
        <f ca="1">OFFSET(Sheet2!U$2,(ROW(S170))*3,0)</f>
        <v>0</v>
      </c>
      <c r="T169">
        <f ca="1">OFFSET(Sheet2!V$2,(ROW(T170))*3,0)</f>
        <v>0</v>
      </c>
    </row>
    <row r="170" spans="1:20" x14ac:dyDescent="0.35">
      <c r="A170">
        <f ca="1">OFFSET(Sheet2!B$3,(ROW(A171))*3,0)</f>
        <v>43876</v>
      </c>
      <c r="B170">
        <f ca="1">OFFSET(Sheet2!C$3,(ROW(B171))*3,0)</f>
        <v>29</v>
      </c>
      <c r="C170" t="str">
        <f ca="1">OFFSET(Sheet2!D$3,(ROW(C171))*3,0)</f>
        <v>South</v>
      </c>
      <c r="D170" t="str">
        <f ca="1">OFFSET(Sheet2!F$3,(ROW(D171))*3,0)</f>
        <v>WAZENGE SALIMU</v>
      </c>
      <c r="E170" t="str">
        <f ca="1">OFFSET(Sheet2!G$3,(ROW(E171))*3,0)</f>
        <v>H2Go</v>
      </c>
      <c r="F170">
        <f ca="1">OFFSET(Sheet2!H$3,(ROW(F171))*3,0)</f>
        <v>0</v>
      </c>
      <c r="G170" t="str">
        <f ca="1">OFFSET(Sheet2!I$3,(ROW(G171))*3,0)</f>
        <v>WEEKLY</v>
      </c>
      <c r="H170">
        <f ca="1">OFFSET(Sheet2!J$3,(ROW(H171))*3,0)</f>
        <v>143</v>
      </c>
      <c r="I170" t="str">
        <f ca="1">OFFSET(Sheet2!K$3,(ROW(I171))*3,0)</f>
        <v>Recommendation</v>
      </c>
      <c r="J170" t="str">
        <f ca="1">OFFSET(Sheet2!L$3,(ROW(J171))*3,0)</f>
        <v>CHANGE WEEKLY</v>
      </c>
      <c r="K170" t="str">
        <f ca="1">OFFSET(Sheet2!M$3,(ROW(K171))*3,0)</f>
        <v>NEEDS SERVICING</v>
      </c>
      <c r="L170" t="str">
        <f ca="1">OFFSET(Sheet2!N$3,(ROW(L171))*3,0)</f>
        <v>NEEDS TO BE SET</v>
      </c>
      <c r="M170" t="str">
        <f ca="1">OFFSET(Sheet2!O$3,(ROW(M171))*3,0)</f>
        <v>Keep it clean</v>
      </c>
      <c r="N170" t="str">
        <f ca="1">OFFSET(Sheet2!P$3,(ROW(N171))*3,0)</f>
        <v>Keep it clean</v>
      </c>
      <c r="O170" t="str">
        <f ca="1">OFFSET(Sheet2!Q$3,(ROW(O171))*3,0)</f>
        <v>KEEP IT MAINTAINED</v>
      </c>
      <c r="P170">
        <f ca="1">OFFSET(Sheet2!R$3,(ROW(P171))*3,0)</f>
        <v>0</v>
      </c>
      <c r="Q170">
        <f ca="1">OFFSET(Sheet2!S$3,(ROW(Q171))*3,0)</f>
        <v>0</v>
      </c>
      <c r="R170">
        <f ca="1">OFFSET(Sheet2!T$3,(ROW(R171))*3,0)</f>
        <v>0</v>
      </c>
      <c r="S170">
        <f ca="1">OFFSET(Sheet2!U$2,(ROW(S171))*3,0)</f>
        <v>0</v>
      </c>
      <c r="T170">
        <f ca="1">OFFSET(Sheet2!V$2,(ROW(T171))*3,0)</f>
        <v>0</v>
      </c>
    </row>
    <row r="171" spans="1:20" x14ac:dyDescent="0.35">
      <c r="A171">
        <f ca="1">OFFSET(Sheet2!B$3,(ROW(A172))*3,0)</f>
        <v>43885</v>
      </c>
      <c r="B171">
        <f ca="1">OFFSET(Sheet2!C$3,(ROW(B172))*3,0)</f>
        <v>29</v>
      </c>
      <c r="C171" t="str">
        <f ca="1">OFFSET(Sheet2!D$3,(ROW(C172))*3,0)</f>
        <v>South</v>
      </c>
      <c r="D171" t="str">
        <f ca="1">OFFSET(Sheet2!F$3,(ROW(D172))*3,0)</f>
        <v>WAZENGE SALIMU</v>
      </c>
      <c r="E171" t="str">
        <f ca="1">OFFSET(Sheet2!G$3,(ROW(E172))*3,0)</f>
        <v>CONTROL</v>
      </c>
      <c r="F171">
        <f ca="1">OFFSET(Sheet2!H$3,(ROW(F172))*3,0)</f>
        <v>0</v>
      </c>
      <c r="G171" t="str">
        <f ca="1">OFFSET(Sheet2!I$3,(ROW(G172))*3,0)</f>
        <v>WEEKLY</v>
      </c>
      <c r="H171">
        <f ca="1">OFFSET(Sheet2!J$3,(ROW(H172))*3,0)</f>
        <v>132</v>
      </c>
      <c r="I171" t="str">
        <f ca="1">OFFSET(Sheet2!K$3,(ROW(I172))*3,0)</f>
        <v>Recommendation</v>
      </c>
      <c r="J171" t="str">
        <f ca="1">OFFSET(Sheet2!L$3,(ROW(J172))*3,0)</f>
        <v>Needs to be changed</v>
      </c>
      <c r="K171" t="str">
        <f ca="1">OFFSET(Sheet2!M$3,(ROW(K172))*3,0)</f>
        <v>No service needed, looks good, maintain</v>
      </c>
      <c r="L171" t="str">
        <f ca="1">OFFSET(Sheet2!N$3,(ROW(L172))*3,0)</f>
        <v>No adjustment needed, looks good, maintain</v>
      </c>
      <c r="M171" t="str">
        <f ca="1">OFFSET(Sheet2!O$3,(ROW(M172))*3,0)</f>
        <v>Needs to be cleaned</v>
      </c>
      <c r="N171" t="str">
        <f ca="1">OFFSET(Sheet2!P$3,(ROW(N172))*3,0)</f>
        <v>No service needed, looks good, maintain</v>
      </c>
      <c r="O171" t="str">
        <f ca="1">OFFSET(Sheet2!Q$3,(ROW(O172))*3,0)</f>
        <v>No service needed, looks good, maintain</v>
      </c>
      <c r="P171">
        <f ca="1">OFFSET(Sheet2!R$3,(ROW(P172))*3,0)</f>
        <v>0</v>
      </c>
      <c r="Q171">
        <f ca="1">OFFSET(Sheet2!S$3,(ROW(Q172))*3,0)</f>
        <v>0</v>
      </c>
      <c r="R171">
        <f ca="1">OFFSET(Sheet2!T$3,(ROW(R172))*3,0)</f>
        <v>0</v>
      </c>
      <c r="S171">
        <f ca="1">OFFSET(Sheet2!U$2,(ROW(S172))*3,0)</f>
        <v>0</v>
      </c>
      <c r="T171">
        <f ca="1">OFFSET(Sheet2!V$2,(ROW(T172))*3,0)</f>
        <v>0</v>
      </c>
    </row>
    <row r="172" spans="1:20" x14ac:dyDescent="0.35">
      <c r="A172">
        <f ca="1">OFFSET(Sheet2!B$3,(ROW(A173))*3,0)</f>
        <v>43892</v>
      </c>
      <c r="B172">
        <f ca="1">OFFSET(Sheet2!C$3,(ROW(B173))*3,0)</f>
        <v>29</v>
      </c>
      <c r="C172" t="str">
        <f ca="1">OFFSET(Sheet2!D$3,(ROW(C173))*3,0)</f>
        <v>South</v>
      </c>
      <c r="D172" t="str">
        <f ca="1">OFFSET(Sheet2!F$3,(ROW(D173))*3,0)</f>
        <v>WAZENGE SALIMU</v>
      </c>
      <c r="E172" t="str">
        <f ca="1">OFFSET(Sheet2!G$3,(ROW(E173))*3,0)</f>
        <v>CONTROL</v>
      </c>
      <c r="F172">
        <f ca="1">OFFSET(Sheet2!H$3,(ROW(F173))*3,0)</f>
        <v>0</v>
      </c>
      <c r="G172" t="str">
        <f ca="1">OFFSET(Sheet2!I$3,(ROW(G173))*3,0)</f>
        <v>WEEKLY</v>
      </c>
      <c r="H172">
        <f ca="1">OFFSET(Sheet2!J$3,(ROW(H173))*3,0)</f>
        <v>137</v>
      </c>
      <c r="I172" t="str">
        <f ca="1">OFFSET(Sheet2!K$3,(ROW(I173))*3,0)</f>
        <v>Recommendation</v>
      </c>
      <c r="J172" t="str">
        <f ca="1">OFFSET(Sheet2!L$3,(ROW(J173))*3,0)</f>
        <v>Needs to be changed</v>
      </c>
      <c r="K172" t="str">
        <f ca="1">OFFSET(Sheet2!M$3,(ROW(K173))*3,0)</f>
        <v>Needs to be cleaned</v>
      </c>
      <c r="L172" t="str">
        <f ca="1">OFFSET(Sheet2!N$3,(ROW(L173))*3,0)</f>
        <v>Needs adjustment, tappets are loose</v>
      </c>
      <c r="M172" t="str">
        <f ca="1">OFFSET(Sheet2!O$3,(ROW(M173))*3,0)</f>
        <v>Needs to be cleaned</v>
      </c>
      <c r="N172" t="str">
        <f ca="1">OFFSET(Sheet2!P$3,(ROW(N173))*3,0)</f>
        <v>Needs to be Changed</v>
      </c>
      <c r="O172" t="str">
        <f ca="1">OFFSET(Sheet2!Q$3,(ROW(O173))*3,0)</f>
        <v>No service needed, looks good, maintain</v>
      </c>
      <c r="P172">
        <f ca="1">OFFSET(Sheet2!R$3,(ROW(P173))*3,0)</f>
        <v>0</v>
      </c>
      <c r="Q172">
        <f ca="1">OFFSET(Sheet2!S$3,(ROW(Q173))*3,0)</f>
        <v>0</v>
      </c>
      <c r="R172">
        <f ca="1">OFFSET(Sheet2!T$3,(ROW(R173))*3,0)</f>
        <v>0</v>
      </c>
      <c r="S172">
        <f ca="1">OFFSET(Sheet2!U$2,(ROW(S173))*3,0)</f>
        <v>0</v>
      </c>
      <c r="T172">
        <f ca="1">OFFSET(Sheet2!V$2,(ROW(T173))*3,0)</f>
        <v>0</v>
      </c>
    </row>
    <row r="173" spans="1:20" x14ac:dyDescent="0.35">
      <c r="A173">
        <f ca="1">OFFSET(Sheet2!B$3,(ROW(A174))*3,0)</f>
        <v>43848</v>
      </c>
      <c r="B173">
        <f ca="1">OFFSET(Sheet2!C$3,(ROW(B174))*3,0)</f>
        <v>30</v>
      </c>
      <c r="C173" t="str">
        <f ca="1">OFFSET(Sheet2!D$3,(ROW(C174))*3,0)</f>
        <v>South</v>
      </c>
      <c r="D173" t="str">
        <f ca="1">OFFSET(Sheet2!F$3,(ROW(D174))*3,0)</f>
        <v>NABENDE AARON</v>
      </c>
      <c r="E173" t="str">
        <f ca="1">OFFSET(Sheet2!G$3,(ROW(E174))*3,0)</f>
        <v>Control</v>
      </c>
      <c r="F173">
        <f ca="1">OFFSET(Sheet2!H$3,(ROW(F174))*3,0)</f>
        <v>0</v>
      </c>
      <c r="G173" t="str">
        <f ca="1">OFFSET(Sheet2!I$3,(ROW(G174))*3,0)</f>
        <v>Comprehensive</v>
      </c>
      <c r="H173">
        <f ca="1">OFFSET(Sheet2!J$3,(ROW(H174))*3,0)</f>
        <v>40</v>
      </c>
      <c r="I173" t="str">
        <f ca="1">OFFSET(Sheet2!K$3,(ROW(I174))*3,0)</f>
        <v>Recommendation</v>
      </c>
      <c r="J173" t="str">
        <f ca="1">OFFSET(Sheet2!L$3,(ROW(J174))*3,0)</f>
        <v>change weekly</v>
      </c>
      <c r="K173" t="str">
        <f ca="1">OFFSET(Sheet2!M$3,(ROW(K174))*3,0)</f>
        <v>good</v>
      </c>
      <c r="L173" t="str">
        <f ca="1">OFFSET(Sheet2!N$3,(ROW(L174))*3,0)</f>
        <v>good</v>
      </c>
      <c r="M173" t="str">
        <f ca="1">OFFSET(Sheet2!O$3,(ROW(M174))*3,0)</f>
        <v>good</v>
      </c>
      <c r="N173" t="str">
        <f ca="1">OFFSET(Sheet2!P$3,(ROW(N174))*3,0)</f>
        <v>good</v>
      </c>
      <c r="O173" t="str">
        <f ca="1">OFFSET(Sheet2!Q$3,(ROW(O174))*3,0)</f>
        <v>good</v>
      </c>
      <c r="P173">
        <f ca="1">OFFSET(Sheet2!R$3,(ROW(P174))*3,0)</f>
        <v>0</v>
      </c>
      <c r="Q173">
        <f ca="1">OFFSET(Sheet2!S$3,(ROW(Q174))*3,0)</f>
        <v>0</v>
      </c>
      <c r="R173">
        <f ca="1">OFFSET(Sheet2!T$3,(ROW(R174))*3,0)</f>
        <v>0</v>
      </c>
      <c r="S173">
        <f ca="1">OFFSET(Sheet2!U$2,(ROW(S174))*3,0)</f>
        <v>0</v>
      </c>
      <c r="T173">
        <f ca="1">OFFSET(Sheet2!V$2,(ROW(T174))*3,0)</f>
        <v>0</v>
      </c>
    </row>
    <row r="174" spans="1:20" x14ac:dyDescent="0.35">
      <c r="A174">
        <f ca="1">OFFSET(Sheet2!B$3,(ROW(A175))*3,0)</f>
        <v>43855</v>
      </c>
      <c r="B174">
        <f ca="1">OFFSET(Sheet2!C$3,(ROW(B175))*3,0)</f>
        <v>30</v>
      </c>
      <c r="C174" t="str">
        <f ca="1">OFFSET(Sheet2!D$3,(ROW(C175))*3,0)</f>
        <v>South</v>
      </c>
      <c r="D174" t="str">
        <f ca="1">OFFSET(Sheet2!F$3,(ROW(D175))*3,0)</f>
        <v>NABENDE AARON</v>
      </c>
      <c r="E174" t="str">
        <f ca="1">OFFSET(Sheet2!G$3,(ROW(E175))*3,0)</f>
        <v>Control</v>
      </c>
      <c r="F174">
        <f ca="1">OFFSET(Sheet2!H$3,(ROW(F175))*3,0)</f>
        <v>0</v>
      </c>
      <c r="G174" t="str">
        <f ca="1">OFFSET(Sheet2!I$3,(ROW(G175))*3,0)</f>
        <v>WEEKLY</v>
      </c>
      <c r="H174">
        <f ca="1">OFFSET(Sheet2!J$3,(ROW(H175))*3,0)</f>
        <v>69</v>
      </c>
      <c r="I174" t="str">
        <f ca="1">OFFSET(Sheet2!K$3,(ROW(I175))*3,0)</f>
        <v>Recommendation</v>
      </c>
      <c r="J174" t="str">
        <f ca="1">OFFSET(Sheet2!L$3,(ROW(J175))*3,0)</f>
        <v>change weekly</v>
      </c>
      <c r="K174" t="str">
        <f ca="1">OFFSET(Sheet2!M$3,(ROW(K175))*3,0)</f>
        <v>GOOD</v>
      </c>
      <c r="L174" t="str">
        <f ca="1">OFFSET(Sheet2!N$3,(ROW(L175))*3,0)</f>
        <v>GOOD</v>
      </c>
      <c r="M174" t="str">
        <f ca="1">OFFSET(Sheet2!O$3,(ROW(M175))*3,0)</f>
        <v>GOOD</v>
      </c>
      <c r="N174" t="str">
        <f ca="1">OFFSET(Sheet2!P$3,(ROW(N175))*3,0)</f>
        <v>GOOD</v>
      </c>
      <c r="O174" t="str">
        <f ca="1">OFFSET(Sheet2!Q$3,(ROW(O175))*3,0)</f>
        <v>SERVICE WEEKLY</v>
      </c>
      <c r="P174">
        <f ca="1">OFFSET(Sheet2!R$3,(ROW(P175))*3,0)</f>
        <v>0</v>
      </c>
      <c r="Q174">
        <f ca="1">OFFSET(Sheet2!S$3,(ROW(Q175))*3,0)</f>
        <v>0</v>
      </c>
      <c r="R174">
        <f ca="1">OFFSET(Sheet2!T$3,(ROW(R175))*3,0)</f>
        <v>0</v>
      </c>
      <c r="S174">
        <f ca="1">OFFSET(Sheet2!U$2,(ROW(S175))*3,0)</f>
        <v>0</v>
      </c>
      <c r="T174">
        <f ca="1">OFFSET(Sheet2!V$2,(ROW(T175))*3,0)</f>
        <v>0</v>
      </c>
    </row>
    <row r="175" spans="1:20" x14ac:dyDescent="0.35">
      <c r="A175">
        <f ca="1">OFFSET(Sheet2!B$3,(ROW(A176))*3,0)</f>
        <v>43862</v>
      </c>
      <c r="B175">
        <f ca="1">OFFSET(Sheet2!C$3,(ROW(B176))*3,0)</f>
        <v>30</v>
      </c>
      <c r="C175" t="str">
        <f ca="1">OFFSET(Sheet2!D$3,(ROW(C176))*3,0)</f>
        <v>South</v>
      </c>
      <c r="D175" t="str">
        <f ca="1">OFFSET(Sheet2!F$3,(ROW(D176))*3,0)</f>
        <v>NABENDE AARON</v>
      </c>
      <c r="E175" t="str">
        <f ca="1">OFFSET(Sheet2!G$3,(ROW(E176))*3,0)</f>
        <v>CONTROL</v>
      </c>
      <c r="F175">
        <f ca="1">OFFSET(Sheet2!H$3,(ROW(F176))*3,0)</f>
        <v>0</v>
      </c>
      <c r="G175" t="str">
        <f ca="1">OFFSET(Sheet2!I$3,(ROW(G176))*3,0)</f>
        <v>WEEKLY</v>
      </c>
      <c r="H175">
        <f ca="1">OFFSET(Sheet2!J$3,(ROW(H176))*3,0)</f>
        <v>90</v>
      </c>
      <c r="I175" t="str">
        <f ca="1">OFFSET(Sheet2!K$3,(ROW(I176))*3,0)</f>
        <v>Recommendation</v>
      </c>
      <c r="J175" t="str">
        <f ca="1">OFFSET(Sheet2!L$3,(ROW(J176))*3,0)</f>
        <v>CHANGE WEEKLY</v>
      </c>
      <c r="K175" t="str">
        <f ca="1">OFFSET(Sheet2!M$3,(ROW(K176))*3,0)</f>
        <v>SERVICE WEEKLY</v>
      </c>
      <c r="L175" t="str">
        <f ca="1">OFFSET(Sheet2!N$3,(ROW(L176))*3,0)</f>
        <v>GOOD</v>
      </c>
      <c r="M175" t="str">
        <f ca="1">OFFSET(Sheet2!O$3,(ROW(M176))*3,0)</f>
        <v>GOOD</v>
      </c>
      <c r="N175" t="str">
        <f ca="1">OFFSET(Sheet2!P$3,(ROW(N176))*3,0)</f>
        <v>GOOD</v>
      </c>
      <c r="O175" t="str">
        <f ca="1">OFFSET(Sheet2!Q$3,(ROW(O176))*3,0)</f>
        <v>GOOD</v>
      </c>
      <c r="P175">
        <f ca="1">OFFSET(Sheet2!R$3,(ROW(P176))*3,0)</f>
        <v>0</v>
      </c>
      <c r="Q175">
        <f ca="1">OFFSET(Sheet2!S$3,(ROW(Q176))*3,0)</f>
        <v>0</v>
      </c>
      <c r="R175">
        <f ca="1">OFFSET(Sheet2!T$3,(ROW(R176))*3,0)</f>
        <v>0</v>
      </c>
      <c r="S175">
        <f ca="1">OFFSET(Sheet2!U$2,(ROW(S176))*3,0)</f>
        <v>0</v>
      </c>
      <c r="T175">
        <f ca="1">OFFSET(Sheet2!V$2,(ROW(T176))*3,0)</f>
        <v>0</v>
      </c>
    </row>
    <row r="176" spans="1:20" x14ac:dyDescent="0.35">
      <c r="A176">
        <f ca="1">OFFSET(Sheet2!B$3,(ROW(A177))*3,0)</f>
        <v>43876</v>
      </c>
      <c r="B176">
        <f ca="1">OFFSET(Sheet2!C$3,(ROW(B177))*3,0)</f>
        <v>30</v>
      </c>
      <c r="C176" t="str">
        <f ca="1">OFFSET(Sheet2!D$3,(ROW(C177))*3,0)</f>
        <v>South</v>
      </c>
      <c r="D176" t="str">
        <f ca="1">OFFSET(Sheet2!F$3,(ROW(D177))*3,0)</f>
        <v>NABENDE AARON</v>
      </c>
      <c r="E176" t="str">
        <f ca="1">OFFSET(Sheet2!G$3,(ROW(E177))*3,0)</f>
        <v>H2Go</v>
      </c>
      <c r="F176">
        <f ca="1">OFFSET(Sheet2!H$3,(ROW(F177))*3,0)</f>
        <v>0</v>
      </c>
      <c r="G176" t="str">
        <f ca="1">OFFSET(Sheet2!I$3,(ROW(G177))*3,0)</f>
        <v>WEEKLY</v>
      </c>
      <c r="H176">
        <f ca="1">OFFSET(Sheet2!J$3,(ROW(H177))*3,0)</f>
        <v>123</v>
      </c>
      <c r="I176" t="str">
        <f ca="1">OFFSET(Sheet2!K$3,(ROW(I177))*3,0)</f>
        <v>Recommendation</v>
      </c>
      <c r="J176" t="str">
        <f ca="1">OFFSET(Sheet2!L$3,(ROW(J177))*3,0)</f>
        <v>CHANGE WEEKLY</v>
      </c>
      <c r="K176" t="str">
        <f ca="1">OFFSET(Sheet2!M$3,(ROW(K177))*3,0)</f>
        <v>KEEP IT MAINTAINED</v>
      </c>
      <c r="L176" t="str">
        <f ca="1">OFFSET(Sheet2!N$3,(ROW(L177))*3,0)</f>
        <v>KEEP IT MAINTAINED</v>
      </c>
      <c r="M176" t="str">
        <f ca="1">OFFSET(Sheet2!O$3,(ROW(M177))*3,0)</f>
        <v>KEEP IT CHECKED</v>
      </c>
      <c r="N176" t="str">
        <f ca="1">OFFSET(Sheet2!P$3,(ROW(N177))*3,0)</f>
        <v>Keep it clean</v>
      </c>
      <c r="O176" t="str">
        <f ca="1">OFFSET(Sheet2!Q$3,(ROW(O177))*3,0)</f>
        <v>KEEP IT MAINTAINED</v>
      </c>
      <c r="P176">
        <f ca="1">OFFSET(Sheet2!R$3,(ROW(P177))*3,0)</f>
        <v>0</v>
      </c>
      <c r="Q176">
        <f ca="1">OFFSET(Sheet2!S$3,(ROW(Q177))*3,0)</f>
        <v>0</v>
      </c>
      <c r="R176">
        <f ca="1">OFFSET(Sheet2!T$3,(ROW(R177))*3,0)</f>
        <v>0</v>
      </c>
      <c r="S176">
        <f ca="1">OFFSET(Sheet2!U$2,(ROW(S177))*3,0)</f>
        <v>0</v>
      </c>
      <c r="T176">
        <f ca="1">OFFSET(Sheet2!V$2,(ROW(T177))*3,0)</f>
        <v>0</v>
      </c>
    </row>
    <row r="177" spans="1:20" x14ac:dyDescent="0.35">
      <c r="A177">
        <f ca="1">OFFSET(Sheet2!B$3,(ROW(A178))*3,0)</f>
        <v>43885</v>
      </c>
      <c r="B177">
        <f ca="1">OFFSET(Sheet2!C$3,(ROW(B178))*3,0)</f>
        <v>30</v>
      </c>
      <c r="C177" t="str">
        <f ca="1">OFFSET(Sheet2!D$3,(ROW(C178))*3,0)</f>
        <v>South</v>
      </c>
      <c r="D177" t="str">
        <f ca="1">OFFSET(Sheet2!F$3,(ROW(D178))*3,0)</f>
        <v>NABENDE AARON</v>
      </c>
      <c r="E177" t="str">
        <f ca="1">OFFSET(Sheet2!G$3,(ROW(E178))*3,0)</f>
        <v>CONTROL</v>
      </c>
      <c r="F177">
        <f ca="1">OFFSET(Sheet2!H$3,(ROW(F178))*3,0)</f>
        <v>0</v>
      </c>
      <c r="G177" t="str">
        <f ca="1">OFFSET(Sheet2!I$3,(ROW(G178))*3,0)</f>
        <v>WEEKLY</v>
      </c>
      <c r="H177">
        <f ca="1">OFFSET(Sheet2!J$3,(ROW(H178))*3,0)</f>
        <v>145</v>
      </c>
      <c r="I177" t="str">
        <f ca="1">OFFSET(Sheet2!K$3,(ROW(I178))*3,0)</f>
        <v>Recommendation</v>
      </c>
      <c r="J177" t="str">
        <f ca="1">OFFSET(Sheet2!L$3,(ROW(J178))*3,0)</f>
        <v>Needs to be changed</v>
      </c>
      <c r="K177" t="str">
        <f ca="1">OFFSET(Sheet2!M$3,(ROW(K178))*3,0)</f>
        <v>No service needed, looks good, maintain</v>
      </c>
      <c r="L177" t="str">
        <f ca="1">OFFSET(Sheet2!N$3,(ROW(L178))*3,0)</f>
        <v>No adjustment needed, looks good, maintain</v>
      </c>
      <c r="M177" t="str">
        <f ca="1">OFFSET(Sheet2!O$3,(ROW(M178))*3,0)</f>
        <v>No service needed, looks good, maintain</v>
      </c>
      <c r="N177" t="str">
        <f ca="1">OFFSET(Sheet2!P$3,(ROW(N178))*3,0)</f>
        <v>No service needed, looks good, maintain</v>
      </c>
      <c r="O177" t="str">
        <f ca="1">OFFSET(Sheet2!Q$3,(ROW(O178))*3,0)</f>
        <v>No service needed, looks good, maintain</v>
      </c>
      <c r="P177">
        <f ca="1">OFFSET(Sheet2!R$3,(ROW(P178))*3,0)</f>
        <v>0</v>
      </c>
      <c r="Q177">
        <f ca="1">OFFSET(Sheet2!S$3,(ROW(Q178))*3,0)</f>
        <v>0</v>
      </c>
      <c r="R177">
        <f ca="1">OFFSET(Sheet2!T$3,(ROW(R178))*3,0)</f>
        <v>0</v>
      </c>
      <c r="S177">
        <f ca="1">OFFSET(Sheet2!U$2,(ROW(S178))*3,0)</f>
        <v>0</v>
      </c>
      <c r="T177">
        <f ca="1">OFFSET(Sheet2!V$2,(ROW(T178))*3,0)</f>
        <v>0</v>
      </c>
    </row>
    <row r="178" spans="1:20" x14ac:dyDescent="0.35">
      <c r="A178">
        <f ca="1">OFFSET(Sheet2!B$3,(ROW(A179))*3,0)</f>
        <v>43869</v>
      </c>
      <c r="B178">
        <f ca="1">OFFSET(Sheet2!C$3,(ROW(B179))*3,0)</f>
        <v>30</v>
      </c>
      <c r="C178" t="str">
        <f ca="1">OFFSET(Sheet2!D$3,(ROW(C179))*3,0)</f>
        <v>South</v>
      </c>
      <c r="D178" t="str">
        <f ca="1">OFFSET(Sheet2!F$3,(ROW(D179))*3,0)</f>
        <v>NABENDE AARON</v>
      </c>
      <c r="E178" t="str">
        <f ca="1">OFFSET(Sheet2!G$3,(ROW(E179))*3,0)</f>
        <v>CONTROL</v>
      </c>
      <c r="F178">
        <f ca="1">OFFSET(Sheet2!H$3,(ROW(F179))*3,0)</f>
        <v>0</v>
      </c>
      <c r="G178" t="str">
        <f ca="1">OFFSET(Sheet2!I$3,(ROW(G179))*3,0)</f>
        <v>WEEKLY</v>
      </c>
      <c r="H178">
        <f ca="1">OFFSET(Sheet2!J$3,(ROW(H179))*3,0)</f>
        <v>149</v>
      </c>
      <c r="I178" t="str">
        <f ca="1">OFFSET(Sheet2!K$3,(ROW(I179))*3,0)</f>
        <v>Recommendation</v>
      </c>
      <c r="J178" t="str">
        <f ca="1">OFFSET(Sheet2!L$3,(ROW(J179))*3,0)</f>
        <v>NEEDS CHANGING</v>
      </c>
      <c r="K178" t="str">
        <f ca="1">OFFSET(Sheet2!M$3,(ROW(K179))*3,0)</f>
        <v>KEEP IT UP</v>
      </c>
      <c r="L178" t="str">
        <f ca="1">OFFSET(Sheet2!N$3,(ROW(L179))*3,0)</f>
        <v>NO SETTING NEEDED</v>
      </c>
      <c r="M178" t="str">
        <f ca="1">OFFSET(Sheet2!O$3,(ROW(M179))*3,0)</f>
        <v>MAINTAIN</v>
      </c>
      <c r="N178" t="str">
        <f ca="1">OFFSET(Sheet2!P$3,(ROW(N179))*3,0)</f>
        <v>KEEP IT UP</v>
      </c>
      <c r="O178" t="str">
        <f ca="1">OFFSET(Sheet2!Q$3,(ROW(O179))*3,0)</f>
        <v>NO SERVICE , MONITOR WEEKLY</v>
      </c>
      <c r="P178">
        <f ca="1">OFFSET(Sheet2!R$3,(ROW(P179))*3,0)</f>
        <v>0</v>
      </c>
      <c r="Q178">
        <f ca="1">OFFSET(Sheet2!S$3,(ROW(Q179))*3,0)</f>
        <v>0</v>
      </c>
      <c r="R178">
        <f ca="1">OFFSET(Sheet2!T$3,(ROW(R179))*3,0)</f>
        <v>0</v>
      </c>
      <c r="S178">
        <f ca="1">OFFSET(Sheet2!U$2,(ROW(S179))*3,0)</f>
        <v>0</v>
      </c>
      <c r="T178">
        <f ca="1">OFFSET(Sheet2!V$2,(ROW(T179))*3,0)</f>
        <v>0</v>
      </c>
    </row>
    <row r="179" spans="1:20" x14ac:dyDescent="0.35">
      <c r="A179">
        <f ca="1">OFFSET(Sheet2!B$3,(ROW(A180))*3,0)</f>
        <v>43892</v>
      </c>
      <c r="B179">
        <f ca="1">OFFSET(Sheet2!C$3,(ROW(B180))*3,0)</f>
        <v>30</v>
      </c>
      <c r="C179" t="str">
        <f ca="1">OFFSET(Sheet2!D$3,(ROW(C180))*3,0)</f>
        <v>South</v>
      </c>
      <c r="D179" t="str">
        <f ca="1">OFFSET(Sheet2!F$3,(ROW(D180))*3,0)</f>
        <v>NABENDE AARON</v>
      </c>
      <c r="E179" t="str">
        <f ca="1">OFFSET(Sheet2!G$3,(ROW(E180))*3,0)</f>
        <v>CONTROL</v>
      </c>
      <c r="F179">
        <f ca="1">OFFSET(Sheet2!H$3,(ROW(F180))*3,0)</f>
        <v>0</v>
      </c>
      <c r="G179" t="str">
        <f ca="1">OFFSET(Sheet2!I$3,(ROW(G180))*3,0)</f>
        <v>WEEKLY</v>
      </c>
      <c r="H179">
        <f ca="1">OFFSET(Sheet2!J$3,(ROW(H180))*3,0)</f>
        <v>105</v>
      </c>
      <c r="I179" t="str">
        <f ca="1">OFFSET(Sheet2!K$3,(ROW(I180))*3,0)</f>
        <v>Recommendation</v>
      </c>
      <c r="J179" t="str">
        <f ca="1">OFFSET(Sheet2!L$3,(ROW(J180))*3,0)</f>
        <v>Needs to be changed</v>
      </c>
      <c r="K179" t="str">
        <f ca="1">OFFSET(Sheet2!M$3,(ROW(K180))*3,0)</f>
        <v>Needs to be cleaned</v>
      </c>
      <c r="L179" t="str">
        <f ca="1">OFFSET(Sheet2!N$3,(ROW(L180))*3,0)</f>
        <v>No adjustment needed, looks good, maintain</v>
      </c>
      <c r="M179" t="str">
        <f ca="1">OFFSET(Sheet2!O$3,(ROW(M180))*3,0)</f>
        <v>Needs to be cleaned</v>
      </c>
      <c r="N179" t="str">
        <f ca="1">OFFSET(Sheet2!P$3,(ROW(N180))*3,0)</f>
        <v>No service needed, looks good, maintain</v>
      </c>
      <c r="O179" t="str">
        <f ca="1">OFFSET(Sheet2!Q$3,(ROW(O180))*3,0)</f>
        <v xml:space="preserve">Replace Nut </v>
      </c>
      <c r="P179">
        <f ca="1">OFFSET(Sheet2!R$3,(ROW(P180))*3,0)</f>
        <v>0</v>
      </c>
      <c r="Q179">
        <f ca="1">OFFSET(Sheet2!S$3,(ROW(Q180))*3,0)</f>
        <v>0</v>
      </c>
      <c r="R179">
        <f ca="1">OFFSET(Sheet2!T$3,(ROW(R180))*3,0)</f>
        <v>0</v>
      </c>
      <c r="S179">
        <f ca="1">OFFSET(Sheet2!U$2,(ROW(S180))*3,0)</f>
        <v>0</v>
      </c>
      <c r="T179">
        <f ca="1">OFFSET(Sheet2!V$2,(ROW(T180))*3,0)</f>
        <v>0</v>
      </c>
    </row>
    <row r="180" spans="1:20" x14ac:dyDescent="0.35">
      <c r="A180">
        <f ca="1">OFFSET(Sheet2!B$3,(ROW(A181))*3,0)</f>
        <v>43899</v>
      </c>
      <c r="B180">
        <f ca="1">OFFSET(Sheet2!C$3,(ROW(B181))*3,0)</f>
        <v>30</v>
      </c>
      <c r="C180" t="str">
        <f ca="1">OFFSET(Sheet2!D$3,(ROW(C181))*3,0)</f>
        <v>South</v>
      </c>
      <c r="D180" t="str">
        <f ca="1">OFFSET(Sheet2!F$3,(ROW(D181))*3,0)</f>
        <v>NABENDE AARON</v>
      </c>
      <c r="E180" t="str">
        <f ca="1">OFFSET(Sheet2!G$3,(ROW(E181))*3,0)</f>
        <v>CONTROL</v>
      </c>
      <c r="F180">
        <f ca="1">OFFSET(Sheet2!H$3,(ROW(F181))*3,0)</f>
        <v>0</v>
      </c>
      <c r="G180" t="str">
        <f ca="1">OFFSET(Sheet2!I$3,(ROW(G181))*3,0)</f>
        <v>WEEKLY</v>
      </c>
      <c r="H180">
        <f ca="1">OFFSET(Sheet2!J$3,(ROW(H181))*3,0)</f>
        <v>107</v>
      </c>
      <c r="I180" t="str">
        <f ca="1">OFFSET(Sheet2!K$3,(ROW(I181))*3,0)</f>
        <v>Recommendation</v>
      </c>
      <c r="J180" t="str">
        <f ca="1">OFFSET(Sheet2!L$3,(ROW(J181))*3,0)</f>
        <v>Needs to be changed</v>
      </c>
      <c r="K180" t="str">
        <f ca="1">OFFSET(Sheet2!M$3,(ROW(K181))*3,0)</f>
        <v>No service needed, looks good, maintain</v>
      </c>
      <c r="L180" t="str">
        <f ca="1">OFFSET(Sheet2!N$3,(ROW(L181))*3,0)</f>
        <v>No adjustment needed, looks good, maintain</v>
      </c>
      <c r="M180" t="str">
        <f ca="1">OFFSET(Sheet2!O$3,(ROW(M181))*3,0)</f>
        <v>No service needed, looks good, maintain</v>
      </c>
      <c r="N180" t="str">
        <f ca="1">OFFSET(Sheet2!P$3,(ROW(N181))*3,0)</f>
        <v>No service needed, looks good, maintain</v>
      </c>
      <c r="O180" t="str">
        <f ca="1">OFFSET(Sheet2!Q$3,(ROW(O181))*3,0)</f>
        <v>No service needed, looks good, maintain</v>
      </c>
      <c r="P180">
        <f ca="1">OFFSET(Sheet2!R$3,(ROW(P181))*3,0)</f>
        <v>0</v>
      </c>
      <c r="Q180">
        <f ca="1">OFFSET(Sheet2!S$3,(ROW(Q181))*3,0)</f>
        <v>0</v>
      </c>
      <c r="R180">
        <f ca="1">OFFSET(Sheet2!T$3,(ROW(R181))*3,0)</f>
        <v>0</v>
      </c>
      <c r="S180">
        <f ca="1">OFFSET(Sheet2!U$2,(ROW(S181))*3,0)</f>
        <v>0</v>
      </c>
      <c r="T180">
        <f ca="1">OFFSET(Sheet2!V$2,(ROW(T181))*3,0)</f>
        <v>0</v>
      </c>
    </row>
    <row r="181" spans="1:20" x14ac:dyDescent="0.35">
      <c r="A181">
        <f ca="1">OFFSET(Sheet2!B$3,(ROW(A182))*3,0)</f>
        <v>43855</v>
      </c>
      <c r="B181">
        <f ca="1">OFFSET(Sheet2!C$3,(ROW(B182))*3,0)</f>
        <v>31</v>
      </c>
      <c r="C181" t="str">
        <f ca="1">OFFSET(Sheet2!D$3,(ROW(C182))*3,0)</f>
        <v>South</v>
      </c>
      <c r="D181" t="str">
        <f ca="1">OFFSET(Sheet2!F$3,(ROW(D182))*3,0)</f>
        <v>JENGO YAHAYA</v>
      </c>
      <c r="E181" t="str">
        <f ca="1">OFFSET(Sheet2!G$3,(ROW(E182))*3,0)</f>
        <v>Control</v>
      </c>
      <c r="F181">
        <f ca="1">OFFSET(Sheet2!H$3,(ROW(F182))*3,0)</f>
        <v>0</v>
      </c>
      <c r="G181" t="str">
        <f ca="1">OFFSET(Sheet2!I$3,(ROW(G182))*3,0)</f>
        <v>Comprehensive</v>
      </c>
      <c r="H181">
        <f ca="1">OFFSET(Sheet2!J$3,(ROW(H182))*3,0)</f>
        <v>65</v>
      </c>
      <c r="I181" t="str">
        <f ca="1">OFFSET(Sheet2!K$3,(ROW(I182))*3,0)</f>
        <v>Recommendation</v>
      </c>
      <c r="J181" t="str">
        <f ca="1">OFFSET(Sheet2!L$3,(ROW(J182))*3,0)</f>
        <v>change weekly</v>
      </c>
      <c r="K181" t="str">
        <f ca="1">OFFSET(Sheet2!M$3,(ROW(K182))*3,0)</f>
        <v>weekly done atleast</v>
      </c>
      <c r="L181" t="str">
        <f ca="1">OFFSET(Sheet2!N$3,(ROW(L182))*3,0)</f>
        <v>once in a weak atleast In a month</v>
      </c>
      <c r="M181" t="str">
        <f ca="1">OFFSET(Sheet2!O$3,(ROW(M182))*3,0)</f>
        <v>good</v>
      </c>
      <c r="N181" t="str">
        <f ca="1">OFFSET(Sheet2!P$3,(ROW(N182))*3,0)</f>
        <v>good</v>
      </c>
      <c r="O181" t="str">
        <f ca="1">OFFSET(Sheet2!Q$3,(ROW(O182))*3,0)</f>
        <v>weekly to be checked</v>
      </c>
      <c r="P181">
        <f ca="1">OFFSET(Sheet2!R$3,(ROW(P182))*3,0)</f>
        <v>0</v>
      </c>
      <c r="Q181">
        <f ca="1">OFFSET(Sheet2!S$3,(ROW(Q182))*3,0)</f>
        <v>0</v>
      </c>
      <c r="R181">
        <f ca="1">OFFSET(Sheet2!T$3,(ROW(R182))*3,0)</f>
        <v>0</v>
      </c>
      <c r="S181">
        <f ca="1">OFFSET(Sheet2!U$2,(ROW(S182))*3,0)</f>
        <v>0</v>
      </c>
      <c r="T181">
        <f ca="1">OFFSET(Sheet2!V$2,(ROW(T182))*3,0)</f>
        <v>0</v>
      </c>
    </row>
    <row r="182" spans="1:20" x14ac:dyDescent="0.35">
      <c r="A182">
        <f ca="1">OFFSET(Sheet2!B$3,(ROW(A183))*3,0)</f>
        <v>43862</v>
      </c>
      <c r="B182">
        <f ca="1">OFFSET(Sheet2!C$3,(ROW(B183))*3,0)</f>
        <v>31</v>
      </c>
      <c r="C182" t="str">
        <f ca="1">OFFSET(Sheet2!D$3,(ROW(C183))*3,0)</f>
        <v>South</v>
      </c>
      <c r="D182" t="str">
        <f ca="1">OFFSET(Sheet2!F$3,(ROW(D183))*3,0)</f>
        <v>JENGO YAHAYA</v>
      </c>
      <c r="E182" t="str">
        <f ca="1">OFFSET(Sheet2!G$3,(ROW(E183))*3,0)</f>
        <v>H2Go</v>
      </c>
      <c r="F182">
        <f ca="1">OFFSET(Sheet2!H$3,(ROW(F183))*3,0)</f>
        <v>0</v>
      </c>
      <c r="G182" t="str">
        <f ca="1">OFFSET(Sheet2!I$3,(ROW(G183))*3,0)</f>
        <v>WEEKLY</v>
      </c>
      <c r="H182">
        <f ca="1">OFFSET(Sheet2!J$3,(ROW(H183))*3,0)</f>
        <v>117</v>
      </c>
      <c r="I182" t="str">
        <f ca="1">OFFSET(Sheet2!K$3,(ROW(I183))*3,0)</f>
        <v>Recommendation</v>
      </c>
      <c r="J182" t="str">
        <f ca="1">OFFSET(Sheet2!L$3,(ROW(J183))*3,0)</f>
        <v>CHANGE WEEKLY</v>
      </c>
      <c r="K182" t="str">
        <f ca="1">OFFSET(Sheet2!M$3,(ROW(K183))*3,0)</f>
        <v>KEEP IT MAINTAINED</v>
      </c>
      <c r="L182" t="str">
        <f ca="1">OFFSET(Sheet2!N$3,(ROW(L183))*3,0)</f>
        <v>CHECK ONCE IN A WEEK ATLEAST</v>
      </c>
      <c r="M182" t="str">
        <f ca="1">OFFSET(Sheet2!O$3,(ROW(M183))*3,0)</f>
        <v>KEEP IT MAINTAINED</v>
      </c>
      <c r="N182" t="str">
        <f ca="1">OFFSET(Sheet2!P$3,(ROW(N183))*3,0)</f>
        <v>Keep it clean</v>
      </c>
      <c r="O182" t="str">
        <f ca="1">OFFSET(Sheet2!Q$3,(ROW(O183))*3,0)</f>
        <v>check weekly</v>
      </c>
      <c r="P182">
        <f ca="1">OFFSET(Sheet2!R$3,(ROW(P183))*3,0)</f>
        <v>0</v>
      </c>
      <c r="Q182">
        <f ca="1">OFFSET(Sheet2!S$3,(ROW(Q183))*3,0)</f>
        <v>0</v>
      </c>
      <c r="R182">
        <f ca="1">OFFSET(Sheet2!T$3,(ROW(R183))*3,0)</f>
        <v>0</v>
      </c>
      <c r="S182">
        <f ca="1">OFFSET(Sheet2!U$2,(ROW(S183))*3,0)</f>
        <v>0</v>
      </c>
      <c r="T182">
        <f ca="1">OFFSET(Sheet2!V$2,(ROW(T183))*3,0)</f>
        <v>0</v>
      </c>
    </row>
    <row r="183" spans="1:20" x14ac:dyDescent="0.35">
      <c r="A183">
        <f ca="1">OFFSET(Sheet2!B$3,(ROW(A184))*3,0)</f>
        <v>43869</v>
      </c>
      <c r="B183">
        <f ca="1">OFFSET(Sheet2!C$3,(ROW(B184))*3,0)</f>
        <v>31</v>
      </c>
      <c r="C183" t="str">
        <f ca="1">OFFSET(Sheet2!D$3,(ROW(C184))*3,0)</f>
        <v>South</v>
      </c>
      <c r="D183" t="str">
        <f ca="1">OFFSET(Sheet2!F$3,(ROW(D184))*3,0)</f>
        <v>JENGO YAHAYA</v>
      </c>
      <c r="E183" t="str">
        <f ca="1">OFFSET(Sheet2!G$3,(ROW(E184))*3,0)</f>
        <v>Control</v>
      </c>
      <c r="F183">
        <f ca="1">OFFSET(Sheet2!H$3,(ROW(F184))*3,0)</f>
        <v>0</v>
      </c>
      <c r="G183" t="str">
        <f ca="1">OFFSET(Sheet2!I$3,(ROW(G184))*3,0)</f>
        <v>WEEKLY</v>
      </c>
      <c r="H183">
        <f ca="1">OFFSET(Sheet2!J$3,(ROW(H184))*3,0)</f>
        <v>192</v>
      </c>
      <c r="I183" t="str">
        <f ca="1">OFFSET(Sheet2!K$3,(ROW(I184))*3,0)</f>
        <v>Recommendation</v>
      </c>
      <c r="J183" t="str">
        <f ca="1">OFFSET(Sheet2!L$3,(ROW(J184))*3,0)</f>
        <v>TO BE CHANGED WEEKLY</v>
      </c>
      <c r="K183" t="str">
        <f ca="1">OFFSET(Sheet2!M$3,(ROW(K184))*3,0)</f>
        <v>GOOD</v>
      </c>
      <c r="L183" t="str">
        <f ca="1">OFFSET(Sheet2!N$3,(ROW(L184))*3,0)</f>
        <v>MAINTAIN IT</v>
      </c>
      <c r="M183" t="str">
        <f ca="1">OFFSET(Sheet2!O$3,(ROW(M184))*3,0)</f>
        <v>WELL DONE</v>
      </c>
      <c r="N183" t="str">
        <f ca="1">OFFSET(Sheet2!P$3,(ROW(N184))*3,0)</f>
        <v>GOOD</v>
      </c>
      <c r="O183" t="str">
        <f ca="1">OFFSET(Sheet2!Q$3,(ROW(O184))*3,0)</f>
        <v>GOOD</v>
      </c>
      <c r="P183">
        <f ca="1">OFFSET(Sheet2!R$3,(ROW(P184))*3,0)</f>
        <v>0</v>
      </c>
      <c r="Q183">
        <f ca="1">OFFSET(Sheet2!S$3,(ROW(Q184))*3,0)</f>
        <v>0</v>
      </c>
      <c r="R183">
        <f ca="1">OFFSET(Sheet2!T$3,(ROW(R184))*3,0)</f>
        <v>0</v>
      </c>
      <c r="S183">
        <f ca="1">OFFSET(Sheet2!U$2,(ROW(S184))*3,0)</f>
        <v>0</v>
      </c>
      <c r="T183">
        <f ca="1">OFFSET(Sheet2!V$2,(ROW(T184))*3,0)</f>
        <v>0</v>
      </c>
    </row>
    <row r="184" spans="1:20" x14ac:dyDescent="0.35">
      <c r="A184">
        <f ca="1">OFFSET(Sheet2!B$3,(ROW(A185))*3,0)</f>
        <v>43876</v>
      </c>
      <c r="B184">
        <f ca="1">OFFSET(Sheet2!C$3,(ROW(B185))*3,0)</f>
        <v>31</v>
      </c>
      <c r="C184" t="str">
        <f ca="1">OFFSET(Sheet2!D$3,(ROW(C185))*3,0)</f>
        <v>South</v>
      </c>
      <c r="D184" t="str">
        <f ca="1">OFFSET(Sheet2!F$3,(ROW(D185))*3,0)</f>
        <v>JENGO YAHAYA</v>
      </c>
      <c r="E184" t="str">
        <f ca="1">OFFSET(Sheet2!G$3,(ROW(E185))*3,0)</f>
        <v>H2Go</v>
      </c>
      <c r="F184">
        <f ca="1">OFFSET(Sheet2!H$3,(ROW(F185))*3,0)</f>
        <v>0</v>
      </c>
      <c r="G184" t="str">
        <f ca="1">OFFSET(Sheet2!I$3,(ROW(G185))*3,0)</f>
        <v>WEEKLY</v>
      </c>
      <c r="H184">
        <f ca="1">OFFSET(Sheet2!J$3,(ROW(H185))*3,0)</f>
        <v>126</v>
      </c>
      <c r="I184" t="str">
        <f ca="1">OFFSET(Sheet2!K$3,(ROW(I185))*3,0)</f>
        <v>Recommendation</v>
      </c>
      <c r="J184" t="str">
        <f ca="1">OFFSET(Sheet2!L$3,(ROW(J185))*3,0)</f>
        <v>change weekly</v>
      </c>
      <c r="K184" t="str">
        <f ca="1">OFFSET(Sheet2!M$3,(ROW(K185))*3,0)</f>
        <v>NEEDS ADJUSTMENT</v>
      </c>
      <c r="L184" t="str">
        <f ca="1">OFFSET(Sheet2!N$3,(ROW(L185))*3,0)</f>
        <v xml:space="preserve">Needs to be set </v>
      </c>
      <c r="M184" t="str">
        <f ca="1">OFFSET(Sheet2!O$3,(ROW(M185))*3,0)</f>
        <v>KEEP IT CLEAN</v>
      </c>
      <c r="N184" t="str">
        <f ca="1">OFFSET(Sheet2!P$3,(ROW(N185))*3,0)</f>
        <v>Keep it clean</v>
      </c>
      <c r="O184" t="str">
        <f ca="1">OFFSET(Sheet2!Q$3,(ROW(O185))*3,0)</f>
        <v>KEEP IT MAINTAINED</v>
      </c>
      <c r="P184">
        <f ca="1">OFFSET(Sheet2!R$3,(ROW(P185))*3,0)</f>
        <v>0</v>
      </c>
      <c r="Q184">
        <f ca="1">OFFSET(Sheet2!S$3,(ROW(Q185))*3,0)</f>
        <v>0</v>
      </c>
      <c r="R184">
        <f ca="1">OFFSET(Sheet2!T$3,(ROW(R185))*3,0)</f>
        <v>0</v>
      </c>
      <c r="S184">
        <f ca="1">OFFSET(Sheet2!U$2,(ROW(S185))*3,0)</f>
        <v>0</v>
      </c>
      <c r="T184">
        <f ca="1">OFFSET(Sheet2!V$2,(ROW(T185))*3,0)</f>
        <v>0</v>
      </c>
    </row>
    <row r="185" spans="1:20" x14ac:dyDescent="0.35">
      <c r="A185">
        <f ca="1">OFFSET(Sheet2!B$3,(ROW(A186))*3,0)</f>
        <v>43885</v>
      </c>
      <c r="B185">
        <f ca="1">OFFSET(Sheet2!C$3,(ROW(B186))*3,0)</f>
        <v>31</v>
      </c>
      <c r="C185" t="str">
        <f ca="1">OFFSET(Sheet2!D$3,(ROW(C186))*3,0)</f>
        <v>South</v>
      </c>
      <c r="D185" t="str">
        <f ca="1">OFFSET(Sheet2!F$3,(ROW(D186))*3,0)</f>
        <v>JENGO YAHAYA</v>
      </c>
      <c r="E185" t="str">
        <f ca="1">OFFSET(Sheet2!G$3,(ROW(E186))*3,0)</f>
        <v>CONTROL</v>
      </c>
      <c r="F185">
        <f ca="1">OFFSET(Sheet2!H$3,(ROW(F186))*3,0)</f>
        <v>0</v>
      </c>
      <c r="G185" t="str">
        <f ca="1">OFFSET(Sheet2!I$3,(ROW(G186))*3,0)</f>
        <v>WEEKLY</v>
      </c>
      <c r="H185">
        <f ca="1">OFFSET(Sheet2!J$3,(ROW(H186))*3,0)</f>
        <v>114</v>
      </c>
      <c r="I185" t="str">
        <f ca="1">OFFSET(Sheet2!K$3,(ROW(I186))*3,0)</f>
        <v>Recommendation</v>
      </c>
      <c r="J185" t="str">
        <f ca="1">OFFSET(Sheet2!L$3,(ROW(J186))*3,0)</f>
        <v>Needs to be changed</v>
      </c>
      <c r="K185" t="str">
        <f ca="1">OFFSET(Sheet2!M$3,(ROW(K186))*3,0)</f>
        <v>No service needed, looks good, maintain</v>
      </c>
      <c r="L185" t="str">
        <f ca="1">OFFSET(Sheet2!N$3,(ROW(L186))*3,0)</f>
        <v>No adjustment needed, looks good, maintain</v>
      </c>
      <c r="M185" t="str">
        <f ca="1">OFFSET(Sheet2!O$3,(ROW(M186))*3,0)</f>
        <v>No service needed, looks good, maintain</v>
      </c>
      <c r="N185" t="str">
        <f ca="1">OFFSET(Sheet2!P$3,(ROW(N186))*3,0)</f>
        <v>No service needed, looks good, maintain</v>
      </c>
      <c r="O185" t="str">
        <f ca="1">OFFSET(Sheet2!Q$3,(ROW(O186))*3,0)</f>
        <v>No service needed, looks good, maintain</v>
      </c>
      <c r="P185">
        <f ca="1">OFFSET(Sheet2!R$3,(ROW(P186))*3,0)</f>
        <v>0</v>
      </c>
      <c r="Q185">
        <f ca="1">OFFSET(Sheet2!S$3,(ROW(Q186))*3,0)</f>
        <v>0</v>
      </c>
      <c r="R185">
        <f ca="1">OFFSET(Sheet2!T$3,(ROW(R186))*3,0)</f>
        <v>0</v>
      </c>
      <c r="S185">
        <f ca="1">OFFSET(Sheet2!U$2,(ROW(S186))*3,0)</f>
        <v>0</v>
      </c>
      <c r="T185">
        <f ca="1">OFFSET(Sheet2!V$2,(ROW(T186))*3,0)</f>
        <v>0</v>
      </c>
    </row>
    <row r="186" spans="1:20" x14ac:dyDescent="0.35">
      <c r="A186">
        <f ca="1">OFFSET(Sheet2!B$3,(ROW(A187))*3,0)</f>
        <v>43892</v>
      </c>
      <c r="B186">
        <f ca="1">OFFSET(Sheet2!C$3,(ROW(B187))*3,0)</f>
        <v>31</v>
      </c>
      <c r="C186" t="str">
        <f ca="1">OFFSET(Sheet2!D$3,(ROW(C187))*3,0)</f>
        <v>South</v>
      </c>
      <c r="D186" t="str">
        <f ca="1">OFFSET(Sheet2!F$3,(ROW(D187))*3,0)</f>
        <v>JENGO YAHAYA</v>
      </c>
      <c r="E186" t="str">
        <f ca="1">OFFSET(Sheet2!G$3,(ROW(E187))*3,0)</f>
        <v>CONTROL</v>
      </c>
      <c r="F186">
        <f ca="1">OFFSET(Sheet2!H$3,(ROW(F187))*3,0)</f>
        <v>0</v>
      </c>
      <c r="G186" t="str">
        <f ca="1">OFFSET(Sheet2!I$3,(ROW(G187))*3,0)</f>
        <v>WEEKLY</v>
      </c>
      <c r="H186">
        <f ca="1">OFFSET(Sheet2!J$3,(ROW(H187))*3,0)</f>
        <v>140</v>
      </c>
      <c r="I186" t="str">
        <f ca="1">OFFSET(Sheet2!K$3,(ROW(I187))*3,0)</f>
        <v>Recommendation</v>
      </c>
      <c r="J186" t="str">
        <f ca="1">OFFSET(Sheet2!L$3,(ROW(J187))*3,0)</f>
        <v>Needs to be changed</v>
      </c>
      <c r="K186" t="str">
        <f ca="1">OFFSET(Sheet2!M$3,(ROW(K187))*3,0)</f>
        <v>Needs to be adjusted</v>
      </c>
      <c r="L186" t="str">
        <f ca="1">OFFSET(Sheet2!N$3,(ROW(L187))*3,0)</f>
        <v>Needs adjustment</v>
      </c>
      <c r="M186" t="str">
        <f ca="1">OFFSET(Sheet2!O$3,(ROW(M187))*3,0)</f>
        <v>Needs to be cleaned</v>
      </c>
      <c r="N186" t="str">
        <f ca="1">OFFSET(Sheet2!P$3,(ROW(N187))*3,0)</f>
        <v>Needs to be Changed</v>
      </c>
      <c r="O186" t="str">
        <f ca="1">OFFSET(Sheet2!Q$3,(ROW(O187))*3,0)</f>
        <v xml:space="preserve">Replace Nut </v>
      </c>
      <c r="P186">
        <f ca="1">OFFSET(Sheet2!R$3,(ROW(P187))*3,0)</f>
        <v>0</v>
      </c>
      <c r="Q186">
        <f ca="1">OFFSET(Sheet2!S$3,(ROW(Q187))*3,0)</f>
        <v>0</v>
      </c>
      <c r="R186">
        <f ca="1">OFFSET(Sheet2!T$3,(ROW(R187))*3,0)</f>
        <v>0</v>
      </c>
      <c r="S186">
        <f ca="1">OFFSET(Sheet2!U$2,(ROW(S187))*3,0)</f>
        <v>0</v>
      </c>
      <c r="T186">
        <f ca="1">OFFSET(Sheet2!V$2,(ROW(T187))*3,0)</f>
        <v>0</v>
      </c>
    </row>
    <row r="187" spans="1:20" x14ac:dyDescent="0.35">
      <c r="A187">
        <f ca="1">OFFSET(Sheet2!B$3,(ROW(A188))*3,0)</f>
        <v>43899</v>
      </c>
      <c r="B187">
        <f ca="1">OFFSET(Sheet2!C$3,(ROW(B188))*3,0)</f>
        <v>31</v>
      </c>
      <c r="C187" t="str">
        <f ca="1">OFFSET(Sheet2!D$3,(ROW(C188))*3,0)</f>
        <v>South</v>
      </c>
      <c r="D187" t="str">
        <f ca="1">OFFSET(Sheet2!F$3,(ROW(D188))*3,0)</f>
        <v>JENGO YAHAYA</v>
      </c>
      <c r="E187" t="str">
        <f ca="1">OFFSET(Sheet2!G$3,(ROW(E188))*3,0)</f>
        <v>CONTROL</v>
      </c>
      <c r="F187">
        <f ca="1">OFFSET(Sheet2!H$3,(ROW(F188))*3,0)</f>
        <v>0</v>
      </c>
      <c r="G187" t="str">
        <f ca="1">OFFSET(Sheet2!I$3,(ROW(G188))*3,0)</f>
        <v>WEEKLY</v>
      </c>
      <c r="H187">
        <f ca="1">OFFSET(Sheet2!J$3,(ROW(H188))*3,0)</f>
        <v>160</v>
      </c>
      <c r="I187" t="str">
        <f ca="1">OFFSET(Sheet2!K$3,(ROW(I188))*3,0)</f>
        <v>Recommendation</v>
      </c>
      <c r="J187" t="str">
        <f ca="1">OFFSET(Sheet2!L$3,(ROW(J188))*3,0)</f>
        <v>Needs to be changed</v>
      </c>
      <c r="K187" t="str">
        <f ca="1">OFFSET(Sheet2!M$3,(ROW(K188))*3,0)</f>
        <v>Needs to be cleaned</v>
      </c>
      <c r="L187" t="str">
        <f ca="1">OFFSET(Sheet2!N$3,(ROW(L188))*3,0)</f>
        <v>No adjustment needed, looks good, maintain</v>
      </c>
      <c r="M187" t="str">
        <f ca="1">OFFSET(Sheet2!O$3,(ROW(M188))*3,0)</f>
        <v>No service needed, looks good, maintain</v>
      </c>
      <c r="N187" t="str">
        <f ca="1">OFFSET(Sheet2!P$3,(ROW(N188))*3,0)</f>
        <v>No service needed, looks good, maintain</v>
      </c>
      <c r="O187" t="str">
        <f ca="1">OFFSET(Sheet2!Q$3,(ROW(O188))*3,0)</f>
        <v>No service needed, looks good, maintain</v>
      </c>
      <c r="P187">
        <f ca="1">OFFSET(Sheet2!R$3,(ROW(P188))*3,0)</f>
        <v>0</v>
      </c>
      <c r="Q187">
        <f ca="1">OFFSET(Sheet2!S$3,(ROW(Q188))*3,0)</f>
        <v>0</v>
      </c>
      <c r="R187">
        <f ca="1">OFFSET(Sheet2!T$3,(ROW(R188))*3,0)</f>
        <v>0</v>
      </c>
      <c r="S187">
        <f ca="1">OFFSET(Sheet2!U$2,(ROW(S188))*3,0)</f>
        <v>0</v>
      </c>
      <c r="T187">
        <f ca="1">OFFSET(Sheet2!V$2,(ROW(T188))*3,0)</f>
        <v>0</v>
      </c>
    </row>
    <row r="188" spans="1:20" x14ac:dyDescent="0.35">
      <c r="A188">
        <f ca="1">OFFSET(Sheet2!B$3,(ROW(A189))*3,0)</f>
        <v>43848</v>
      </c>
      <c r="B188">
        <f ca="1">OFFSET(Sheet2!C$3,(ROW(B189))*3,0)</f>
        <v>32</v>
      </c>
      <c r="C188" t="str">
        <f ca="1">OFFSET(Sheet2!D$3,(ROW(C189))*3,0)</f>
        <v>South</v>
      </c>
      <c r="D188" t="str">
        <f ca="1">OFFSET(Sheet2!F$3,(ROW(D189))*3,0)</f>
        <v>LUBEGA YUSUF</v>
      </c>
      <c r="E188" t="str">
        <f ca="1">OFFSET(Sheet2!G$3,(ROW(E189))*3,0)</f>
        <v>Control</v>
      </c>
      <c r="F188">
        <f ca="1">OFFSET(Sheet2!H$3,(ROW(F189))*3,0)</f>
        <v>0</v>
      </c>
      <c r="G188" t="str">
        <f ca="1">OFFSET(Sheet2!I$3,(ROW(G189))*3,0)</f>
        <v>Comprehensive</v>
      </c>
      <c r="H188">
        <f ca="1">OFFSET(Sheet2!J$3,(ROW(H189))*3,0)</f>
        <v>61</v>
      </c>
      <c r="I188" t="str">
        <f ca="1">OFFSET(Sheet2!K$3,(ROW(I189))*3,0)</f>
        <v>Recommendation</v>
      </c>
      <c r="J188">
        <f ca="1">OFFSET(Sheet2!L$3,(ROW(J189))*3,0)</f>
        <v>0</v>
      </c>
      <c r="K188">
        <f ca="1">OFFSET(Sheet2!M$3,(ROW(K189))*3,0)</f>
        <v>0</v>
      </c>
      <c r="L188">
        <f ca="1">OFFSET(Sheet2!N$3,(ROW(L189))*3,0)</f>
        <v>0</v>
      </c>
      <c r="M188">
        <f ca="1">OFFSET(Sheet2!O$3,(ROW(M189))*3,0)</f>
        <v>0</v>
      </c>
      <c r="N188">
        <f ca="1">OFFSET(Sheet2!P$3,(ROW(N189))*3,0)</f>
        <v>0</v>
      </c>
      <c r="O188">
        <f ca="1">OFFSET(Sheet2!Q$3,(ROW(O189))*3,0)</f>
        <v>0</v>
      </c>
      <c r="P188">
        <f ca="1">OFFSET(Sheet2!R$3,(ROW(P189))*3,0)</f>
        <v>0</v>
      </c>
      <c r="Q188">
        <f ca="1">OFFSET(Sheet2!S$3,(ROW(Q189))*3,0)</f>
        <v>0</v>
      </c>
      <c r="R188">
        <f ca="1">OFFSET(Sheet2!T$3,(ROW(R189))*3,0)</f>
        <v>0</v>
      </c>
      <c r="S188">
        <f ca="1">OFFSET(Sheet2!U$2,(ROW(S189))*3,0)</f>
        <v>0</v>
      </c>
      <c r="T188">
        <f ca="1">OFFSET(Sheet2!V$2,(ROW(T189))*3,0)</f>
        <v>0</v>
      </c>
    </row>
    <row r="189" spans="1:20" x14ac:dyDescent="0.35">
      <c r="A189">
        <f ca="1">OFFSET(Sheet2!B$3,(ROW(A190))*3,0)</f>
        <v>43855</v>
      </c>
      <c r="B189">
        <f ca="1">OFFSET(Sheet2!C$3,(ROW(B190))*3,0)</f>
        <v>32</v>
      </c>
      <c r="C189" t="str">
        <f ca="1">OFFSET(Sheet2!D$3,(ROW(C190))*3,0)</f>
        <v>South</v>
      </c>
      <c r="D189" t="str">
        <f ca="1">OFFSET(Sheet2!F$3,(ROW(D190))*3,0)</f>
        <v>LUBEGA YUSUF</v>
      </c>
      <c r="E189" t="str">
        <f ca="1">OFFSET(Sheet2!G$3,(ROW(E190))*3,0)</f>
        <v>Control</v>
      </c>
      <c r="F189">
        <f ca="1">OFFSET(Sheet2!H$3,(ROW(F190))*3,0)</f>
        <v>0</v>
      </c>
      <c r="G189" t="str">
        <f ca="1">OFFSET(Sheet2!I$3,(ROW(G190))*3,0)</f>
        <v>WEEKLY</v>
      </c>
      <c r="H189">
        <f ca="1">OFFSET(Sheet2!J$3,(ROW(H190))*3,0)</f>
        <v>64</v>
      </c>
      <c r="I189" t="str">
        <f ca="1">OFFSET(Sheet2!K$3,(ROW(I190))*3,0)</f>
        <v>Recommendation</v>
      </c>
      <c r="J189" t="str">
        <f ca="1">OFFSET(Sheet2!L$3,(ROW(J190))*3,0)</f>
        <v>change weekly</v>
      </c>
      <c r="K189" t="str">
        <f ca="1">OFFSET(Sheet2!M$3,(ROW(K190))*3,0)</f>
        <v>Needs to be serviced atleast weekly</v>
      </c>
      <c r="L189" t="str">
        <f ca="1">OFFSET(Sheet2!N$3,(ROW(L190))*3,0)</f>
        <v>good</v>
      </c>
      <c r="M189" t="str">
        <f ca="1">OFFSET(Sheet2!O$3,(ROW(M190))*3,0)</f>
        <v>good</v>
      </c>
      <c r="N189" t="str">
        <f ca="1">OFFSET(Sheet2!P$3,(ROW(N190))*3,0)</f>
        <v>good</v>
      </c>
      <c r="O189" t="str">
        <f ca="1">OFFSET(Sheet2!Q$3,(ROW(O190))*3,0)</f>
        <v>good</v>
      </c>
      <c r="P189">
        <f ca="1">OFFSET(Sheet2!R$3,(ROW(P190))*3,0)</f>
        <v>0</v>
      </c>
      <c r="Q189">
        <f ca="1">OFFSET(Sheet2!S$3,(ROW(Q190))*3,0)</f>
        <v>0</v>
      </c>
      <c r="R189">
        <f ca="1">OFFSET(Sheet2!T$3,(ROW(R190))*3,0)</f>
        <v>0</v>
      </c>
      <c r="S189">
        <f ca="1">OFFSET(Sheet2!U$2,(ROW(S190))*3,0)</f>
        <v>0</v>
      </c>
      <c r="T189">
        <f ca="1">OFFSET(Sheet2!V$2,(ROW(T190))*3,0)</f>
        <v>0</v>
      </c>
    </row>
    <row r="190" spans="1:20" x14ac:dyDescent="0.35">
      <c r="A190">
        <f ca="1">OFFSET(Sheet2!B$3,(ROW(A191))*3,0)</f>
        <v>43862</v>
      </c>
      <c r="B190">
        <f ca="1">OFFSET(Sheet2!C$3,(ROW(B191))*3,0)</f>
        <v>32</v>
      </c>
      <c r="C190" t="str">
        <f ca="1">OFFSET(Sheet2!D$3,(ROW(C191))*3,0)</f>
        <v>South</v>
      </c>
      <c r="D190" t="str">
        <f ca="1">OFFSET(Sheet2!F$3,(ROW(D191))*3,0)</f>
        <v>LUBEGA YUSUF</v>
      </c>
      <c r="E190" t="str">
        <f ca="1">OFFSET(Sheet2!G$3,(ROW(E191))*3,0)</f>
        <v>H2Go</v>
      </c>
      <c r="F190">
        <f ca="1">OFFSET(Sheet2!H$3,(ROW(F191))*3,0)</f>
        <v>0</v>
      </c>
      <c r="G190" t="str">
        <f ca="1">OFFSET(Sheet2!I$3,(ROW(G191))*3,0)</f>
        <v>WEEKLY</v>
      </c>
      <c r="H190">
        <f ca="1">OFFSET(Sheet2!J$3,(ROW(H191))*3,0)</f>
        <v>119</v>
      </c>
      <c r="I190" t="str">
        <f ca="1">OFFSET(Sheet2!K$3,(ROW(I191))*3,0)</f>
        <v>Recommendation</v>
      </c>
      <c r="J190" t="str">
        <f ca="1">OFFSET(Sheet2!L$3,(ROW(J191))*3,0)</f>
        <v>CHANGE WEEKLY</v>
      </c>
      <c r="K190" t="str">
        <f ca="1">OFFSET(Sheet2!M$3,(ROW(K191))*3,0)</f>
        <v>KEEP IT MAINTAINED</v>
      </c>
      <c r="L190" t="str">
        <f ca="1">OFFSET(Sheet2!N$3,(ROW(L191))*3,0)</f>
        <v>KEEP IT SET</v>
      </c>
      <c r="M190" t="str">
        <f ca="1">OFFSET(Sheet2!O$3,(ROW(M191))*3,0)</f>
        <v>KEEP IT CHECKED</v>
      </c>
      <c r="N190" t="str">
        <f ca="1">OFFSET(Sheet2!P$3,(ROW(N191))*3,0)</f>
        <v>Keep it clean</v>
      </c>
      <c r="O190" t="str">
        <f ca="1">OFFSET(Sheet2!Q$3,(ROW(O191))*3,0)</f>
        <v>KEEP IT MAINTAINED</v>
      </c>
      <c r="P190">
        <f ca="1">OFFSET(Sheet2!R$3,(ROW(P191))*3,0)</f>
        <v>0</v>
      </c>
      <c r="Q190">
        <f ca="1">OFFSET(Sheet2!S$3,(ROW(Q191))*3,0)</f>
        <v>0</v>
      </c>
      <c r="R190">
        <f ca="1">OFFSET(Sheet2!T$3,(ROW(R191))*3,0)</f>
        <v>0</v>
      </c>
      <c r="S190">
        <f ca="1">OFFSET(Sheet2!U$2,(ROW(S191))*3,0)</f>
        <v>0</v>
      </c>
      <c r="T190">
        <f ca="1">OFFSET(Sheet2!V$2,(ROW(T191))*3,0)</f>
        <v>0</v>
      </c>
    </row>
    <row r="191" spans="1:20" x14ac:dyDescent="0.35">
      <c r="A191">
        <f ca="1">OFFSET(Sheet2!B$3,(ROW(A192))*3,0)</f>
        <v>43869</v>
      </c>
      <c r="B191">
        <f ca="1">OFFSET(Sheet2!C$3,(ROW(B192))*3,0)</f>
        <v>32</v>
      </c>
      <c r="C191" t="str">
        <f ca="1">OFFSET(Sheet2!D$3,(ROW(C192))*3,0)</f>
        <v>South</v>
      </c>
      <c r="D191" t="str">
        <f ca="1">OFFSET(Sheet2!F$3,(ROW(D192))*3,0)</f>
        <v>LUBEGA YUSUF</v>
      </c>
      <c r="E191" t="str">
        <f ca="1">OFFSET(Sheet2!G$3,(ROW(E192))*3,0)</f>
        <v>Control</v>
      </c>
      <c r="F191">
        <f ca="1">OFFSET(Sheet2!H$3,(ROW(F192))*3,0)</f>
        <v>0</v>
      </c>
      <c r="G191" t="str">
        <f ca="1">OFFSET(Sheet2!I$3,(ROW(G192))*3,0)</f>
        <v>WEEKLY</v>
      </c>
      <c r="H191">
        <f ca="1">OFFSET(Sheet2!J$3,(ROW(H192))*3,0)</f>
        <v>196</v>
      </c>
      <c r="I191" t="str">
        <f ca="1">OFFSET(Sheet2!K$3,(ROW(I192))*3,0)</f>
        <v>Recommendation</v>
      </c>
      <c r="J191" t="str">
        <f ca="1">OFFSET(Sheet2!L$3,(ROW(J192))*3,0)</f>
        <v>TO BE DONE EVERY WEEK</v>
      </c>
      <c r="K191" t="str">
        <f ca="1">OFFSET(Sheet2!M$3,(ROW(K192))*3,0)</f>
        <v>GOOD</v>
      </c>
      <c r="L191" t="str">
        <f ca="1">OFFSET(Sheet2!N$3,(ROW(L192))*3,0)</f>
        <v>GOOD IN CONDITION,MAINTAIN</v>
      </c>
      <c r="M191" t="str">
        <f ca="1">OFFSET(Sheet2!O$3,(ROW(M192))*3,0)</f>
        <v>WELL DONE</v>
      </c>
      <c r="N191" t="str">
        <f ca="1">OFFSET(Sheet2!P$3,(ROW(N192))*3,0)</f>
        <v>GOOD</v>
      </c>
      <c r="O191" t="str">
        <f ca="1">OFFSET(Sheet2!Q$3,(ROW(O192))*3,0)</f>
        <v>GOOD</v>
      </c>
      <c r="P191">
        <f ca="1">OFFSET(Sheet2!R$3,(ROW(P192))*3,0)</f>
        <v>0</v>
      </c>
      <c r="Q191">
        <f ca="1">OFFSET(Sheet2!S$3,(ROW(Q192))*3,0)</f>
        <v>0</v>
      </c>
      <c r="R191">
        <f ca="1">OFFSET(Sheet2!T$3,(ROW(R192))*3,0)</f>
        <v>0</v>
      </c>
      <c r="S191">
        <f ca="1">OFFSET(Sheet2!U$2,(ROW(S192))*3,0)</f>
        <v>0</v>
      </c>
      <c r="T191">
        <f ca="1">OFFSET(Sheet2!V$2,(ROW(T192))*3,0)</f>
        <v>0</v>
      </c>
    </row>
    <row r="192" spans="1:20" x14ac:dyDescent="0.35">
      <c r="A192">
        <f ca="1">OFFSET(Sheet2!B$3,(ROW(A193))*3,0)</f>
        <v>43876</v>
      </c>
      <c r="B192">
        <f ca="1">OFFSET(Sheet2!C$3,(ROW(B193))*3,0)</f>
        <v>32</v>
      </c>
      <c r="C192" t="str">
        <f ca="1">OFFSET(Sheet2!D$3,(ROW(C193))*3,0)</f>
        <v>South</v>
      </c>
      <c r="D192" t="str">
        <f ca="1">OFFSET(Sheet2!F$3,(ROW(D193))*3,0)</f>
        <v>LUBEGA YUSUF</v>
      </c>
      <c r="E192" t="str">
        <f ca="1">OFFSET(Sheet2!G$3,(ROW(E193))*3,0)</f>
        <v>H2Go</v>
      </c>
      <c r="F192">
        <f ca="1">OFFSET(Sheet2!H$3,(ROW(F193))*3,0)</f>
        <v>0</v>
      </c>
      <c r="G192" t="str">
        <f ca="1">OFFSET(Sheet2!I$3,(ROW(G193))*3,0)</f>
        <v>WEEKLY</v>
      </c>
      <c r="H192">
        <f ca="1">OFFSET(Sheet2!J$3,(ROW(H193))*3,0)</f>
        <v>142</v>
      </c>
      <c r="I192" t="str">
        <f ca="1">OFFSET(Sheet2!K$3,(ROW(I193))*3,0)</f>
        <v>Recommendation</v>
      </c>
      <c r="J192" t="str">
        <f ca="1">OFFSET(Sheet2!L$3,(ROW(J193))*3,0)</f>
        <v>change weekly</v>
      </c>
      <c r="K192" t="str">
        <f ca="1">OFFSET(Sheet2!M$3,(ROW(K193))*3,0)</f>
        <v>KEEP IT CHECKED</v>
      </c>
      <c r="L192" t="str">
        <f ca="1">OFFSET(Sheet2!N$3,(ROW(L193))*3,0)</f>
        <v>KEEP IT MAINTAINED</v>
      </c>
      <c r="M192" t="str">
        <f ca="1">OFFSET(Sheet2!O$3,(ROW(M193))*3,0)</f>
        <v>Keep it clean</v>
      </c>
      <c r="N192" t="str">
        <f ca="1">OFFSET(Sheet2!P$3,(ROW(N193))*3,0)</f>
        <v>Keep it clean</v>
      </c>
      <c r="O192" t="str">
        <f ca="1">OFFSET(Sheet2!Q$3,(ROW(O193))*3,0)</f>
        <v>KEEP SERVICING</v>
      </c>
      <c r="P192">
        <f ca="1">OFFSET(Sheet2!R$3,(ROW(P193))*3,0)</f>
        <v>0</v>
      </c>
      <c r="Q192">
        <f ca="1">OFFSET(Sheet2!S$3,(ROW(Q193))*3,0)</f>
        <v>0</v>
      </c>
      <c r="R192">
        <f ca="1">OFFSET(Sheet2!T$3,(ROW(R193))*3,0)</f>
        <v>0</v>
      </c>
      <c r="S192">
        <f ca="1">OFFSET(Sheet2!U$2,(ROW(S193))*3,0)</f>
        <v>0</v>
      </c>
      <c r="T192">
        <f ca="1">OFFSET(Sheet2!V$2,(ROW(T193))*3,0)</f>
        <v>0</v>
      </c>
    </row>
    <row r="193" spans="1:20" x14ac:dyDescent="0.35">
      <c r="A193">
        <f ca="1">OFFSET(Sheet2!B$3,(ROW(A194))*3,0)</f>
        <v>43885</v>
      </c>
      <c r="B193">
        <f ca="1">OFFSET(Sheet2!C$3,(ROW(B194))*3,0)</f>
        <v>32</v>
      </c>
      <c r="C193" t="str">
        <f ca="1">OFFSET(Sheet2!D$3,(ROW(C194))*3,0)</f>
        <v>South</v>
      </c>
      <c r="D193" t="str">
        <f ca="1">OFFSET(Sheet2!F$3,(ROW(D194))*3,0)</f>
        <v>LUBEGA YUSUF</v>
      </c>
      <c r="E193" t="str">
        <f ca="1">OFFSET(Sheet2!G$3,(ROW(E194))*3,0)</f>
        <v>CONTROL</v>
      </c>
      <c r="F193">
        <f ca="1">OFFSET(Sheet2!H$3,(ROW(F194))*3,0)</f>
        <v>0</v>
      </c>
      <c r="G193" t="str">
        <f ca="1">OFFSET(Sheet2!I$3,(ROW(G194))*3,0)</f>
        <v>WEEKLY</v>
      </c>
      <c r="H193">
        <f ca="1">OFFSET(Sheet2!J$3,(ROW(H194))*3,0)</f>
        <v>154</v>
      </c>
      <c r="I193" t="str">
        <f ca="1">OFFSET(Sheet2!K$3,(ROW(I194))*3,0)</f>
        <v>Recommendation</v>
      </c>
      <c r="J193" t="str">
        <f ca="1">OFFSET(Sheet2!L$3,(ROW(J194))*3,0)</f>
        <v>Needs to be changed</v>
      </c>
      <c r="K193" t="str">
        <f ca="1">OFFSET(Sheet2!M$3,(ROW(K194))*3,0)</f>
        <v>No service needed, looks good, maintain</v>
      </c>
      <c r="L193" t="str">
        <f ca="1">OFFSET(Sheet2!N$3,(ROW(L194))*3,0)</f>
        <v>No adjustment needed, looks good, maintain</v>
      </c>
      <c r="M193" t="str">
        <f ca="1">OFFSET(Sheet2!O$3,(ROW(M194))*3,0)</f>
        <v>Needs to be cleaned</v>
      </c>
      <c r="N193" t="str">
        <f ca="1">OFFSET(Sheet2!P$3,(ROW(N194))*3,0)</f>
        <v>No service needed, looks good, maintain</v>
      </c>
      <c r="O193" t="str">
        <f ca="1">OFFSET(Sheet2!Q$3,(ROW(O194))*3,0)</f>
        <v>No service needed, looks good, maintain</v>
      </c>
      <c r="P193">
        <f ca="1">OFFSET(Sheet2!R$3,(ROW(P194))*3,0)</f>
        <v>0</v>
      </c>
      <c r="Q193">
        <f ca="1">OFFSET(Sheet2!S$3,(ROW(Q194))*3,0)</f>
        <v>0</v>
      </c>
      <c r="R193">
        <f ca="1">OFFSET(Sheet2!T$3,(ROW(R194))*3,0)</f>
        <v>0</v>
      </c>
      <c r="S193">
        <f ca="1">OFFSET(Sheet2!U$2,(ROW(S194))*3,0)</f>
        <v>0</v>
      </c>
      <c r="T193">
        <f ca="1">OFFSET(Sheet2!V$2,(ROW(T194))*3,0)</f>
        <v>0</v>
      </c>
    </row>
    <row r="194" spans="1:20" x14ac:dyDescent="0.35">
      <c r="A194">
        <f ca="1">OFFSET(Sheet2!B$3,(ROW(A195))*3,0)</f>
        <v>43892</v>
      </c>
      <c r="B194">
        <f ca="1">OFFSET(Sheet2!C$3,(ROW(B195))*3,0)</f>
        <v>32</v>
      </c>
      <c r="C194" t="str">
        <f ca="1">OFFSET(Sheet2!D$3,(ROW(C195))*3,0)</f>
        <v>South</v>
      </c>
      <c r="D194" t="str">
        <f ca="1">OFFSET(Sheet2!F$3,(ROW(D195))*3,0)</f>
        <v>LUBEGA YUSUF</v>
      </c>
      <c r="E194" t="str">
        <f ca="1">OFFSET(Sheet2!G$3,(ROW(E195))*3,0)</f>
        <v>CONTROL</v>
      </c>
      <c r="F194">
        <f ca="1">OFFSET(Sheet2!H$3,(ROW(F195))*3,0)</f>
        <v>0</v>
      </c>
      <c r="G194" t="str">
        <f ca="1">OFFSET(Sheet2!I$3,(ROW(G195))*3,0)</f>
        <v>WEEKLY</v>
      </c>
      <c r="H194">
        <f ca="1">OFFSET(Sheet2!J$3,(ROW(H195))*3,0)</f>
        <v>109</v>
      </c>
      <c r="I194" t="str">
        <f ca="1">OFFSET(Sheet2!K$3,(ROW(I195))*3,0)</f>
        <v>Recommendation</v>
      </c>
      <c r="J194" t="str">
        <f ca="1">OFFSET(Sheet2!L$3,(ROW(J195))*3,0)</f>
        <v>Needs to be changed</v>
      </c>
      <c r="K194" t="str">
        <f ca="1">OFFSET(Sheet2!M$3,(ROW(K195))*3,0)</f>
        <v>No service needed, looks good, maintain</v>
      </c>
      <c r="L194" t="str">
        <f ca="1">OFFSET(Sheet2!N$3,(ROW(L195))*3,0)</f>
        <v>No adjustment needed, looks good, maintain</v>
      </c>
      <c r="M194" t="str">
        <f ca="1">OFFSET(Sheet2!O$3,(ROW(M195))*3,0)</f>
        <v>No service needed, looks good, maintain</v>
      </c>
      <c r="N194" t="str">
        <f ca="1">OFFSET(Sheet2!P$3,(ROW(N195))*3,0)</f>
        <v>No service needed, looks good, maintain</v>
      </c>
      <c r="O194" t="str">
        <f ca="1">OFFSET(Sheet2!Q$3,(ROW(O195))*3,0)</f>
        <v>No service needed, looks good, maintain</v>
      </c>
      <c r="P194">
        <f ca="1">OFFSET(Sheet2!R$3,(ROW(P195))*3,0)</f>
        <v>0</v>
      </c>
      <c r="Q194">
        <f ca="1">OFFSET(Sheet2!S$3,(ROW(Q195))*3,0)</f>
        <v>0</v>
      </c>
      <c r="R194">
        <f ca="1">OFFSET(Sheet2!T$3,(ROW(R195))*3,0)</f>
        <v>0</v>
      </c>
      <c r="S194">
        <f ca="1">OFFSET(Sheet2!U$2,(ROW(S195))*3,0)</f>
        <v>0</v>
      </c>
      <c r="T194">
        <f ca="1">OFFSET(Sheet2!V$2,(ROW(T195))*3,0)</f>
        <v>0</v>
      </c>
    </row>
    <row r="195" spans="1:20" x14ac:dyDescent="0.35">
      <c r="A195">
        <f ca="1">OFFSET(Sheet2!B$3,(ROW(A196))*3,0)</f>
        <v>43899</v>
      </c>
      <c r="B195">
        <f ca="1">OFFSET(Sheet2!C$3,(ROW(B196))*3,0)</f>
        <v>32</v>
      </c>
      <c r="C195" t="str">
        <f ca="1">OFFSET(Sheet2!D$3,(ROW(C196))*3,0)</f>
        <v>South</v>
      </c>
      <c r="D195" t="str">
        <f ca="1">OFFSET(Sheet2!F$3,(ROW(D196))*3,0)</f>
        <v>LUBEGA YUSUF</v>
      </c>
      <c r="E195" t="str">
        <f ca="1">OFFSET(Sheet2!G$3,(ROW(E196))*3,0)</f>
        <v>CONTROL</v>
      </c>
      <c r="F195">
        <f ca="1">OFFSET(Sheet2!H$3,(ROW(F196))*3,0)</f>
        <v>0</v>
      </c>
      <c r="G195" t="str">
        <f ca="1">OFFSET(Sheet2!I$3,(ROW(G196))*3,0)</f>
        <v>WEEKLY</v>
      </c>
      <c r="H195">
        <f ca="1">OFFSET(Sheet2!J$3,(ROW(H196))*3,0)</f>
        <v>0</v>
      </c>
      <c r="I195" t="str">
        <f ca="1">OFFSET(Sheet2!K$3,(ROW(I196))*3,0)</f>
        <v>Recommendation</v>
      </c>
      <c r="J195" t="str">
        <f ca="1">OFFSET(Sheet2!L$3,(ROW(J196))*3,0)</f>
        <v>Needs to be changed</v>
      </c>
      <c r="K195" t="str">
        <f ca="1">OFFSET(Sheet2!M$3,(ROW(K196))*3,0)</f>
        <v>No service needed, looks good, maintain</v>
      </c>
      <c r="L195" t="str">
        <f ca="1">OFFSET(Sheet2!N$3,(ROW(L196))*3,0)</f>
        <v>No adjustment needed, looks good, maintain</v>
      </c>
      <c r="M195" t="str">
        <f ca="1">OFFSET(Sheet2!O$3,(ROW(M196))*3,0)</f>
        <v>No service needed, looks good, maintain</v>
      </c>
      <c r="N195" t="str">
        <f ca="1">OFFSET(Sheet2!P$3,(ROW(N196))*3,0)</f>
        <v>No service needed, looks good, maintain</v>
      </c>
      <c r="O195" t="str">
        <f ca="1">OFFSET(Sheet2!Q$3,(ROW(O196))*3,0)</f>
        <v>No service needed, looks good, maintain</v>
      </c>
      <c r="P195">
        <f ca="1">OFFSET(Sheet2!R$3,(ROW(P196))*3,0)</f>
        <v>0</v>
      </c>
      <c r="Q195">
        <f ca="1">OFFSET(Sheet2!S$3,(ROW(Q196))*3,0)</f>
        <v>0</v>
      </c>
      <c r="R195">
        <f ca="1">OFFSET(Sheet2!T$3,(ROW(R196))*3,0)</f>
        <v>0</v>
      </c>
      <c r="S195">
        <f ca="1">OFFSET(Sheet2!U$2,(ROW(S196))*3,0)</f>
        <v>0</v>
      </c>
      <c r="T195">
        <f ca="1">OFFSET(Sheet2!V$2,(ROW(T196))*3,0)</f>
        <v>0</v>
      </c>
    </row>
    <row r="196" spans="1:20" x14ac:dyDescent="0.35">
      <c r="A196">
        <f ca="1">OFFSET(Sheet2!B$3,(ROW(A197))*3,0)</f>
        <v>43848</v>
      </c>
      <c r="B196">
        <f ca="1">OFFSET(Sheet2!C$3,(ROW(B197))*3,0)</f>
        <v>33</v>
      </c>
      <c r="C196" t="str">
        <f ca="1">OFFSET(Sheet2!D$3,(ROW(C197))*3,0)</f>
        <v>South</v>
      </c>
      <c r="D196" t="str">
        <f ca="1">OFFSET(Sheet2!F$3,(ROW(D197))*3,0)</f>
        <v>WETONYI TOM</v>
      </c>
      <c r="E196" t="str">
        <f ca="1">OFFSET(Sheet2!G$3,(ROW(E197))*3,0)</f>
        <v>H2Go</v>
      </c>
      <c r="F196">
        <f ca="1">OFFSET(Sheet2!H$3,(ROW(F197))*3,0)</f>
        <v>0</v>
      </c>
      <c r="G196" t="str">
        <f ca="1">OFFSET(Sheet2!I$3,(ROW(G197))*3,0)</f>
        <v>Comprehensive</v>
      </c>
      <c r="H196">
        <f ca="1">OFFSET(Sheet2!J$3,(ROW(H197))*3,0)</f>
        <v>39</v>
      </c>
      <c r="I196" t="str">
        <f ca="1">OFFSET(Sheet2!K$3,(ROW(I197))*3,0)</f>
        <v>Recommendation</v>
      </c>
      <c r="J196" t="str">
        <f ca="1">OFFSET(Sheet2!L$3,(ROW(J197))*3,0)</f>
        <v>change weekly</v>
      </c>
      <c r="K196" t="str">
        <f ca="1">OFFSET(Sheet2!M$3,(ROW(K197))*3,0)</f>
        <v>service needed atleast once in a week</v>
      </c>
      <c r="L196" t="str">
        <f ca="1">OFFSET(Sheet2!N$3,(ROW(L197))*3,0)</f>
        <v>good</v>
      </c>
      <c r="M196" t="str">
        <f ca="1">OFFSET(Sheet2!O$3,(ROW(M197))*3,0)</f>
        <v>good</v>
      </c>
      <c r="N196" t="str">
        <f ca="1">OFFSET(Sheet2!P$3,(ROW(N197))*3,0)</f>
        <v>good</v>
      </c>
      <c r="O196" t="str">
        <f ca="1">OFFSET(Sheet2!Q$3,(ROW(O197))*3,0)</f>
        <v>good</v>
      </c>
      <c r="P196" t="str">
        <f ca="1">OFFSET(Sheet2!R$3,(ROW(P197))*3,0)</f>
        <v>good</v>
      </c>
      <c r="Q196" t="str">
        <f ca="1">OFFSET(Sheet2!S$3,(ROW(Q197))*3,0)</f>
        <v>good</v>
      </c>
      <c r="R196" t="str">
        <f ca="1">OFFSET(Sheet2!T$3,(ROW(R197))*3,0)</f>
        <v>good</v>
      </c>
      <c r="S196">
        <f ca="1">OFFSET(Sheet2!U$2,(ROW(S197))*3,0)</f>
        <v>0</v>
      </c>
      <c r="T196">
        <f ca="1">OFFSET(Sheet2!V$2,(ROW(T197))*3,0)</f>
        <v>0</v>
      </c>
    </row>
    <row r="197" spans="1:20" x14ac:dyDescent="0.35">
      <c r="A197">
        <f ca="1">OFFSET(Sheet2!B$3,(ROW(A198))*3,0)</f>
        <v>43855</v>
      </c>
      <c r="B197">
        <f ca="1">OFFSET(Sheet2!C$3,(ROW(B198))*3,0)</f>
        <v>33</v>
      </c>
      <c r="C197" t="str">
        <f ca="1">OFFSET(Sheet2!D$3,(ROW(C198))*3,0)</f>
        <v>South</v>
      </c>
      <c r="D197" t="str">
        <f ca="1">OFFSET(Sheet2!F$3,(ROW(D198))*3,0)</f>
        <v>WETONYI TOM</v>
      </c>
      <c r="E197" t="str">
        <f ca="1">OFFSET(Sheet2!G$3,(ROW(E198))*3,0)</f>
        <v>H2Go</v>
      </c>
      <c r="F197">
        <f ca="1">OFFSET(Sheet2!H$3,(ROW(F198))*3,0)</f>
        <v>0</v>
      </c>
      <c r="G197" t="str">
        <f ca="1">OFFSET(Sheet2!I$3,(ROW(G198))*3,0)</f>
        <v>WEEKLY</v>
      </c>
      <c r="H197">
        <f ca="1">OFFSET(Sheet2!J$3,(ROW(H198))*3,0)</f>
        <v>85</v>
      </c>
      <c r="I197" t="str">
        <f ca="1">OFFSET(Sheet2!K$3,(ROW(I198))*3,0)</f>
        <v>Recommendation</v>
      </c>
      <c r="J197" t="str">
        <f ca="1">OFFSET(Sheet2!L$3,(ROW(J198))*3,0)</f>
        <v>change weekly</v>
      </c>
      <c r="K197" t="str">
        <f ca="1">OFFSET(Sheet2!M$3,(ROW(K198))*3,0)</f>
        <v>GOOD</v>
      </c>
      <c r="L197" t="str">
        <f ca="1">OFFSET(Sheet2!N$3,(ROW(L198))*3,0)</f>
        <v>ATLEAST ONCE IN A MONTH</v>
      </c>
      <c r="M197" t="str">
        <f ca="1">OFFSET(Sheet2!O$3,(ROW(M198))*3,0)</f>
        <v>GOOD</v>
      </c>
      <c r="N197" t="str">
        <f ca="1">OFFSET(Sheet2!P$3,(ROW(N198))*3,0)</f>
        <v>GOOD</v>
      </c>
      <c r="O197" t="str">
        <f ca="1">OFFSET(Sheet2!Q$3,(ROW(O198))*3,0)</f>
        <v>ATLEAST WEEKLY TO BE CHECKED</v>
      </c>
      <c r="P197">
        <f ca="1">OFFSET(Sheet2!R$3,(ROW(P198))*3,0)</f>
        <v>0</v>
      </c>
      <c r="Q197">
        <f ca="1">OFFSET(Sheet2!S$3,(ROW(Q198))*3,0)</f>
        <v>0</v>
      </c>
      <c r="R197">
        <f ca="1">OFFSET(Sheet2!T$3,(ROW(R198))*3,0)</f>
        <v>0</v>
      </c>
      <c r="S197">
        <f ca="1">OFFSET(Sheet2!U$2,(ROW(S198))*3,0)</f>
        <v>0</v>
      </c>
      <c r="T197">
        <f ca="1">OFFSET(Sheet2!V$2,(ROW(T198))*3,0)</f>
        <v>0</v>
      </c>
    </row>
    <row r="198" spans="1:20" x14ac:dyDescent="0.35">
      <c r="A198">
        <f ca="1">OFFSET(Sheet2!B$3,(ROW(A199))*3,0)</f>
        <v>43862</v>
      </c>
      <c r="B198">
        <f ca="1">OFFSET(Sheet2!C$3,(ROW(B199))*3,0)</f>
        <v>33</v>
      </c>
      <c r="C198" t="str">
        <f ca="1">OFFSET(Sheet2!D$3,(ROW(C199))*3,0)</f>
        <v>South</v>
      </c>
      <c r="D198" t="str">
        <f ca="1">OFFSET(Sheet2!F$3,(ROW(D199))*3,0)</f>
        <v>WETONYI TOM</v>
      </c>
      <c r="E198" t="str">
        <f ca="1">OFFSET(Sheet2!G$3,(ROW(E199))*3,0)</f>
        <v>H2GO</v>
      </c>
      <c r="F198">
        <f ca="1">OFFSET(Sheet2!H$3,(ROW(F199))*3,0)</f>
        <v>0</v>
      </c>
      <c r="G198" t="str">
        <f ca="1">OFFSET(Sheet2!I$3,(ROW(G199))*3,0)</f>
        <v>WEEKLY</v>
      </c>
      <c r="H198">
        <f ca="1">OFFSET(Sheet2!J$3,(ROW(H199))*3,0)</f>
        <v>71</v>
      </c>
      <c r="I198" t="str">
        <f ca="1">OFFSET(Sheet2!K$3,(ROW(I199))*3,0)</f>
        <v>Recommendation</v>
      </c>
      <c r="J198" t="str">
        <f ca="1">OFFSET(Sheet2!L$3,(ROW(J199))*3,0)</f>
        <v>change weekly</v>
      </c>
      <c r="K198" t="str">
        <f ca="1">OFFSET(Sheet2!M$3,(ROW(K199))*3,0)</f>
        <v>GOOD</v>
      </c>
      <c r="L198" t="str">
        <f ca="1">OFFSET(Sheet2!N$3,(ROW(L199))*3,0)</f>
        <v>ATLEAST ONCE IN A MONTH</v>
      </c>
      <c r="M198" t="str">
        <f ca="1">OFFSET(Sheet2!O$3,(ROW(M199))*3,0)</f>
        <v>GOOD</v>
      </c>
      <c r="N198" t="str">
        <f ca="1">OFFSET(Sheet2!P$3,(ROW(N199))*3,0)</f>
        <v>GOOD</v>
      </c>
      <c r="O198" t="str">
        <f ca="1">OFFSET(Sheet2!Q$3,(ROW(O199))*3,0)</f>
        <v>ATLEAST TO BE CHECKED WEEKLY</v>
      </c>
      <c r="P198">
        <f ca="1">OFFSET(Sheet2!R$3,(ROW(P199))*3,0)</f>
        <v>0</v>
      </c>
      <c r="Q198">
        <f ca="1">OFFSET(Sheet2!S$3,(ROW(Q199))*3,0)</f>
        <v>0</v>
      </c>
      <c r="R198">
        <f ca="1">OFFSET(Sheet2!T$3,(ROW(R199))*3,0)</f>
        <v>0</v>
      </c>
      <c r="S198">
        <f ca="1">OFFSET(Sheet2!U$2,(ROW(S199))*3,0)</f>
        <v>0</v>
      </c>
      <c r="T198">
        <f ca="1">OFFSET(Sheet2!V$2,(ROW(T199))*3,0)</f>
        <v>0</v>
      </c>
    </row>
    <row r="199" spans="1:20" x14ac:dyDescent="0.35">
      <c r="A199">
        <f ca="1">OFFSET(Sheet2!B$3,(ROW(A200))*3,0)</f>
        <v>43869</v>
      </c>
      <c r="B199">
        <f ca="1">OFFSET(Sheet2!C$3,(ROW(B200))*3,0)</f>
        <v>33</v>
      </c>
      <c r="C199" t="str">
        <f ca="1">OFFSET(Sheet2!D$3,(ROW(C200))*3,0)</f>
        <v>South</v>
      </c>
      <c r="D199" t="str">
        <f ca="1">OFFSET(Sheet2!F$3,(ROW(D200))*3,0)</f>
        <v>WETONYI TOM</v>
      </c>
      <c r="E199" t="str">
        <f ca="1">OFFSET(Sheet2!G$3,(ROW(E200))*3,0)</f>
        <v>H2Go</v>
      </c>
      <c r="F199">
        <f ca="1">OFFSET(Sheet2!H$3,(ROW(F200))*3,0)</f>
        <v>0</v>
      </c>
      <c r="G199" t="str">
        <f ca="1">OFFSET(Sheet2!I$3,(ROW(G200))*3,0)</f>
        <v>WEEKLY</v>
      </c>
      <c r="H199">
        <f ca="1">OFFSET(Sheet2!J$3,(ROW(H200))*3,0)</f>
        <v>198</v>
      </c>
      <c r="I199" t="str">
        <f ca="1">OFFSET(Sheet2!K$3,(ROW(I200))*3,0)</f>
        <v>Recommendation</v>
      </c>
      <c r="J199" t="str">
        <f ca="1">OFFSET(Sheet2!L$3,(ROW(J200))*3,0)</f>
        <v>change weekly</v>
      </c>
      <c r="K199" t="str">
        <f ca="1">OFFSET(Sheet2!M$3,(ROW(K200))*3,0)</f>
        <v>KEEP IT CHECKED</v>
      </c>
      <c r="L199" t="str">
        <f ca="1">OFFSET(Sheet2!N$3,(ROW(L200))*3,0)</f>
        <v>KEEP IT SET</v>
      </c>
      <c r="M199" t="str">
        <f ca="1">OFFSET(Sheet2!O$3,(ROW(M200))*3,0)</f>
        <v>check weekly</v>
      </c>
      <c r="N199" t="str">
        <f ca="1">OFFSET(Sheet2!P$3,(ROW(N200))*3,0)</f>
        <v>SERVICE WEEKLY</v>
      </c>
      <c r="O199" t="str">
        <f ca="1">OFFSET(Sheet2!Q$3,(ROW(O200))*3,0)</f>
        <v>KEEP IT MAINTAINED</v>
      </c>
      <c r="P199">
        <f ca="1">OFFSET(Sheet2!R$3,(ROW(P200))*3,0)</f>
        <v>0</v>
      </c>
      <c r="Q199">
        <f ca="1">OFFSET(Sheet2!S$3,(ROW(Q200))*3,0)</f>
        <v>0</v>
      </c>
      <c r="R199">
        <f ca="1">OFFSET(Sheet2!T$3,(ROW(R200))*3,0)</f>
        <v>0</v>
      </c>
      <c r="S199">
        <f ca="1">OFFSET(Sheet2!U$2,(ROW(S200))*3,0)</f>
        <v>0</v>
      </c>
      <c r="T199">
        <f ca="1">OFFSET(Sheet2!V$2,(ROW(T200))*3,0)</f>
        <v>0</v>
      </c>
    </row>
    <row r="200" spans="1:20" x14ac:dyDescent="0.35">
      <c r="A200">
        <f ca="1">OFFSET(Sheet2!B$3,(ROW(A201))*3,0)</f>
        <v>43885</v>
      </c>
      <c r="B200">
        <f ca="1">OFFSET(Sheet2!C$3,(ROW(B201))*3,0)</f>
        <v>33</v>
      </c>
      <c r="C200" t="str">
        <f ca="1">OFFSET(Sheet2!D$3,(ROW(C201))*3,0)</f>
        <v>South</v>
      </c>
      <c r="D200" t="str">
        <f ca="1">OFFSET(Sheet2!F$3,(ROW(D201))*3,0)</f>
        <v>WETONYI TOM</v>
      </c>
      <c r="E200" t="str">
        <f ca="1">OFFSET(Sheet2!G$3,(ROW(E201))*3,0)</f>
        <v>H2Go</v>
      </c>
      <c r="F200">
        <f ca="1">OFFSET(Sheet2!H$3,(ROW(F201))*3,0)</f>
        <v>0</v>
      </c>
      <c r="G200" t="str">
        <f ca="1">OFFSET(Sheet2!I$3,(ROW(G201))*3,0)</f>
        <v>WEEKLY</v>
      </c>
      <c r="H200">
        <f ca="1">OFFSET(Sheet2!J$3,(ROW(H201))*3,0)</f>
        <v>133</v>
      </c>
      <c r="I200" t="str">
        <f ca="1">OFFSET(Sheet2!K$3,(ROW(I201))*3,0)</f>
        <v>Recommendation</v>
      </c>
      <c r="J200" t="str">
        <f ca="1">OFFSET(Sheet2!L$3,(ROW(J201))*3,0)</f>
        <v>Needs to be changed</v>
      </c>
      <c r="K200" t="str">
        <f ca="1">OFFSET(Sheet2!M$3,(ROW(K201))*3,0)</f>
        <v>No service needed, looks good, maintain</v>
      </c>
      <c r="L200" t="str">
        <f ca="1">OFFSET(Sheet2!N$3,(ROW(L201))*3,0)</f>
        <v>Needs adjustment</v>
      </c>
      <c r="M200" t="str">
        <f ca="1">OFFSET(Sheet2!O$3,(ROW(M201))*3,0)</f>
        <v>No service needed, looks good, maintain</v>
      </c>
      <c r="N200" t="str">
        <f ca="1">OFFSET(Sheet2!P$3,(ROW(N201))*3,0)</f>
        <v>Monitor closely, will need to be changed soon</v>
      </c>
      <c r="O200" t="str">
        <f ca="1">OFFSET(Sheet2!Q$3,(ROW(O201))*3,0)</f>
        <v>No service needed, looks good, maintain</v>
      </c>
      <c r="P200">
        <f ca="1">OFFSET(Sheet2!R$3,(ROW(P201))*3,0)</f>
        <v>0</v>
      </c>
      <c r="Q200">
        <f ca="1">OFFSET(Sheet2!S$3,(ROW(Q201))*3,0)</f>
        <v>0</v>
      </c>
      <c r="R200">
        <f ca="1">OFFSET(Sheet2!T$3,(ROW(R201))*3,0)</f>
        <v>0</v>
      </c>
      <c r="S200">
        <f ca="1">OFFSET(Sheet2!U$2,(ROW(S201))*3,0)</f>
        <v>0</v>
      </c>
      <c r="T200">
        <f ca="1">OFFSET(Sheet2!V$2,(ROW(T201))*3,0)</f>
        <v>0</v>
      </c>
    </row>
    <row r="201" spans="1:20" x14ac:dyDescent="0.35">
      <c r="A201">
        <f ca="1">OFFSET(Sheet2!B$3,(ROW(A202))*3,0)</f>
        <v>43876</v>
      </c>
      <c r="B201">
        <f ca="1">OFFSET(Sheet2!C$3,(ROW(B202))*3,0)</f>
        <v>33</v>
      </c>
      <c r="C201" t="str">
        <f ca="1">OFFSET(Sheet2!D$3,(ROW(C202))*3,0)</f>
        <v>South</v>
      </c>
      <c r="D201" t="str">
        <f ca="1">OFFSET(Sheet2!F$3,(ROW(D202))*3,0)</f>
        <v>WETONYI TOM</v>
      </c>
      <c r="E201" t="str">
        <f ca="1">OFFSET(Sheet2!G$3,(ROW(E202))*3,0)</f>
        <v>H2GO</v>
      </c>
      <c r="F201">
        <f ca="1">OFFSET(Sheet2!H$3,(ROW(F202))*3,0)</f>
        <v>0</v>
      </c>
      <c r="G201" t="str">
        <f ca="1">OFFSET(Sheet2!I$3,(ROW(G202))*3,0)</f>
        <v>WEEKLY</v>
      </c>
      <c r="H201">
        <f ca="1">OFFSET(Sheet2!J$3,(ROW(H202))*3,0)</f>
        <v>153</v>
      </c>
      <c r="I201" t="str">
        <f ca="1">OFFSET(Sheet2!K$3,(ROW(I202))*3,0)</f>
        <v>Recommendation</v>
      </c>
      <c r="J201" t="str">
        <f ca="1">OFFSET(Sheet2!L$3,(ROW(J202))*3,0)</f>
        <v>NEEDS CHANGING</v>
      </c>
      <c r="K201" t="str">
        <f ca="1">OFFSET(Sheet2!M$3,(ROW(K202))*3,0)</f>
        <v>KEEP IT UP</v>
      </c>
      <c r="L201" t="str">
        <f ca="1">OFFSET(Sheet2!N$3,(ROW(L202))*3,0)</f>
        <v>NEED ADJUSTING</v>
      </c>
      <c r="M201" t="str">
        <f ca="1">OFFSET(Sheet2!O$3,(ROW(M202))*3,0)</f>
        <v>NOTHING TO DO</v>
      </c>
      <c r="N201" t="str">
        <f ca="1">OFFSET(Sheet2!P$3,(ROW(N202))*3,0)</f>
        <v>DOES NOT NEED CHANGING</v>
      </c>
      <c r="O201" t="str">
        <f ca="1">OFFSET(Sheet2!Q$3,(ROW(O202))*3,0)</f>
        <v>NO SERVICE NEEDED</v>
      </c>
      <c r="P201">
        <f ca="1">OFFSET(Sheet2!R$3,(ROW(P202))*3,0)</f>
        <v>0</v>
      </c>
      <c r="Q201">
        <f ca="1">OFFSET(Sheet2!S$3,(ROW(Q202))*3,0)</f>
        <v>0</v>
      </c>
      <c r="R201">
        <f ca="1">OFFSET(Sheet2!T$3,(ROW(R202))*3,0)</f>
        <v>0</v>
      </c>
      <c r="S201">
        <f ca="1">OFFSET(Sheet2!U$2,(ROW(S202))*3,0)</f>
        <v>0</v>
      </c>
      <c r="T201">
        <f ca="1">OFFSET(Sheet2!V$2,(ROW(T202))*3,0)</f>
        <v>0</v>
      </c>
    </row>
    <row r="202" spans="1:20" x14ac:dyDescent="0.35">
      <c r="A202">
        <f ca="1">OFFSET(Sheet2!B$3,(ROW(A203))*3,0)</f>
        <v>43892</v>
      </c>
      <c r="B202">
        <f ca="1">OFFSET(Sheet2!C$3,(ROW(B203))*3,0)</f>
        <v>33</v>
      </c>
      <c r="C202" t="str">
        <f ca="1">OFFSET(Sheet2!D$3,(ROW(C203))*3,0)</f>
        <v>South</v>
      </c>
      <c r="D202" t="str">
        <f ca="1">OFFSET(Sheet2!F$3,(ROW(D203))*3,0)</f>
        <v>WETONYI TOM</v>
      </c>
      <c r="E202" t="str">
        <f ca="1">OFFSET(Sheet2!G$3,(ROW(E203))*3,0)</f>
        <v>H2GO</v>
      </c>
      <c r="F202">
        <f ca="1">OFFSET(Sheet2!H$3,(ROW(F203))*3,0)</f>
        <v>0</v>
      </c>
      <c r="G202" t="str">
        <f ca="1">OFFSET(Sheet2!I$3,(ROW(G203))*3,0)</f>
        <v>WEEKLY</v>
      </c>
      <c r="H202">
        <f ca="1">OFFSET(Sheet2!J$3,(ROW(H203))*3,0)</f>
        <v>135</v>
      </c>
      <c r="I202" t="str">
        <f ca="1">OFFSET(Sheet2!K$3,(ROW(I203))*3,0)</f>
        <v>Recommendation</v>
      </c>
      <c r="J202" t="str">
        <f ca="1">OFFSET(Sheet2!L$3,(ROW(J203))*3,0)</f>
        <v>Needs to be changed</v>
      </c>
      <c r="K202" t="str">
        <f ca="1">OFFSET(Sheet2!M$3,(ROW(K203))*3,0)</f>
        <v>Needs to be cleaned</v>
      </c>
      <c r="L202" t="str">
        <f ca="1">OFFSET(Sheet2!N$3,(ROW(L203))*3,0)</f>
        <v>Needs adjustment</v>
      </c>
      <c r="M202" t="str">
        <f ca="1">OFFSET(Sheet2!O$3,(ROW(M203))*3,0)</f>
        <v>Needs to be cleaned</v>
      </c>
      <c r="N202" t="str">
        <f ca="1">OFFSET(Sheet2!P$3,(ROW(N203))*3,0)</f>
        <v>No service needed, looks good, maintain</v>
      </c>
      <c r="O202" t="str">
        <f ca="1">OFFSET(Sheet2!Q$3,(ROW(O203))*3,0)</f>
        <v xml:space="preserve">Replace Nut </v>
      </c>
      <c r="P202">
        <f ca="1">OFFSET(Sheet2!R$3,(ROW(P203))*3,0)</f>
        <v>0</v>
      </c>
      <c r="Q202">
        <f ca="1">OFFSET(Sheet2!S$3,(ROW(Q203))*3,0)</f>
        <v>0</v>
      </c>
      <c r="R202">
        <f ca="1">OFFSET(Sheet2!T$3,(ROW(R203))*3,0)</f>
        <v>0</v>
      </c>
      <c r="S202">
        <f ca="1">OFFSET(Sheet2!U$2,(ROW(S203))*3,0)</f>
        <v>0</v>
      </c>
      <c r="T202">
        <f ca="1">OFFSET(Sheet2!V$2,(ROW(T203))*3,0)</f>
        <v>0</v>
      </c>
    </row>
    <row r="203" spans="1:20" x14ac:dyDescent="0.35">
      <c r="A203">
        <f ca="1">OFFSET(Sheet2!B$3,(ROW(A204))*3,0)</f>
        <v>43899</v>
      </c>
      <c r="B203">
        <f ca="1">OFFSET(Sheet2!C$3,(ROW(B204))*3,0)</f>
        <v>33</v>
      </c>
      <c r="C203" t="str">
        <f ca="1">OFFSET(Sheet2!D$3,(ROW(C204))*3,0)</f>
        <v>South</v>
      </c>
      <c r="D203" t="str">
        <f ca="1">OFFSET(Sheet2!F$3,(ROW(D204))*3,0)</f>
        <v>WETONYI TOM</v>
      </c>
      <c r="E203" t="str">
        <f ca="1">OFFSET(Sheet2!G$3,(ROW(E204))*3,0)</f>
        <v>H2GO</v>
      </c>
      <c r="F203">
        <f ca="1">OFFSET(Sheet2!H$3,(ROW(F204))*3,0)</f>
        <v>0</v>
      </c>
      <c r="G203" t="str">
        <f ca="1">OFFSET(Sheet2!I$3,(ROW(G204))*3,0)</f>
        <v>WEEKLY</v>
      </c>
      <c r="H203">
        <f ca="1">OFFSET(Sheet2!J$3,(ROW(H204))*3,0)</f>
        <v>156</v>
      </c>
      <c r="I203" t="str">
        <f ca="1">OFFSET(Sheet2!K$3,(ROW(I204))*3,0)</f>
        <v>Recommendation</v>
      </c>
      <c r="J203" t="str">
        <f ca="1">OFFSET(Sheet2!L$3,(ROW(J204))*3,0)</f>
        <v>Needs to be changed</v>
      </c>
      <c r="K203" t="str">
        <f ca="1">OFFSET(Sheet2!M$3,(ROW(K204))*3,0)</f>
        <v>No service needed, looks good, maintain</v>
      </c>
      <c r="L203" t="str">
        <f ca="1">OFFSET(Sheet2!N$3,(ROW(L204))*3,0)</f>
        <v>No adjustment needed, looks good, maintain</v>
      </c>
      <c r="M203" t="str">
        <f ca="1">OFFSET(Sheet2!O$3,(ROW(M204))*3,0)</f>
        <v>No service needed, looks good, maintain</v>
      </c>
      <c r="N203" t="str">
        <f ca="1">OFFSET(Sheet2!P$3,(ROW(N204))*3,0)</f>
        <v>No service needed, looks good, maintain</v>
      </c>
      <c r="O203" t="str">
        <f ca="1">OFFSET(Sheet2!Q$3,(ROW(O204))*3,0)</f>
        <v>No service needed, looks good, maintain</v>
      </c>
      <c r="P203">
        <f ca="1">OFFSET(Sheet2!R$3,(ROW(P204))*3,0)</f>
        <v>0</v>
      </c>
      <c r="Q203">
        <f ca="1">OFFSET(Sheet2!S$3,(ROW(Q204))*3,0)</f>
        <v>0</v>
      </c>
      <c r="R203">
        <f ca="1">OFFSET(Sheet2!T$3,(ROW(R204))*3,0)</f>
        <v>0</v>
      </c>
      <c r="S203">
        <f ca="1">OFFSET(Sheet2!U$2,(ROW(S204))*3,0)</f>
        <v>0</v>
      </c>
      <c r="T203">
        <f ca="1">OFFSET(Sheet2!V$2,(ROW(T204))*3,0)</f>
        <v>0</v>
      </c>
    </row>
    <row r="204" spans="1:20" x14ac:dyDescent="0.35">
      <c r="A204">
        <f ca="1">OFFSET(Sheet2!B$3,(ROW(A205))*3,0)</f>
        <v>43848</v>
      </c>
      <c r="B204">
        <f ca="1">OFFSET(Sheet2!C$3,(ROW(B205))*3,0)</f>
        <v>34</v>
      </c>
      <c r="C204" t="str">
        <f ca="1">OFFSET(Sheet2!D$3,(ROW(C205))*3,0)</f>
        <v>South</v>
      </c>
      <c r="D204" t="str">
        <f ca="1">OFFSET(Sheet2!F$3,(ROW(D205))*3,0)</f>
        <v>WAMIMBI RONALD</v>
      </c>
      <c r="E204" t="str">
        <f ca="1">OFFSET(Sheet2!G$3,(ROW(E205))*3,0)</f>
        <v>H2Go</v>
      </c>
      <c r="F204">
        <f ca="1">OFFSET(Sheet2!H$3,(ROW(F205))*3,0)</f>
        <v>0</v>
      </c>
      <c r="G204" t="str">
        <f ca="1">OFFSET(Sheet2!I$3,(ROW(G205))*3,0)</f>
        <v>Comprehensive</v>
      </c>
      <c r="H204">
        <f ca="1">OFFSET(Sheet2!J$3,(ROW(H205))*3,0)</f>
        <v>35</v>
      </c>
      <c r="I204" t="str">
        <f ca="1">OFFSET(Sheet2!K$3,(ROW(I205))*3,0)</f>
        <v>Recommendation</v>
      </c>
      <c r="J204" t="str">
        <f ca="1">OFFSET(Sheet2!L$3,(ROW(J205))*3,0)</f>
        <v>needs to be changed weekly</v>
      </c>
      <c r="K204" t="str">
        <f ca="1">OFFSET(Sheet2!M$3,(ROW(K205))*3,0)</f>
        <v>good</v>
      </c>
      <c r="L204" t="str">
        <f ca="1">OFFSET(Sheet2!N$3,(ROW(L205))*3,0)</f>
        <v>every week</v>
      </c>
      <c r="M204" t="str">
        <f ca="1">OFFSET(Sheet2!O$3,(ROW(M205))*3,0)</f>
        <v>good</v>
      </c>
      <c r="N204" t="str">
        <f ca="1">OFFSET(Sheet2!P$3,(ROW(N205))*3,0)</f>
        <v>good</v>
      </c>
      <c r="O204" t="str">
        <f ca="1">OFFSET(Sheet2!Q$3,(ROW(O205))*3,0)</f>
        <v>check weekly</v>
      </c>
      <c r="P204" t="str">
        <f ca="1">OFFSET(Sheet2!R$3,(ROW(P205))*3,0)</f>
        <v>it should be done soon</v>
      </c>
      <c r="Q204" t="str">
        <f ca="1">OFFSET(Sheet2!S$3,(ROW(Q205))*3,0)</f>
        <v>it should be replaced very soon</v>
      </c>
      <c r="R204" t="str">
        <f ca="1">OFFSET(Sheet2!T$3,(ROW(R205))*3,0)</f>
        <v>good</v>
      </c>
      <c r="S204">
        <f ca="1">OFFSET(Sheet2!U$2,(ROW(S205))*3,0)</f>
        <v>0</v>
      </c>
      <c r="T204">
        <f ca="1">OFFSET(Sheet2!V$2,(ROW(T205))*3,0)</f>
        <v>0</v>
      </c>
    </row>
    <row r="205" spans="1:20" x14ac:dyDescent="0.35">
      <c r="A205">
        <f ca="1">OFFSET(Sheet2!B$3,(ROW(A206))*3,0)</f>
        <v>43855</v>
      </c>
      <c r="B205">
        <f ca="1">OFFSET(Sheet2!C$3,(ROW(B206))*3,0)</f>
        <v>34</v>
      </c>
      <c r="C205" t="str">
        <f ca="1">OFFSET(Sheet2!D$3,(ROW(C206))*3,0)</f>
        <v>South</v>
      </c>
      <c r="D205" t="str">
        <f ca="1">OFFSET(Sheet2!F$3,(ROW(D206))*3,0)</f>
        <v>WAMIMBI RONALD</v>
      </c>
      <c r="E205" t="str">
        <f ca="1">OFFSET(Sheet2!G$3,(ROW(E206))*3,0)</f>
        <v>H2Go</v>
      </c>
      <c r="F205">
        <f ca="1">OFFSET(Sheet2!H$3,(ROW(F206))*3,0)</f>
        <v>0</v>
      </c>
      <c r="G205" t="str">
        <f ca="1">OFFSET(Sheet2!I$3,(ROW(G206))*3,0)</f>
        <v>WEEKLY</v>
      </c>
      <c r="H205">
        <f ca="1">OFFSET(Sheet2!J$3,(ROW(H206))*3,0)</f>
        <v>78</v>
      </c>
      <c r="I205" t="str">
        <f ca="1">OFFSET(Sheet2!K$3,(ROW(I206))*3,0)</f>
        <v>Recommendation</v>
      </c>
      <c r="J205" t="str">
        <f ca="1">OFFSET(Sheet2!L$3,(ROW(J206))*3,0)</f>
        <v>Need piston kit and to be changed weekly</v>
      </c>
      <c r="K205" t="str">
        <f ca="1">OFFSET(Sheet2!M$3,(ROW(K206))*3,0)</f>
        <v>good</v>
      </c>
      <c r="L205" t="str">
        <f ca="1">OFFSET(Sheet2!N$3,(ROW(L206))*3,0)</f>
        <v>good</v>
      </c>
      <c r="M205" t="str">
        <f ca="1">OFFSET(Sheet2!O$3,(ROW(M206))*3,0)</f>
        <v>good</v>
      </c>
      <c r="N205" t="str">
        <f ca="1">OFFSET(Sheet2!P$3,(ROW(N206))*3,0)</f>
        <v>good</v>
      </c>
      <c r="O205" t="str">
        <f ca="1">OFFSET(Sheet2!Q$3,(ROW(O206))*3,0)</f>
        <v>to be checked atleast once in a week</v>
      </c>
      <c r="P205">
        <f ca="1">OFFSET(Sheet2!R$3,(ROW(P206))*3,0)</f>
        <v>0</v>
      </c>
      <c r="Q205">
        <f ca="1">OFFSET(Sheet2!S$3,(ROW(Q206))*3,0)</f>
        <v>0</v>
      </c>
      <c r="R205">
        <f ca="1">OFFSET(Sheet2!T$3,(ROW(R206))*3,0)</f>
        <v>0</v>
      </c>
      <c r="S205">
        <f ca="1">OFFSET(Sheet2!U$2,(ROW(S206))*3,0)</f>
        <v>0</v>
      </c>
      <c r="T205">
        <f ca="1">OFFSET(Sheet2!V$2,(ROW(T206))*3,0)</f>
        <v>0</v>
      </c>
    </row>
    <row r="206" spans="1:20" x14ac:dyDescent="0.35">
      <c r="A206">
        <f ca="1">OFFSET(Sheet2!B$3,(ROW(A207))*3,0)</f>
        <v>43862</v>
      </c>
      <c r="B206">
        <f ca="1">OFFSET(Sheet2!C$3,(ROW(B207))*3,0)</f>
        <v>34</v>
      </c>
      <c r="C206" t="str">
        <f ca="1">OFFSET(Sheet2!D$3,(ROW(C207))*3,0)</f>
        <v>South</v>
      </c>
      <c r="D206" t="str">
        <f ca="1">OFFSET(Sheet2!F$3,(ROW(D207))*3,0)</f>
        <v>WAMIMBI RONALD</v>
      </c>
      <c r="E206" t="str">
        <f ca="1">OFFSET(Sheet2!G$3,(ROW(E207))*3,0)</f>
        <v>H2GO</v>
      </c>
      <c r="F206">
        <f ca="1">OFFSET(Sheet2!H$3,(ROW(F207))*3,0)</f>
        <v>0</v>
      </c>
      <c r="G206" t="str">
        <f ca="1">OFFSET(Sheet2!I$3,(ROW(G207))*3,0)</f>
        <v>WEEKLY</v>
      </c>
      <c r="H206">
        <f ca="1">OFFSET(Sheet2!J$3,(ROW(H207))*3,0)</f>
        <v>84</v>
      </c>
      <c r="I206" t="str">
        <f ca="1">OFFSET(Sheet2!K$3,(ROW(I207))*3,0)</f>
        <v>Recommendation</v>
      </c>
      <c r="J206" t="str">
        <f ca="1">OFFSET(Sheet2!L$3,(ROW(J207))*3,0)</f>
        <v>change weekly</v>
      </c>
      <c r="K206" t="str">
        <f ca="1">OFFSET(Sheet2!M$3,(ROW(K207))*3,0)</f>
        <v>GOOD</v>
      </c>
      <c r="L206" t="str">
        <f ca="1">OFFSET(Sheet2!N$3,(ROW(L207))*3,0)</f>
        <v>GOOD</v>
      </c>
      <c r="M206" t="str">
        <f ca="1">OFFSET(Sheet2!O$3,(ROW(M207))*3,0)</f>
        <v>GOOD</v>
      </c>
      <c r="N206" t="str">
        <f ca="1">OFFSET(Sheet2!P$3,(ROW(N207))*3,0)</f>
        <v>GOOD</v>
      </c>
      <c r="O206" t="str">
        <f ca="1">OFFSET(Sheet2!Q$3,(ROW(O207))*3,0)</f>
        <v>TO BE CHECKED WEEKLY</v>
      </c>
      <c r="P206">
        <f ca="1">OFFSET(Sheet2!R$3,(ROW(P207))*3,0)</f>
        <v>0</v>
      </c>
      <c r="Q206">
        <f ca="1">OFFSET(Sheet2!S$3,(ROW(Q207))*3,0)</f>
        <v>0</v>
      </c>
      <c r="R206">
        <f ca="1">OFFSET(Sheet2!T$3,(ROW(R207))*3,0)</f>
        <v>0</v>
      </c>
      <c r="S206">
        <f ca="1">OFFSET(Sheet2!U$2,(ROW(S207))*3,0)</f>
        <v>0</v>
      </c>
      <c r="T206">
        <f ca="1">OFFSET(Sheet2!V$2,(ROW(T207))*3,0)</f>
        <v>0</v>
      </c>
    </row>
    <row r="207" spans="1:20" x14ac:dyDescent="0.35">
      <c r="A207">
        <f ca="1">OFFSET(Sheet2!B$3,(ROW(A208))*3,0)</f>
        <v>43876</v>
      </c>
      <c r="B207">
        <f ca="1">OFFSET(Sheet2!C$3,(ROW(B208))*3,0)</f>
        <v>34</v>
      </c>
      <c r="C207" t="str">
        <f ca="1">OFFSET(Sheet2!D$3,(ROW(C208))*3,0)</f>
        <v>South</v>
      </c>
      <c r="D207" t="str">
        <f ca="1">OFFSET(Sheet2!F$3,(ROW(D208))*3,0)</f>
        <v>WAMIMBI RONALD</v>
      </c>
      <c r="E207" t="str">
        <f ca="1">OFFSET(Sheet2!G$3,(ROW(E208))*3,0)</f>
        <v>H2Go</v>
      </c>
      <c r="F207">
        <f ca="1">OFFSET(Sheet2!H$3,(ROW(F208))*3,0)</f>
        <v>0</v>
      </c>
      <c r="G207" t="str">
        <f ca="1">OFFSET(Sheet2!I$3,(ROW(G208))*3,0)</f>
        <v>WEEKLY</v>
      </c>
      <c r="H207">
        <f ca="1">OFFSET(Sheet2!J$3,(ROW(H208))*3,0)</f>
        <v>122</v>
      </c>
      <c r="I207" t="str">
        <f ca="1">OFFSET(Sheet2!K$3,(ROW(I208))*3,0)</f>
        <v>Recommendation</v>
      </c>
      <c r="J207" t="str">
        <f ca="1">OFFSET(Sheet2!L$3,(ROW(J208))*3,0)</f>
        <v>TO BE CHANGED &amp; CHECK IN A WEEK</v>
      </c>
      <c r="K207" t="str">
        <f ca="1">OFFSET(Sheet2!M$3,(ROW(K208))*3,0)</f>
        <v>MAINTAIN</v>
      </c>
      <c r="L207" t="str">
        <f ca="1">OFFSET(Sheet2!N$3,(ROW(L208))*3,0)</f>
        <v>MAINTAIN</v>
      </c>
      <c r="M207" t="str">
        <f ca="1">OFFSET(Sheet2!O$3,(ROW(M208))*3,0)</f>
        <v>KEEP IT CHECKED</v>
      </c>
      <c r="N207" t="str">
        <f ca="1">OFFSET(Sheet2!P$3,(ROW(N208))*3,0)</f>
        <v>Keep it clean</v>
      </c>
      <c r="O207" t="str">
        <f ca="1">OFFSET(Sheet2!Q$3,(ROW(O208))*3,0)</f>
        <v>KEEP IT MAINTAINED</v>
      </c>
      <c r="P207">
        <f ca="1">OFFSET(Sheet2!R$3,(ROW(P208))*3,0)</f>
        <v>0</v>
      </c>
      <c r="Q207">
        <f ca="1">OFFSET(Sheet2!S$3,(ROW(Q208))*3,0)</f>
        <v>0</v>
      </c>
      <c r="R207">
        <f ca="1">OFFSET(Sheet2!T$3,(ROW(R208))*3,0)</f>
        <v>0</v>
      </c>
      <c r="S207">
        <f ca="1">OFFSET(Sheet2!U$2,(ROW(S208))*3,0)</f>
        <v>0</v>
      </c>
      <c r="T207">
        <f ca="1">OFFSET(Sheet2!V$2,(ROW(T208))*3,0)</f>
        <v>0</v>
      </c>
    </row>
    <row r="208" spans="1:20" x14ac:dyDescent="0.35">
      <c r="A208">
        <f ca="1">OFFSET(Sheet2!B$3,(ROW(A209))*3,0)</f>
        <v>43885</v>
      </c>
      <c r="B208">
        <f ca="1">OFFSET(Sheet2!C$3,(ROW(B209))*3,0)</f>
        <v>34</v>
      </c>
      <c r="C208" t="str">
        <f ca="1">OFFSET(Sheet2!D$3,(ROW(C209))*3,0)</f>
        <v>South</v>
      </c>
      <c r="D208" t="str">
        <f ca="1">OFFSET(Sheet2!F$3,(ROW(D209))*3,0)</f>
        <v>WAMIMBI RONALD</v>
      </c>
      <c r="E208" t="str">
        <f ca="1">OFFSET(Sheet2!G$3,(ROW(E209))*3,0)</f>
        <v>H2Go</v>
      </c>
      <c r="F208">
        <f ca="1">OFFSET(Sheet2!H$3,(ROW(F209))*3,0)</f>
        <v>0</v>
      </c>
      <c r="G208" t="str">
        <f ca="1">OFFSET(Sheet2!I$3,(ROW(G209))*3,0)</f>
        <v>WEEKLY</v>
      </c>
      <c r="H208">
        <f ca="1">OFFSET(Sheet2!J$3,(ROW(H209))*3,0)</f>
        <v>144</v>
      </c>
      <c r="I208" t="str">
        <f ca="1">OFFSET(Sheet2!K$3,(ROW(I209))*3,0)</f>
        <v>Recommendation</v>
      </c>
      <c r="J208" t="str">
        <f ca="1">OFFSET(Sheet2!L$3,(ROW(J209))*3,0)</f>
        <v>Needs to be changed</v>
      </c>
      <c r="K208" t="str">
        <f ca="1">OFFSET(Sheet2!M$3,(ROW(K209))*3,0)</f>
        <v>No service needed, looks good, maintain</v>
      </c>
      <c r="L208" t="str">
        <f ca="1">OFFSET(Sheet2!N$3,(ROW(L209))*3,0)</f>
        <v>No adjustment needed, looks good, maintain</v>
      </c>
      <c r="M208" t="str">
        <f ca="1">OFFSET(Sheet2!O$3,(ROW(M209))*3,0)</f>
        <v>No service needed, looks good, maintain</v>
      </c>
      <c r="N208" t="str">
        <f ca="1">OFFSET(Sheet2!P$3,(ROW(N209))*3,0)</f>
        <v>No service needed, looks good, maintain</v>
      </c>
      <c r="O208" t="str">
        <f ca="1">OFFSET(Sheet2!Q$3,(ROW(O209))*3,0)</f>
        <v>No service needed, looks good, maintain</v>
      </c>
      <c r="P208">
        <f ca="1">OFFSET(Sheet2!R$3,(ROW(P209))*3,0)</f>
        <v>0</v>
      </c>
      <c r="Q208">
        <f ca="1">OFFSET(Sheet2!S$3,(ROW(Q209))*3,0)</f>
        <v>0</v>
      </c>
      <c r="R208">
        <f ca="1">OFFSET(Sheet2!T$3,(ROW(R209))*3,0)</f>
        <v>0</v>
      </c>
      <c r="S208">
        <f ca="1">OFFSET(Sheet2!U$2,(ROW(S209))*3,0)</f>
        <v>0</v>
      </c>
      <c r="T208">
        <f ca="1">OFFSET(Sheet2!V$2,(ROW(T209))*3,0)</f>
        <v>0</v>
      </c>
    </row>
    <row r="209" spans="1:20" x14ac:dyDescent="0.35">
      <c r="A209">
        <f ca="1">OFFSET(Sheet2!B$3,(ROW(A210))*3,0)</f>
        <v>43869</v>
      </c>
      <c r="B209">
        <f ca="1">OFFSET(Sheet2!C$3,(ROW(B210))*3,0)</f>
        <v>34</v>
      </c>
      <c r="C209" t="str">
        <f ca="1">OFFSET(Sheet2!D$3,(ROW(C210))*3,0)</f>
        <v>South</v>
      </c>
      <c r="D209" t="str">
        <f ca="1">OFFSET(Sheet2!F$3,(ROW(D210))*3,0)</f>
        <v>WAMIMBI RONALD</v>
      </c>
      <c r="E209" t="str">
        <f ca="1">OFFSET(Sheet2!G$3,(ROW(E210))*3,0)</f>
        <v>H2GO</v>
      </c>
      <c r="F209">
        <f ca="1">OFFSET(Sheet2!H$3,(ROW(F210))*3,0)</f>
        <v>0</v>
      </c>
      <c r="G209" t="str">
        <f ca="1">OFFSET(Sheet2!I$3,(ROW(G210))*3,0)</f>
        <v>WEEKLY</v>
      </c>
      <c r="H209">
        <f ca="1">OFFSET(Sheet2!J$3,(ROW(H210))*3,0)</f>
        <v>111</v>
      </c>
      <c r="I209" t="str">
        <f ca="1">OFFSET(Sheet2!K$3,(ROW(I210))*3,0)</f>
        <v>Recommendation</v>
      </c>
      <c r="J209" t="str">
        <f ca="1">OFFSET(Sheet2!L$3,(ROW(J210))*3,0)</f>
        <v>NEEDS CHANGING</v>
      </c>
      <c r="K209" t="str">
        <f ca="1">OFFSET(Sheet2!M$3,(ROW(K210))*3,0)</f>
        <v>NO SERVICE NEED</v>
      </c>
      <c r="L209" t="str">
        <f ca="1">OFFSET(Sheet2!N$3,(ROW(L210))*3,0)</f>
        <v>MAINTAIN</v>
      </c>
      <c r="M209" t="str">
        <f ca="1">OFFSET(Sheet2!O$3,(ROW(M210))*3,0)</f>
        <v>NO SERVICE WANTED</v>
      </c>
      <c r="N209" t="str">
        <f ca="1">OFFSET(Sheet2!P$3,(ROW(N210))*3,0)</f>
        <v>KEEP IT UP</v>
      </c>
      <c r="O209" t="str">
        <f ca="1">OFFSET(Sheet2!Q$3,(ROW(O210))*3,0)</f>
        <v>NO SERVICE NEEDED</v>
      </c>
      <c r="P209">
        <f ca="1">OFFSET(Sheet2!R$3,(ROW(P210))*3,0)</f>
        <v>0</v>
      </c>
      <c r="Q209">
        <f ca="1">OFFSET(Sheet2!S$3,(ROW(Q210))*3,0)</f>
        <v>0</v>
      </c>
      <c r="R209">
        <f ca="1">OFFSET(Sheet2!T$3,(ROW(R210))*3,0)</f>
        <v>0</v>
      </c>
      <c r="S209">
        <f ca="1">OFFSET(Sheet2!U$2,(ROW(S210))*3,0)</f>
        <v>0</v>
      </c>
      <c r="T209">
        <f ca="1">OFFSET(Sheet2!V$2,(ROW(T210))*3,0)</f>
        <v>0</v>
      </c>
    </row>
    <row r="210" spans="1:20" x14ac:dyDescent="0.35">
      <c r="A210">
        <f ca="1">OFFSET(Sheet2!B$3,(ROW(A211))*3,0)</f>
        <v>43892</v>
      </c>
      <c r="B210">
        <f ca="1">OFFSET(Sheet2!C$3,(ROW(B211))*3,0)</f>
        <v>34</v>
      </c>
      <c r="C210" t="str">
        <f ca="1">OFFSET(Sheet2!D$3,(ROW(C211))*3,0)</f>
        <v>South</v>
      </c>
      <c r="D210" t="str">
        <f ca="1">OFFSET(Sheet2!F$3,(ROW(D211))*3,0)</f>
        <v>WAMIMBI RONALD</v>
      </c>
      <c r="E210" t="str">
        <f ca="1">OFFSET(Sheet2!G$3,(ROW(E211))*3,0)</f>
        <v>H2GO</v>
      </c>
      <c r="F210">
        <f ca="1">OFFSET(Sheet2!H$3,(ROW(F211))*3,0)</f>
        <v>0</v>
      </c>
      <c r="G210" t="str">
        <f ca="1">OFFSET(Sheet2!I$3,(ROW(G211))*3,0)</f>
        <v>WEEKLY</v>
      </c>
      <c r="H210">
        <f ca="1">OFFSET(Sheet2!J$3,(ROW(H211))*3,0)</f>
        <v>138</v>
      </c>
      <c r="I210" t="str">
        <f ca="1">OFFSET(Sheet2!K$3,(ROW(I211))*3,0)</f>
        <v>Recommendation</v>
      </c>
      <c r="J210" t="str">
        <f ca="1">OFFSET(Sheet2!L$3,(ROW(J211))*3,0)</f>
        <v>Needs to be changed</v>
      </c>
      <c r="K210" t="str">
        <f ca="1">OFFSET(Sheet2!M$3,(ROW(K211))*3,0)</f>
        <v>Needs to be cleaned</v>
      </c>
      <c r="L210" t="str">
        <f ca="1">OFFSET(Sheet2!N$3,(ROW(L211))*3,0)</f>
        <v>Needs adjustment</v>
      </c>
      <c r="M210" t="str">
        <f ca="1">OFFSET(Sheet2!O$3,(ROW(M211))*3,0)</f>
        <v>No service needed, looks good, maintain</v>
      </c>
      <c r="N210" t="str">
        <f ca="1">OFFSET(Sheet2!P$3,(ROW(N211))*3,0)</f>
        <v>No service needed, looks good, maintain</v>
      </c>
      <c r="O210" t="str">
        <f ca="1">OFFSET(Sheet2!Q$3,(ROW(O211))*3,0)</f>
        <v>No service needed, looks good, maintain</v>
      </c>
      <c r="P210">
        <f ca="1">OFFSET(Sheet2!R$3,(ROW(P211))*3,0)</f>
        <v>0</v>
      </c>
      <c r="Q210">
        <f ca="1">OFFSET(Sheet2!S$3,(ROW(Q211))*3,0)</f>
        <v>0</v>
      </c>
      <c r="R210">
        <f ca="1">OFFSET(Sheet2!T$3,(ROW(R211))*3,0)</f>
        <v>0</v>
      </c>
      <c r="S210">
        <f ca="1">OFFSET(Sheet2!U$2,(ROW(S211))*3,0)</f>
        <v>0</v>
      </c>
      <c r="T210">
        <f ca="1">OFFSET(Sheet2!V$2,(ROW(T211))*3,0)</f>
        <v>0</v>
      </c>
    </row>
    <row r="211" spans="1:20" x14ac:dyDescent="0.35">
      <c r="A211">
        <f ca="1">OFFSET(Sheet2!B$3,(ROW(A212))*3,0)</f>
        <v>43899</v>
      </c>
      <c r="B211">
        <f ca="1">OFFSET(Sheet2!C$3,(ROW(B212))*3,0)</f>
        <v>34</v>
      </c>
      <c r="C211" t="str">
        <f ca="1">OFFSET(Sheet2!D$3,(ROW(C212))*3,0)</f>
        <v>South</v>
      </c>
      <c r="D211" t="str">
        <f ca="1">OFFSET(Sheet2!F$3,(ROW(D212))*3,0)</f>
        <v>WAMIMBI RONALD</v>
      </c>
      <c r="E211" t="str">
        <f ca="1">OFFSET(Sheet2!G$3,(ROW(E212))*3,0)</f>
        <v>H2GO</v>
      </c>
      <c r="F211">
        <f ca="1">OFFSET(Sheet2!H$3,(ROW(F212))*3,0)</f>
        <v>0</v>
      </c>
      <c r="G211" t="str">
        <f ca="1">OFFSET(Sheet2!I$3,(ROW(G212))*3,0)</f>
        <v>WEEKLY</v>
      </c>
      <c r="H211">
        <f ca="1">OFFSET(Sheet2!J$3,(ROW(H212))*3,0)</f>
        <v>171</v>
      </c>
      <c r="I211" t="str">
        <f ca="1">OFFSET(Sheet2!K$3,(ROW(I212))*3,0)</f>
        <v>Recommendation</v>
      </c>
      <c r="J211" t="str">
        <f ca="1">OFFSET(Sheet2!L$3,(ROW(J212))*3,0)</f>
        <v>Needs to be changed</v>
      </c>
      <c r="K211" t="str">
        <f ca="1">OFFSET(Sheet2!M$3,(ROW(K212))*3,0)</f>
        <v>Needs to be cleaned</v>
      </c>
      <c r="L211" t="str">
        <f ca="1">OFFSET(Sheet2!N$3,(ROW(L212))*3,0)</f>
        <v>Needs adjustment, tappets are loose</v>
      </c>
      <c r="M211" t="str">
        <f ca="1">OFFSET(Sheet2!O$3,(ROW(M212))*3,0)</f>
        <v>No service needed, looks good, maintain</v>
      </c>
      <c r="N211" t="str">
        <f ca="1">OFFSET(Sheet2!P$3,(ROW(N212))*3,0)</f>
        <v>No service needed, looks good, maintain</v>
      </c>
      <c r="O211" t="str">
        <f ca="1">OFFSET(Sheet2!Q$3,(ROW(O212))*3,0)</f>
        <v>No service needed, looks good, maintain</v>
      </c>
      <c r="P211">
        <f ca="1">OFFSET(Sheet2!R$3,(ROW(P212))*3,0)</f>
        <v>0</v>
      </c>
      <c r="Q211">
        <f ca="1">OFFSET(Sheet2!S$3,(ROW(Q212))*3,0)</f>
        <v>0</v>
      </c>
      <c r="R211">
        <f ca="1">OFFSET(Sheet2!T$3,(ROW(R212))*3,0)</f>
        <v>0</v>
      </c>
      <c r="S211">
        <f ca="1">OFFSET(Sheet2!U$2,(ROW(S212))*3,0)</f>
        <v>0</v>
      </c>
      <c r="T211">
        <f ca="1">OFFSET(Sheet2!V$2,(ROW(T212))*3,0)</f>
        <v>0</v>
      </c>
    </row>
    <row r="212" spans="1:20" x14ac:dyDescent="0.35">
      <c r="A212">
        <f ca="1">OFFSET(Sheet2!B$3,(ROW(A213))*3,0)</f>
        <v>43878</v>
      </c>
      <c r="B212" t="e">
        <f ca="1">OFFSET(Sheet2!C$3,(ROW(B213))*3,0)</f>
        <v>#N/A</v>
      </c>
      <c r="C212" t="str">
        <f ca="1">OFFSET(Sheet2!D$3,(ROW(C213))*3,0)</f>
        <v>North</v>
      </c>
      <c r="D212" t="str">
        <f ca="1">OFFSET(Sheet2!F$3,(ROW(D213))*3,0)</f>
        <v>NEED TO CHECK</v>
      </c>
      <c r="E212" t="str">
        <f ca="1">OFFSET(Sheet2!G$3,(ROW(E213))*3,0)</f>
        <v>Control</v>
      </c>
      <c r="F212">
        <f ca="1">OFFSET(Sheet2!H$3,(ROW(F213))*3,0)</f>
        <v>0</v>
      </c>
      <c r="G212" t="str">
        <f ca="1">OFFSET(Sheet2!I$3,(ROW(G213))*3,0)</f>
        <v>WEEKLY</v>
      </c>
      <c r="H212">
        <f ca="1">OFFSET(Sheet2!J$3,(ROW(H213))*3,0)</f>
        <v>225</v>
      </c>
      <c r="I212" t="str">
        <f ca="1">OFFSET(Sheet2!K$3,(ROW(I213))*3,0)</f>
        <v>Recommendation</v>
      </c>
      <c r="J212" t="str">
        <f ca="1">OFFSET(Sheet2!L$3,(ROW(J213))*3,0)</f>
        <v>Needs to be changed</v>
      </c>
      <c r="K212" t="str">
        <f ca="1">OFFSET(Sheet2!M$3,(ROW(K213))*3,0)</f>
        <v>No service needed, looks good, maintain</v>
      </c>
      <c r="L212" t="str">
        <f ca="1">OFFSET(Sheet2!N$3,(ROW(L213))*3,0)</f>
        <v>No adjustment needed, looks good, maintain</v>
      </c>
      <c r="M212" t="str">
        <f ca="1">OFFSET(Sheet2!O$3,(ROW(M213))*3,0)</f>
        <v>Will need to be cleaned in a few days</v>
      </c>
      <c r="N212" t="str">
        <f ca="1">OFFSET(Sheet2!P$3,(ROW(N213))*3,0)</f>
        <v>Monitor closely, will need to be changed soon</v>
      </c>
      <c r="O212" t="str">
        <f ca="1">OFFSET(Sheet2!Q$3,(ROW(O213))*3,0)</f>
        <v>No service needed, looks good, maintain</v>
      </c>
      <c r="P212">
        <f ca="1">OFFSET(Sheet2!R$3,(ROW(P213))*3,0)</f>
        <v>0</v>
      </c>
      <c r="Q212">
        <f ca="1">OFFSET(Sheet2!S$3,(ROW(Q213))*3,0)</f>
        <v>0</v>
      </c>
      <c r="R212">
        <f ca="1">OFFSET(Sheet2!T$3,(ROW(R213))*3,0)</f>
        <v>0</v>
      </c>
      <c r="S212">
        <f ca="1">OFFSET(Sheet2!U$2,(ROW(S213))*3,0)</f>
        <v>0</v>
      </c>
      <c r="T212">
        <f ca="1">OFFSET(Sheet2!V$2,(ROW(T213))*3,0)</f>
        <v>0</v>
      </c>
    </row>
    <row r="213" spans="1:20" x14ac:dyDescent="0.35">
      <c r="A213">
        <f ca="1">OFFSET(Sheet2!B$3,(ROW(A214))*3,0)</f>
        <v>43855</v>
      </c>
      <c r="B213" t="e">
        <f ca="1">OFFSET(Sheet2!C$3,(ROW(B214))*3,0)</f>
        <v>#N/A</v>
      </c>
      <c r="C213" t="str">
        <f ca="1">OFFSET(Sheet2!D$3,(ROW(C214))*3,0)</f>
        <v>South</v>
      </c>
      <c r="D213" t="str">
        <f ca="1">OFFSET(Sheet2!F$3,(ROW(D214))*3,0)</f>
        <v>MAGOMU LATIFU</v>
      </c>
      <c r="E213" t="str">
        <f ca="1">OFFSET(Sheet2!G$3,(ROW(E214))*3,0)</f>
        <v>H2GO</v>
      </c>
      <c r="F213">
        <f ca="1">OFFSET(Sheet2!H$3,(ROW(F214))*3,0)</f>
        <v>0</v>
      </c>
      <c r="G213" t="str">
        <f ca="1">OFFSET(Sheet2!I$3,(ROW(G214))*3,0)</f>
        <v>WEEKLY</v>
      </c>
      <c r="H213">
        <f ca="1">OFFSET(Sheet2!J$3,(ROW(H214))*3,0)</f>
        <v>73</v>
      </c>
      <c r="I213" t="str">
        <f ca="1">OFFSET(Sheet2!K$3,(ROW(I214))*3,0)</f>
        <v>Recommendation</v>
      </c>
      <c r="J213" t="str">
        <f ca="1">OFFSET(Sheet2!L$3,(ROW(J214))*3,0)</f>
        <v>CHANGE WEEKLY</v>
      </c>
      <c r="K213" t="str">
        <f ca="1">OFFSET(Sheet2!M$3,(ROW(K214))*3,0)</f>
        <v>KEEP IT MAINTAINED</v>
      </c>
      <c r="L213" t="str">
        <f ca="1">OFFSET(Sheet2!N$3,(ROW(L214))*3,0)</f>
        <v>KEEP IT SET</v>
      </c>
      <c r="M213" t="str">
        <f ca="1">OFFSET(Sheet2!O$3,(ROW(M214))*3,0)</f>
        <v>KEEP IT CLEAN &amp; SERVICED</v>
      </c>
      <c r="N213" t="str">
        <f ca="1">OFFSET(Sheet2!P$3,(ROW(N214))*3,0)</f>
        <v>Keep it clean</v>
      </c>
      <c r="O213" t="str">
        <f ca="1">OFFSET(Sheet2!Q$3,(ROW(O214))*3,0)</f>
        <v>KEEP IT MAINTAINED</v>
      </c>
      <c r="P213">
        <f ca="1">OFFSET(Sheet2!R$3,(ROW(P214))*3,0)</f>
        <v>0</v>
      </c>
      <c r="Q213">
        <f ca="1">OFFSET(Sheet2!S$3,(ROW(Q214))*3,0)</f>
        <v>0</v>
      </c>
      <c r="R213">
        <f ca="1">OFFSET(Sheet2!T$3,(ROW(R214))*3,0)</f>
        <v>0</v>
      </c>
      <c r="S213">
        <f ca="1">OFFSET(Sheet2!U$2,(ROW(S214))*3,0)</f>
        <v>0</v>
      </c>
      <c r="T213">
        <f ca="1">OFFSET(Sheet2!V$2,(ROW(T214))*3,0)</f>
        <v>0</v>
      </c>
    </row>
    <row r="214" spans="1:20" x14ac:dyDescent="0.35">
      <c r="A214">
        <f ca="1">OFFSET(Sheet2!B$3,(ROW(A215))*3,0)</f>
        <v>43862</v>
      </c>
      <c r="B214" t="e">
        <f ca="1">OFFSET(Sheet2!C$3,(ROW(B215))*3,0)</f>
        <v>#N/A</v>
      </c>
      <c r="C214" t="str">
        <f ca="1">OFFSET(Sheet2!D$3,(ROW(C215))*3,0)</f>
        <v>South</v>
      </c>
      <c r="D214" t="str">
        <f ca="1">OFFSET(Sheet2!F$3,(ROW(D215))*3,0)</f>
        <v>MAGOMU LATIFU</v>
      </c>
      <c r="E214" t="str">
        <f ca="1">OFFSET(Sheet2!G$3,(ROW(E215))*3,0)</f>
        <v>H2Go</v>
      </c>
      <c r="F214">
        <f ca="1">OFFSET(Sheet2!H$3,(ROW(F215))*3,0)</f>
        <v>0</v>
      </c>
      <c r="G214" t="str">
        <f ca="1">OFFSET(Sheet2!I$3,(ROW(G215))*3,0)</f>
        <v>WEEKLY</v>
      </c>
      <c r="H214">
        <f ca="1">OFFSET(Sheet2!J$3,(ROW(H215))*3,0)</f>
        <v>194</v>
      </c>
      <c r="I214" t="str">
        <f ca="1">OFFSET(Sheet2!K$3,(ROW(I215))*3,0)</f>
        <v>Recommendation</v>
      </c>
      <c r="J214" t="str">
        <f ca="1">OFFSET(Sheet2!L$3,(ROW(J215))*3,0)</f>
        <v>CHANGED</v>
      </c>
      <c r="K214" t="str">
        <f ca="1">OFFSET(Sheet2!M$3,(ROW(K215))*3,0)</f>
        <v>NOTHING DONE</v>
      </c>
      <c r="L214" t="str">
        <f ca="1">OFFSET(Sheet2!N$3,(ROW(L215))*3,0)</f>
        <v>Nothing done</v>
      </c>
      <c r="M214" t="str">
        <f ca="1">OFFSET(Sheet2!O$3,(ROW(M215))*3,0)</f>
        <v>SERVICED</v>
      </c>
      <c r="N214" t="str">
        <f ca="1">OFFSET(Sheet2!P$3,(ROW(N215))*3,0)</f>
        <v>Nothing done</v>
      </c>
      <c r="O214" t="str">
        <f ca="1">OFFSET(Sheet2!Q$3,(ROW(O215))*3,0)</f>
        <v>NOTHING DONE</v>
      </c>
      <c r="P214">
        <f ca="1">OFFSET(Sheet2!R$3,(ROW(P215))*3,0)</f>
        <v>0</v>
      </c>
      <c r="Q214">
        <f ca="1">OFFSET(Sheet2!S$3,(ROW(Q215))*3,0)</f>
        <v>0</v>
      </c>
      <c r="R214">
        <f ca="1">OFFSET(Sheet2!T$3,(ROW(R215))*3,0)</f>
        <v>0</v>
      </c>
      <c r="S214">
        <f ca="1">OFFSET(Sheet2!U$2,(ROW(S215))*3,0)</f>
        <v>0</v>
      </c>
      <c r="T214">
        <f ca="1">OFFSET(Sheet2!V$2,(ROW(T215))*3,0)</f>
        <v>0</v>
      </c>
    </row>
    <row r="215" spans="1:20" x14ac:dyDescent="0.35">
      <c r="A215">
        <f ca="1">OFFSET(Sheet2!B$3,(ROW(A216))*3,0)</f>
        <v>43876</v>
      </c>
      <c r="B215" t="e">
        <f ca="1">OFFSET(Sheet2!C$3,(ROW(B216))*3,0)</f>
        <v>#N/A</v>
      </c>
      <c r="C215" t="str">
        <f ca="1">OFFSET(Sheet2!D$3,(ROW(C216))*3,0)</f>
        <v>South</v>
      </c>
      <c r="D215" t="str">
        <f ca="1">OFFSET(Sheet2!F$3,(ROW(D216))*3,0)</f>
        <v>MAGOMU LATIFU</v>
      </c>
      <c r="E215" t="str">
        <f ca="1">OFFSET(Sheet2!G$3,(ROW(E216))*3,0)</f>
        <v>H2Go</v>
      </c>
      <c r="F215">
        <f ca="1">OFFSET(Sheet2!H$3,(ROW(F216))*3,0)</f>
        <v>0</v>
      </c>
      <c r="G215" t="str">
        <f ca="1">OFFSET(Sheet2!I$3,(ROW(G216))*3,0)</f>
        <v>WEEKLY</v>
      </c>
      <c r="H215">
        <f ca="1">OFFSET(Sheet2!J$3,(ROW(H216))*3,0)</f>
        <v>148</v>
      </c>
      <c r="I215" t="str">
        <f ca="1">OFFSET(Sheet2!K$3,(ROW(I216))*3,0)</f>
        <v>Recommendation</v>
      </c>
      <c r="J215" t="str">
        <f ca="1">OFFSET(Sheet2!L$3,(ROW(J216))*3,0)</f>
        <v>CHANGE WEEKLY</v>
      </c>
      <c r="K215" t="str">
        <f ca="1">OFFSET(Sheet2!M$3,(ROW(K216))*3,0)</f>
        <v>KEEP IT CHECKED</v>
      </c>
      <c r="L215" t="str">
        <f ca="1">OFFSET(Sheet2!N$3,(ROW(L216))*3,0)</f>
        <v>NEEDS TO BE SET</v>
      </c>
      <c r="M215" t="str">
        <f ca="1">OFFSET(Sheet2!O$3,(ROW(M216))*3,0)</f>
        <v>Keep it clean</v>
      </c>
      <c r="N215" t="str">
        <f ca="1">OFFSET(Sheet2!P$3,(ROW(N216))*3,0)</f>
        <v>KEEP IT CHECKED WEEKLY</v>
      </c>
      <c r="O215" t="str">
        <f ca="1">OFFSET(Sheet2!Q$3,(ROW(O216))*3,0)</f>
        <v>KEEP IT MAINTAINED</v>
      </c>
      <c r="P215">
        <f ca="1">OFFSET(Sheet2!R$3,(ROW(P216))*3,0)</f>
        <v>0</v>
      </c>
      <c r="Q215">
        <f ca="1">OFFSET(Sheet2!S$3,(ROW(Q216))*3,0)</f>
        <v>0</v>
      </c>
      <c r="R215">
        <f ca="1">OFFSET(Sheet2!T$3,(ROW(R216))*3,0)</f>
        <v>0</v>
      </c>
      <c r="S215">
        <f ca="1">OFFSET(Sheet2!U$2,(ROW(S216))*3,0)</f>
        <v>0</v>
      </c>
      <c r="T215">
        <f ca="1">OFFSET(Sheet2!V$2,(ROW(T216))*3,0)</f>
        <v>0</v>
      </c>
    </row>
    <row r="216" spans="1:20" x14ac:dyDescent="0.35">
      <c r="A216">
        <f ca="1">OFFSET(Sheet2!B$3,(ROW(A217))*3,0)</f>
        <v>43885</v>
      </c>
      <c r="B216" t="e">
        <f ca="1">OFFSET(Sheet2!C$3,(ROW(B217))*3,0)</f>
        <v>#N/A</v>
      </c>
      <c r="C216" t="str">
        <f ca="1">OFFSET(Sheet2!D$3,(ROW(C217))*3,0)</f>
        <v>South</v>
      </c>
      <c r="D216" t="str">
        <f ca="1">OFFSET(Sheet2!F$3,(ROW(D217))*3,0)</f>
        <v>MAGOMU LATIFU</v>
      </c>
      <c r="E216" t="str">
        <f ca="1">OFFSET(Sheet2!G$3,(ROW(E217))*3,0)</f>
        <v>CONTROL</v>
      </c>
      <c r="F216">
        <f ca="1">OFFSET(Sheet2!H$3,(ROW(F217))*3,0)</f>
        <v>0</v>
      </c>
      <c r="G216" t="str">
        <f ca="1">OFFSET(Sheet2!I$3,(ROW(G217))*3,0)</f>
        <v>WEEKLY</v>
      </c>
      <c r="H216">
        <f ca="1">OFFSET(Sheet2!J$3,(ROW(H217))*3,0)</f>
        <v>131</v>
      </c>
      <c r="I216" t="str">
        <f ca="1">OFFSET(Sheet2!K$3,(ROW(I217))*3,0)</f>
        <v>Recommendation</v>
      </c>
      <c r="J216" t="str">
        <f ca="1">OFFSET(Sheet2!L$3,(ROW(J217))*3,0)</f>
        <v>Needs to be changed</v>
      </c>
      <c r="K216" t="str">
        <f ca="1">OFFSET(Sheet2!M$3,(ROW(K217))*3,0)</f>
        <v>No service needed, looks good, maintain</v>
      </c>
      <c r="L216" t="str">
        <f ca="1">OFFSET(Sheet2!N$3,(ROW(L217))*3,0)</f>
        <v>Needs adjustment</v>
      </c>
      <c r="M216" t="str">
        <f ca="1">OFFSET(Sheet2!O$3,(ROW(M217))*3,0)</f>
        <v>Needs to be cleaned</v>
      </c>
      <c r="N216" t="str">
        <f ca="1">OFFSET(Sheet2!P$3,(ROW(N217))*3,0)</f>
        <v>No service needed, looks good, maintain</v>
      </c>
      <c r="O216" t="str">
        <f ca="1">OFFSET(Sheet2!Q$3,(ROW(O217))*3,0)</f>
        <v>No service needed, looks good, maintain</v>
      </c>
      <c r="P216">
        <f ca="1">OFFSET(Sheet2!R$3,(ROW(P217))*3,0)</f>
        <v>0</v>
      </c>
      <c r="Q216">
        <f ca="1">OFFSET(Sheet2!S$3,(ROW(Q217))*3,0)</f>
        <v>0</v>
      </c>
      <c r="R216">
        <f ca="1">OFFSET(Sheet2!T$3,(ROW(R217))*3,0)</f>
        <v>0</v>
      </c>
      <c r="S216">
        <f ca="1">OFFSET(Sheet2!U$2,(ROW(S217))*3,0)</f>
        <v>0</v>
      </c>
      <c r="T216">
        <f ca="1">OFFSET(Sheet2!V$2,(ROW(T217))*3,0)</f>
        <v>0</v>
      </c>
    </row>
    <row r="217" spans="1:20" x14ac:dyDescent="0.35">
      <c r="A217">
        <f ca="1">OFFSET(Sheet2!B$3,(ROW(A218))*3,0)</f>
        <v>43892</v>
      </c>
      <c r="B217" t="e">
        <f ca="1">OFFSET(Sheet2!C$3,(ROW(B218))*3,0)</f>
        <v>#N/A</v>
      </c>
      <c r="C217" t="str">
        <f ca="1">OFFSET(Sheet2!D$3,(ROW(C218))*3,0)</f>
        <v>South</v>
      </c>
      <c r="D217" t="str">
        <f ca="1">OFFSET(Sheet2!F$3,(ROW(D218))*3,0)</f>
        <v>NAGOMU LATIF</v>
      </c>
      <c r="E217" t="str">
        <f ca="1">OFFSET(Sheet2!G$3,(ROW(E218))*3,0)</f>
        <v>CONTROL</v>
      </c>
      <c r="F217">
        <f ca="1">OFFSET(Sheet2!H$3,(ROW(F218))*3,0)</f>
        <v>0</v>
      </c>
      <c r="G217" t="str">
        <f ca="1">OFFSET(Sheet2!I$3,(ROW(G218))*3,0)</f>
        <v>WEEKLY</v>
      </c>
      <c r="H217">
        <f ca="1">OFFSET(Sheet2!J$3,(ROW(H218))*3,0)</f>
        <v>130</v>
      </c>
      <c r="I217" t="str">
        <f ca="1">OFFSET(Sheet2!K$3,(ROW(I218))*3,0)</f>
        <v>Recommendation</v>
      </c>
      <c r="J217" t="str">
        <f ca="1">OFFSET(Sheet2!L$3,(ROW(J218))*3,0)</f>
        <v>Needs to be changed</v>
      </c>
      <c r="K217" t="str">
        <f ca="1">OFFSET(Sheet2!M$3,(ROW(K218))*3,0)</f>
        <v>Needs to be cleaned</v>
      </c>
      <c r="L217" t="str">
        <f ca="1">OFFSET(Sheet2!N$3,(ROW(L218))*3,0)</f>
        <v>No adjustment needed, looks good, maintain</v>
      </c>
      <c r="M217" t="str">
        <f ca="1">OFFSET(Sheet2!O$3,(ROW(M218))*3,0)</f>
        <v>No service needed, looks good, maintain</v>
      </c>
      <c r="N217" t="str">
        <f ca="1">OFFSET(Sheet2!P$3,(ROW(N218))*3,0)</f>
        <v>No service needed, looks good, maintain</v>
      </c>
      <c r="O217" t="str">
        <f ca="1">OFFSET(Sheet2!Q$3,(ROW(O218))*3,0)</f>
        <v>No service needed, looks good, maintain</v>
      </c>
      <c r="P217">
        <f ca="1">OFFSET(Sheet2!R$3,(ROW(P218))*3,0)</f>
        <v>0</v>
      </c>
      <c r="Q217">
        <f ca="1">OFFSET(Sheet2!S$3,(ROW(Q218))*3,0)</f>
        <v>0</v>
      </c>
      <c r="R217">
        <f ca="1">OFFSET(Sheet2!T$3,(ROW(R218))*3,0)</f>
        <v>0</v>
      </c>
      <c r="S217">
        <f ca="1">OFFSET(Sheet2!U$2,(ROW(S218))*3,0)</f>
        <v>0</v>
      </c>
      <c r="T217">
        <f ca="1">OFFSET(Sheet2!V$2,(ROW(T218))*3,0)</f>
        <v>0</v>
      </c>
    </row>
    <row r="218" spans="1:20" x14ac:dyDescent="0.35">
      <c r="A218">
        <f ca="1">OFFSET(Sheet2!B$3,(ROW(A219))*3,0)</f>
        <v>43898</v>
      </c>
      <c r="B218">
        <f ca="1">OFFSET(Sheet2!C$3,(ROW(B219))*3,0)</f>
        <v>0</v>
      </c>
      <c r="C218" t="str">
        <f ca="1">OFFSET(Sheet2!D$3,(ROW(C219))*3,0)</f>
        <v>North</v>
      </c>
      <c r="D218" t="str">
        <f ca="1">OFFSET(Sheet2!F$3,(ROW(D219))*3,0)</f>
        <v>Makona Lameka</v>
      </c>
      <c r="E218" t="str">
        <f ca="1">OFFSET(Sheet2!G$3,(ROW(E219))*3,0)</f>
        <v>Control</v>
      </c>
      <c r="F218">
        <f ca="1">OFFSET(Sheet2!H$3,(ROW(F219))*3,0)</f>
        <v>0</v>
      </c>
      <c r="G218" t="str">
        <f ca="1">OFFSET(Sheet2!I$3,(ROW(G219))*3,0)</f>
        <v>Comprehensive</v>
      </c>
      <c r="H218">
        <f ca="1">OFFSET(Sheet2!J$3,(ROW(H219))*3,0)</f>
        <v>252</v>
      </c>
      <c r="I218" t="str">
        <f ca="1">OFFSET(Sheet2!K$3,(ROW(I219))*3,0)</f>
        <v>Recommendation</v>
      </c>
      <c r="J218" t="str">
        <f ca="1">OFFSET(Sheet2!L$3,(ROW(J219))*3,0)</f>
        <v>Needs to be changed</v>
      </c>
      <c r="K218" t="str">
        <f ca="1">OFFSET(Sheet2!M$3,(ROW(K219))*3,0)</f>
        <v>Needs to be cleaned</v>
      </c>
      <c r="L218" t="str">
        <f ca="1">OFFSET(Sheet2!N$3,(ROW(L219))*3,0)</f>
        <v>Needs adjustment, tappets are tight</v>
      </c>
      <c r="M218" t="str">
        <f ca="1">OFFSET(Sheet2!O$3,(ROW(M219))*3,0)</f>
        <v>Needs to be cleaned</v>
      </c>
      <c r="N218" t="str">
        <f ca="1">OFFSET(Sheet2!P$3,(ROW(N219))*3,0)</f>
        <v>No service needed, looks good, maintain</v>
      </c>
      <c r="O218" t="str">
        <f ca="1">OFFSET(Sheet2!Q$3,(ROW(O219))*3,0)</f>
        <v>No service needed, looks good, maintain</v>
      </c>
      <c r="P218">
        <f ca="1">OFFSET(Sheet2!R$3,(ROW(P219))*3,0)</f>
        <v>0</v>
      </c>
      <c r="Q218">
        <f ca="1">OFFSET(Sheet2!S$3,(ROW(Q219))*3,0)</f>
        <v>0</v>
      </c>
      <c r="R218">
        <f ca="1">OFFSET(Sheet2!T$3,(ROW(R219))*3,0)</f>
        <v>0</v>
      </c>
      <c r="S218">
        <f ca="1">OFFSET(Sheet2!U$2,(ROW(S219))*3,0)</f>
        <v>0</v>
      </c>
      <c r="T218">
        <f ca="1">OFFSET(Sheet2!V$2,(ROW(T219))*3,0)</f>
        <v>0</v>
      </c>
    </row>
    <row r="219" spans="1:20" x14ac:dyDescent="0.35">
      <c r="A219">
        <f ca="1">OFFSET(Sheet2!B$3,(ROW(A220))*3,0)</f>
        <v>43898</v>
      </c>
      <c r="B219">
        <f ca="1">OFFSET(Sheet2!C$3,(ROW(B220))*3,0)</f>
        <v>0</v>
      </c>
      <c r="C219" t="str">
        <f ca="1">OFFSET(Sheet2!D$3,(ROW(C220))*3,0)</f>
        <v>North</v>
      </c>
      <c r="D219" t="str">
        <f ca="1">OFFSET(Sheet2!F$3,(ROW(D220))*3,0)</f>
        <v>Mwambu Denis</v>
      </c>
      <c r="E219" t="str">
        <f ca="1">OFFSET(Sheet2!G$3,(ROW(E220))*3,0)</f>
        <v>Control</v>
      </c>
      <c r="F219">
        <f ca="1">OFFSET(Sheet2!H$3,(ROW(F220))*3,0)</f>
        <v>0</v>
      </c>
      <c r="G219" t="str">
        <f ca="1">OFFSET(Sheet2!I$3,(ROW(G220))*3,0)</f>
        <v>Comprehensive</v>
      </c>
      <c r="H219">
        <f ca="1">OFFSET(Sheet2!J$3,(ROW(H220))*3,0)</f>
        <v>242</v>
      </c>
      <c r="I219" t="str">
        <f ca="1">OFFSET(Sheet2!K$3,(ROW(I220))*3,0)</f>
        <v>Recommendation</v>
      </c>
      <c r="J219" t="str">
        <f ca="1">OFFSET(Sheet2!L$3,(ROW(J220))*3,0)</f>
        <v>Needs to be changed</v>
      </c>
      <c r="K219" t="str">
        <f ca="1">OFFSET(Sheet2!M$3,(ROW(K220))*3,0)</f>
        <v>Needs to be cleaned</v>
      </c>
      <c r="L219" t="str">
        <f ca="1">OFFSET(Sheet2!N$3,(ROW(L220))*3,0)</f>
        <v>No adjustment needed, looks good, maintain</v>
      </c>
      <c r="M219" t="str">
        <f ca="1">OFFSET(Sheet2!O$3,(ROW(M220))*3,0)</f>
        <v>Needs to be cleaned</v>
      </c>
      <c r="N219" t="str">
        <f ca="1">OFFSET(Sheet2!P$3,(ROW(N220))*3,0)</f>
        <v>No service needed, looks good, maintain</v>
      </c>
      <c r="O219" t="str">
        <f ca="1">OFFSET(Sheet2!Q$3,(ROW(O220))*3,0)</f>
        <v>No service needed, looks good, maintain</v>
      </c>
      <c r="P219">
        <f ca="1">OFFSET(Sheet2!R$3,(ROW(P220))*3,0)</f>
        <v>0</v>
      </c>
      <c r="Q219">
        <f ca="1">OFFSET(Sheet2!S$3,(ROW(Q220))*3,0)</f>
        <v>0</v>
      </c>
      <c r="R219">
        <f ca="1">OFFSET(Sheet2!T$3,(ROW(R220))*3,0)</f>
        <v>0</v>
      </c>
      <c r="S219">
        <f ca="1">OFFSET(Sheet2!U$2,(ROW(S220))*3,0)</f>
        <v>0</v>
      </c>
      <c r="T219">
        <f ca="1">OFFSET(Sheet2!V$2,(ROW(T220))*3,0)</f>
        <v>0</v>
      </c>
    </row>
    <row r="220" spans="1:20" x14ac:dyDescent="0.35">
      <c r="A220">
        <f ca="1">OFFSET(Sheet2!B$3,(ROW(A221))*3,0)</f>
        <v>43898</v>
      </c>
      <c r="B220">
        <f ca="1">OFFSET(Sheet2!C$3,(ROW(B221))*3,0)</f>
        <v>0</v>
      </c>
      <c r="C220" t="str">
        <f ca="1">OFFSET(Sheet2!D$3,(ROW(C221))*3,0)</f>
        <v>North</v>
      </c>
      <c r="D220" t="str">
        <f ca="1">OFFSET(Sheet2!F$3,(ROW(D221))*3,0)</f>
        <v>Nabwambi micheal</v>
      </c>
      <c r="E220" t="str">
        <f ca="1">OFFSET(Sheet2!G$3,(ROW(E221))*3,0)</f>
        <v>Control</v>
      </c>
      <c r="F220">
        <f ca="1">OFFSET(Sheet2!H$3,(ROW(F221))*3,0)</f>
        <v>0</v>
      </c>
      <c r="G220" t="str">
        <f ca="1">OFFSET(Sheet2!I$3,(ROW(G221))*3,0)</f>
        <v>WEEKLY</v>
      </c>
      <c r="H220">
        <f ca="1">OFFSET(Sheet2!J$3,(ROW(H221))*3,0)</f>
        <v>248</v>
      </c>
      <c r="I220" t="str">
        <f ca="1">OFFSET(Sheet2!K$3,(ROW(I221))*3,0)</f>
        <v>Recommendation</v>
      </c>
      <c r="J220" t="str">
        <f ca="1">OFFSET(Sheet2!L$3,(ROW(J221))*3,0)</f>
        <v>Needs to be changed</v>
      </c>
      <c r="K220" t="str">
        <f ca="1">OFFSET(Sheet2!M$3,(ROW(K221))*3,0)</f>
        <v>Needs to be cleaned</v>
      </c>
      <c r="L220" t="str">
        <f ca="1">OFFSET(Sheet2!N$3,(ROW(L221))*3,0)</f>
        <v>No adjustment needed, looks good, maintain</v>
      </c>
      <c r="M220" t="str">
        <f ca="1">OFFSET(Sheet2!O$3,(ROW(M221))*3,0)</f>
        <v>Needs to be cleaned</v>
      </c>
      <c r="N220" t="str">
        <f ca="1">OFFSET(Sheet2!P$3,(ROW(N221))*3,0)</f>
        <v>No service needed, looks good, maintain</v>
      </c>
      <c r="O220" t="str">
        <f ca="1">OFFSET(Sheet2!Q$3,(ROW(O221))*3,0)</f>
        <v>No service needed, looks good, maintain</v>
      </c>
      <c r="P220">
        <f ca="1">OFFSET(Sheet2!R$3,(ROW(P221))*3,0)</f>
        <v>0</v>
      </c>
      <c r="Q220">
        <f ca="1">OFFSET(Sheet2!S$3,(ROW(Q221))*3,0)</f>
        <v>0</v>
      </c>
      <c r="R220">
        <f ca="1">OFFSET(Sheet2!T$3,(ROW(R221))*3,0)</f>
        <v>0</v>
      </c>
      <c r="S220">
        <f ca="1">OFFSET(Sheet2!U$2,(ROW(S221))*3,0)</f>
        <v>0</v>
      </c>
      <c r="T220">
        <f ca="1">OFFSET(Sheet2!V$2,(ROW(T221))*3,0)</f>
        <v>0</v>
      </c>
    </row>
    <row r="221" spans="1:20" x14ac:dyDescent="0.35">
      <c r="A221">
        <f ca="1">OFFSET(Sheet2!B$3,(ROW(A222))*3,0)</f>
        <v>43899</v>
      </c>
      <c r="B221">
        <f ca="1">OFFSET(Sheet2!C$3,(ROW(B222))*3,0)</f>
        <v>0</v>
      </c>
      <c r="C221" t="str">
        <f ca="1">OFFSET(Sheet2!D$3,(ROW(C222))*3,0)</f>
        <v>North</v>
      </c>
      <c r="D221" t="str">
        <f ca="1">OFFSET(Sheet2!F$3,(ROW(D222))*3,0)</f>
        <v>Wakamweli Agrey</v>
      </c>
      <c r="E221" t="str">
        <f ca="1">OFFSET(Sheet2!G$3,(ROW(E222))*3,0)</f>
        <v>H2Go</v>
      </c>
      <c r="F221">
        <f ca="1">OFFSET(Sheet2!H$3,(ROW(F222))*3,0)</f>
        <v>0</v>
      </c>
      <c r="G221" t="str">
        <f ca="1">OFFSET(Sheet2!I$3,(ROW(G222))*3,0)</f>
        <v>Comprehensive</v>
      </c>
      <c r="H221">
        <f ca="1">OFFSET(Sheet2!J$3,(ROW(H222))*3,0)</f>
        <v>271</v>
      </c>
      <c r="I221" t="str">
        <f ca="1">OFFSET(Sheet2!K$3,(ROW(I222))*3,0)</f>
        <v>Recommendation</v>
      </c>
      <c r="J221" t="str">
        <f ca="1">OFFSET(Sheet2!L$3,(ROW(J222))*3,0)</f>
        <v>Needs to be changed</v>
      </c>
      <c r="K221" t="str">
        <f ca="1">OFFSET(Sheet2!M$3,(ROW(K222))*3,0)</f>
        <v>No service needed, looks good, maintain</v>
      </c>
      <c r="L221" t="str">
        <f ca="1">OFFSET(Sheet2!N$3,(ROW(L222))*3,0)</f>
        <v>Needs adjustment, tappets are loose</v>
      </c>
      <c r="M221" t="str">
        <f ca="1">OFFSET(Sheet2!O$3,(ROW(M222))*3,0)</f>
        <v>No service needed, looks good, maintain</v>
      </c>
      <c r="N221" t="str">
        <f ca="1">OFFSET(Sheet2!P$3,(ROW(N222))*3,0)</f>
        <v>Needs to be Changed</v>
      </c>
      <c r="O221" t="str">
        <f ca="1">OFFSET(Sheet2!Q$3,(ROW(O222))*3,0)</f>
        <v>No service needed, looks good, maintain</v>
      </c>
      <c r="P221">
        <f ca="1">OFFSET(Sheet2!R$3,(ROW(P222))*3,0)</f>
        <v>0</v>
      </c>
      <c r="Q221">
        <f ca="1">OFFSET(Sheet2!S$3,(ROW(Q222))*3,0)</f>
        <v>0</v>
      </c>
      <c r="R221">
        <f ca="1">OFFSET(Sheet2!T$3,(ROW(R222))*3,0)</f>
        <v>0</v>
      </c>
      <c r="S221">
        <f ca="1">OFFSET(Sheet2!U$2,(ROW(S222))*3,0)</f>
        <v>0</v>
      </c>
      <c r="T221">
        <f ca="1">OFFSET(Sheet2!V$2,(ROW(T222))*3,0)</f>
        <v>0</v>
      </c>
    </row>
    <row r="222" spans="1:20" x14ac:dyDescent="0.35">
      <c r="A222">
        <f ca="1">OFFSET(Sheet2!B$3,(ROW(A223))*3,0)</f>
        <v>0</v>
      </c>
      <c r="B222">
        <f ca="1">OFFSET(Sheet2!C$3,(ROW(B223))*3,0)</f>
        <v>0</v>
      </c>
      <c r="C222">
        <f ca="1">OFFSET(Sheet2!D$3,(ROW(C223))*3,0)</f>
        <v>0</v>
      </c>
      <c r="D222">
        <f ca="1">OFFSET(Sheet2!F$3,(ROW(D223))*3,0)</f>
        <v>0</v>
      </c>
      <c r="E222">
        <f ca="1">OFFSET(Sheet2!G$3,(ROW(E223))*3,0)</f>
        <v>0</v>
      </c>
      <c r="F222">
        <f ca="1">OFFSET(Sheet2!H$3,(ROW(F223))*3,0)</f>
        <v>0</v>
      </c>
      <c r="G222">
        <f ca="1">OFFSET(Sheet2!I$3,(ROW(G223))*3,0)</f>
        <v>0</v>
      </c>
      <c r="H222">
        <f ca="1">OFFSET(Sheet2!J$3,(ROW(H223))*3,0)</f>
        <v>0</v>
      </c>
      <c r="I222">
        <f ca="1">OFFSET(Sheet2!K$3,(ROW(I223))*3,0)</f>
        <v>0</v>
      </c>
      <c r="J222">
        <f ca="1">OFFSET(Sheet2!L$3,(ROW(J223))*3,0)</f>
        <v>0</v>
      </c>
      <c r="K222">
        <f ca="1">OFFSET(Sheet2!M$3,(ROW(K223))*3,0)</f>
        <v>0</v>
      </c>
      <c r="L222">
        <f ca="1">OFFSET(Sheet2!N$3,(ROW(L223))*3,0)</f>
        <v>0</v>
      </c>
      <c r="M222">
        <f ca="1">OFFSET(Sheet2!O$3,(ROW(M223))*3,0)</f>
        <v>0</v>
      </c>
      <c r="N222">
        <f ca="1">OFFSET(Sheet2!P$3,(ROW(N223))*3,0)</f>
        <v>0</v>
      </c>
      <c r="O222">
        <f ca="1">OFFSET(Sheet2!Q$3,(ROW(O223))*3,0)</f>
        <v>0</v>
      </c>
      <c r="P222">
        <f ca="1">OFFSET(Sheet2!R$3,(ROW(P223))*3,0)</f>
        <v>0</v>
      </c>
      <c r="Q222">
        <f ca="1">OFFSET(Sheet2!S$3,(ROW(Q223))*3,0)</f>
        <v>0</v>
      </c>
      <c r="R222">
        <f ca="1">OFFSET(Sheet2!T$3,(ROW(R223))*3,0)</f>
        <v>0</v>
      </c>
      <c r="S222">
        <f ca="1">OFFSET(Sheet2!U$2,(ROW(S223))*3,0)</f>
        <v>0</v>
      </c>
      <c r="T222">
        <f ca="1">OFFSET(Sheet2!V$2,(ROW(T223))*3,0)</f>
        <v>0</v>
      </c>
    </row>
  </sheetData>
  <sortState xmlns:xlrd2="http://schemas.microsoft.com/office/spreadsheetml/2017/richdata2" ref="A2:T222">
    <sortCondition ref="B2:B222"/>
    <sortCondition ref="A2:A22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221"/>
  <sheetViews>
    <sheetView workbookViewId="0">
      <selection activeCell="J95" sqref="J95"/>
    </sheetView>
  </sheetViews>
  <sheetFormatPr defaultRowHeight="14.5" x14ac:dyDescent="0.35"/>
  <cols>
    <col min="1" max="1" width="22.36328125" customWidth="1"/>
    <col min="2" max="2" width="8.81640625" customWidth="1"/>
    <col min="4" max="4" width="22.90625" customWidth="1"/>
    <col min="6" max="6" width="4.26953125" customWidth="1"/>
    <col min="7" max="7" width="21" customWidth="1"/>
    <col min="9" max="9" width="16.26953125" customWidth="1"/>
    <col min="10" max="10" width="36.453125" bestFit="1" customWidth="1"/>
    <col min="11" max="11" width="36.26953125" bestFit="1" customWidth="1"/>
    <col min="12" max="12" width="39" customWidth="1"/>
    <col min="13" max="13" width="21.7265625" bestFit="1" customWidth="1"/>
    <col min="14" max="14" width="27.7265625" bestFit="1" customWidth="1"/>
    <col min="15" max="15" width="45.7265625" bestFit="1" customWidth="1"/>
    <col min="16" max="16" width="35.453125" bestFit="1" customWidth="1"/>
    <col min="17" max="17" width="23.7265625" bestFit="1" customWidth="1"/>
    <col min="18" max="18" width="32.1796875" bestFit="1" customWidth="1"/>
  </cols>
  <sheetData>
    <row r="1" spans="1:20" s="9" customFormat="1" x14ac:dyDescent="0.35">
      <c r="A1" s="9" t="s">
        <v>54</v>
      </c>
      <c r="B1" s="10" t="s">
        <v>7</v>
      </c>
      <c r="C1" s="9" t="s">
        <v>8</v>
      </c>
      <c r="D1" s="9" t="s">
        <v>4</v>
      </c>
      <c r="E1" s="9" t="s">
        <v>5</v>
      </c>
      <c r="F1" s="9" t="s">
        <v>49</v>
      </c>
      <c r="G1" s="9" t="s">
        <v>55</v>
      </c>
      <c r="H1" s="10" t="s">
        <v>53</v>
      </c>
      <c r="I1" s="10" t="s">
        <v>87</v>
      </c>
      <c r="J1" s="10" t="s">
        <v>76</v>
      </c>
      <c r="K1" s="10" t="s">
        <v>77</v>
      </c>
      <c r="L1" s="10" t="s">
        <v>78</v>
      </c>
      <c r="M1" s="10" t="s">
        <v>79</v>
      </c>
      <c r="N1" s="10" t="s">
        <v>80</v>
      </c>
      <c r="O1" s="10" t="s">
        <v>81</v>
      </c>
      <c r="P1" s="10" t="s">
        <v>82</v>
      </c>
      <c r="Q1" s="10" t="s">
        <v>83</v>
      </c>
      <c r="R1" s="10" t="s">
        <v>84</v>
      </c>
    </row>
    <row r="2" spans="1:20" x14ac:dyDescent="0.35">
      <c r="A2">
        <f ca="1">OFFSET(Sheet2!B$4,(ROW(A3))*3,0)</f>
        <v>43876</v>
      </c>
      <c r="B2">
        <f ca="1">OFFSET(Sheet2!C$4,(ROW(B3))*3,0)</f>
        <v>1</v>
      </c>
      <c r="C2" t="str">
        <f ca="1">OFFSET(Sheet2!D$4,(ROW(C3))*3,0)</f>
        <v>North</v>
      </c>
      <c r="D2" t="str">
        <f ca="1">OFFSET(Sheet2!F$4,(ROW(D3))*3,0)</f>
        <v>Mwalye Eric Sam</v>
      </c>
      <c r="E2" t="str">
        <f ca="1">OFFSET(Sheet2!G$4,(ROW(E3))*3,0)</f>
        <v>H2Go</v>
      </c>
      <c r="F2">
        <f ca="1">OFFSET(Sheet2!H$4,(ROW(F3))*3,0)</f>
        <v>0</v>
      </c>
      <c r="G2" t="str">
        <f ca="1">OFFSET(Sheet2!I$4,(ROW(G3))*3,0)</f>
        <v>WEEKLY</v>
      </c>
      <c r="H2">
        <f ca="1">OFFSET(Sheet2!J$4,(ROW(H3))*3,0)</f>
        <v>294</v>
      </c>
      <c r="I2" t="str">
        <f ca="1">OFFSET(Sheet2!K$4,(ROW(I3))*3,0)</f>
        <v>Actions</v>
      </c>
      <c r="J2" t="str">
        <f ca="1">OFFSET(Sheet2!L$4,(ROW(J3))*3,0)</f>
        <v>Chagned</v>
      </c>
      <c r="K2" t="str">
        <f ca="1">OFFSET(Sheet2!M$4,(ROW(K3))*3,0)</f>
        <v>Nothing done</v>
      </c>
      <c r="L2" t="str">
        <f ca="1">OFFSET(Sheet2!N$4,(ROW(L3))*3,0)</f>
        <v>Nothing done</v>
      </c>
      <c r="M2" t="str">
        <f ca="1">OFFSET(Sheet2!O$4,(ROW(M3))*3,0)</f>
        <v>Nothing done</v>
      </c>
      <c r="N2" t="str">
        <f ca="1">OFFSET(Sheet2!P$4,(ROW(N3))*3,0)</f>
        <v>Nothing done</v>
      </c>
      <c r="O2" t="str">
        <f ca="1">OFFSET(Sheet2!Q$4,(ROW(O3))*3,0)</f>
        <v xml:space="preserve">Replaced Nut </v>
      </c>
      <c r="P2">
        <f ca="1">OFFSET(Sheet2!R$4,(ROW(P3))*3,0)</f>
        <v>0</v>
      </c>
      <c r="Q2">
        <f ca="1">OFFSET(Sheet2!S$4,(ROW(Q3))*3,0)</f>
        <v>0</v>
      </c>
      <c r="R2">
        <f ca="1">OFFSET(Sheet2!T$4,(ROW(R3))*3,0)</f>
        <v>0</v>
      </c>
      <c r="S2">
        <f ca="1">OFFSET(Sheet2!U$2,(ROW(S3))*3,0)</f>
        <v>0</v>
      </c>
      <c r="T2">
        <f ca="1">OFFSET(Sheet2!V$2,(ROW(T3))*3,0)</f>
        <v>0</v>
      </c>
    </row>
    <row r="3" spans="1:20" x14ac:dyDescent="0.35">
      <c r="A3">
        <f ca="1">OFFSET(Sheet2!B$4,(ROW(A4))*3,0)</f>
        <v>43886</v>
      </c>
      <c r="B3">
        <f ca="1">OFFSET(Sheet2!C$4,(ROW(B4))*3,0)</f>
        <v>1</v>
      </c>
      <c r="C3" t="str">
        <f ca="1">OFFSET(Sheet2!D$4,(ROW(C4))*3,0)</f>
        <v>North</v>
      </c>
      <c r="D3" t="str">
        <f ca="1">OFFSET(Sheet2!F$4,(ROW(D4))*3,0)</f>
        <v>Mwalye Eric Sam</v>
      </c>
      <c r="E3" t="str">
        <f ca="1">OFFSET(Sheet2!G$4,(ROW(E4))*3,0)</f>
        <v>H2Go</v>
      </c>
      <c r="F3">
        <f ca="1">OFFSET(Sheet2!H$4,(ROW(F4))*3,0)</f>
        <v>0</v>
      </c>
      <c r="G3" t="str">
        <f ca="1">OFFSET(Sheet2!I$4,(ROW(G4))*3,0)</f>
        <v>WEEKLY</v>
      </c>
      <c r="H3">
        <f ca="1">OFFSET(Sheet2!J$4,(ROW(H4))*3,0)</f>
        <v>243</v>
      </c>
      <c r="I3" t="str">
        <f ca="1">OFFSET(Sheet2!K$4,(ROW(I4))*3,0)</f>
        <v>Actions</v>
      </c>
      <c r="J3" t="str">
        <f ca="1">OFFSET(Sheet2!L$4,(ROW(J4))*3,0)</f>
        <v>Chagned</v>
      </c>
      <c r="K3" t="str">
        <f ca="1">OFFSET(Sheet2!M$4,(ROW(K4))*3,0)</f>
        <v>Nothing done, despite recommendation</v>
      </c>
      <c r="L3" t="str">
        <f ca="1">OFFSET(Sheet2!N$4,(ROW(L4))*3,0)</f>
        <v>Nothing done</v>
      </c>
      <c r="M3" t="str">
        <f ca="1">OFFSET(Sheet2!O$4,(ROW(M4))*3,0)</f>
        <v>Nothing done</v>
      </c>
      <c r="N3" t="str">
        <f ca="1">OFFSET(Sheet2!P$4,(ROW(N4))*3,0)</f>
        <v>Nothing done</v>
      </c>
      <c r="O3" t="str">
        <f ca="1">OFFSET(Sheet2!Q$4,(ROW(O4))*3,0)</f>
        <v>Nothing Done</v>
      </c>
      <c r="P3">
        <f ca="1">OFFSET(Sheet2!R$4,(ROW(P4))*3,0)</f>
        <v>0</v>
      </c>
      <c r="Q3">
        <f ca="1">OFFSET(Sheet2!S$4,(ROW(Q4))*3,0)</f>
        <v>0</v>
      </c>
      <c r="R3">
        <f ca="1">OFFSET(Sheet2!T$4,(ROW(R4))*3,0)</f>
        <v>0</v>
      </c>
      <c r="S3">
        <f ca="1">OFFSET(Sheet2!U$2,(ROW(S4))*3,0)</f>
        <v>0</v>
      </c>
      <c r="T3">
        <f ca="1">OFFSET(Sheet2!V$2,(ROW(T4))*3,0)</f>
        <v>0</v>
      </c>
    </row>
    <row r="4" spans="1:20" x14ac:dyDescent="0.35">
      <c r="A4">
        <f ca="1">OFFSET(Sheet2!B$4,(ROW(A5))*3,0)</f>
        <v>43892</v>
      </c>
      <c r="B4">
        <f ca="1">OFFSET(Sheet2!C$4,(ROW(B5))*3,0)</f>
        <v>1</v>
      </c>
      <c r="C4" t="str">
        <f ca="1">OFFSET(Sheet2!D$4,(ROW(C5))*3,0)</f>
        <v>North</v>
      </c>
      <c r="D4" t="str">
        <f ca="1">OFFSET(Sheet2!F$4,(ROW(D5))*3,0)</f>
        <v>Mwalye Eric Sam</v>
      </c>
      <c r="E4" t="str">
        <f ca="1">OFFSET(Sheet2!G$4,(ROW(E5))*3,0)</f>
        <v>H2Go</v>
      </c>
      <c r="F4">
        <f ca="1">OFFSET(Sheet2!H$4,(ROW(F5))*3,0)</f>
        <v>0</v>
      </c>
      <c r="G4" t="str">
        <f ca="1">OFFSET(Sheet2!I$4,(ROW(G5))*3,0)</f>
        <v>WEEKLY</v>
      </c>
      <c r="H4">
        <f ca="1">OFFSET(Sheet2!J$4,(ROW(H5))*3,0)</f>
        <v>257</v>
      </c>
      <c r="I4" t="str">
        <f ca="1">OFFSET(Sheet2!K$4,(ROW(I5))*3,0)</f>
        <v>Actions</v>
      </c>
      <c r="J4" t="str">
        <f ca="1">OFFSET(Sheet2!L$4,(ROW(J5))*3,0)</f>
        <v>Chagned</v>
      </c>
      <c r="K4" t="str">
        <f ca="1">OFFSET(Sheet2!M$4,(ROW(K5))*3,0)</f>
        <v>Carberator was cleaned</v>
      </c>
      <c r="L4" t="str">
        <f ca="1">OFFSET(Sheet2!N$4,(ROW(L5))*3,0)</f>
        <v>Nothing done</v>
      </c>
      <c r="M4" t="str">
        <f ca="1">OFFSET(Sheet2!O$4,(ROW(M5))*3,0)</f>
        <v>Cleaned Filter</v>
      </c>
      <c r="N4" t="str">
        <f ca="1">OFFSET(Sheet2!P$4,(ROW(N5))*3,0)</f>
        <v>Nothing done, despite recommendation</v>
      </c>
      <c r="O4" t="str">
        <f ca="1">OFFSET(Sheet2!Q$4,(ROW(O5))*3,0)</f>
        <v>Nothing Done</v>
      </c>
      <c r="P4">
        <f ca="1">OFFSET(Sheet2!R$4,(ROW(P5))*3,0)</f>
        <v>0</v>
      </c>
      <c r="Q4">
        <f ca="1">OFFSET(Sheet2!S$4,(ROW(Q5))*3,0)</f>
        <v>0</v>
      </c>
      <c r="R4">
        <f ca="1">OFFSET(Sheet2!T$4,(ROW(R5))*3,0)</f>
        <v>0</v>
      </c>
      <c r="S4">
        <f ca="1">OFFSET(Sheet2!U$2,(ROW(S5))*3,0)</f>
        <v>0</v>
      </c>
      <c r="T4">
        <f ca="1">OFFSET(Sheet2!V$2,(ROW(T5))*3,0)</f>
        <v>0</v>
      </c>
    </row>
    <row r="5" spans="1:20" x14ac:dyDescent="0.35">
      <c r="A5">
        <f ca="1">OFFSET(Sheet2!B$4,(ROW(A6))*3,0)</f>
        <v>43900</v>
      </c>
      <c r="B5">
        <f ca="1">OFFSET(Sheet2!C$4,(ROW(B6))*3,0)</f>
        <v>1</v>
      </c>
      <c r="C5" t="str">
        <f ca="1">OFFSET(Sheet2!D$4,(ROW(C6))*3,0)</f>
        <v>North</v>
      </c>
      <c r="D5" t="str">
        <f ca="1">OFFSET(Sheet2!F$4,(ROW(D6))*3,0)</f>
        <v>Mwalye Eric Sam</v>
      </c>
      <c r="E5" t="str">
        <f ca="1">OFFSET(Sheet2!G$4,(ROW(E6))*3,0)</f>
        <v>H2Go</v>
      </c>
      <c r="F5">
        <f ca="1">OFFSET(Sheet2!H$4,(ROW(F6))*3,0)</f>
        <v>0</v>
      </c>
      <c r="G5" t="str">
        <f ca="1">OFFSET(Sheet2!I$4,(ROW(G6))*3,0)</f>
        <v>WEEKLY</v>
      </c>
      <c r="H5">
        <f ca="1">OFFSET(Sheet2!J$4,(ROW(H6))*3,0)</f>
        <v>207</v>
      </c>
      <c r="I5" t="str">
        <f ca="1">OFFSET(Sheet2!K$4,(ROW(I6))*3,0)</f>
        <v>Actions</v>
      </c>
      <c r="J5" t="str">
        <f ca="1">OFFSET(Sheet2!L$4,(ROW(J6))*3,0)</f>
        <v>Chagned</v>
      </c>
      <c r="K5" t="str">
        <f ca="1">OFFSET(Sheet2!M$4,(ROW(K6))*3,0)</f>
        <v>Nothing done</v>
      </c>
      <c r="L5" t="str">
        <f ca="1">OFFSET(Sheet2!N$4,(ROW(L6))*3,0)</f>
        <v>Nothing done</v>
      </c>
      <c r="M5" t="str">
        <f ca="1">OFFSET(Sheet2!O$4,(ROW(M6))*3,0)</f>
        <v>Cleaned Filter</v>
      </c>
      <c r="N5" t="str">
        <f ca="1">OFFSET(Sheet2!P$4,(ROW(N6))*3,0)</f>
        <v>Nothing done, despite recommendation</v>
      </c>
      <c r="O5" t="str">
        <f ca="1">OFFSET(Sheet2!Q$4,(ROW(O6))*3,0)</f>
        <v>Nothing Done</v>
      </c>
      <c r="P5">
        <f ca="1">OFFSET(Sheet2!R$4,(ROW(P6))*3,0)</f>
        <v>0</v>
      </c>
      <c r="Q5">
        <f ca="1">OFFSET(Sheet2!S$4,(ROW(Q6))*3,0)</f>
        <v>0</v>
      </c>
      <c r="R5">
        <f ca="1">OFFSET(Sheet2!T$4,(ROW(R6))*3,0)</f>
        <v>0</v>
      </c>
      <c r="S5">
        <f ca="1">OFFSET(Sheet2!U$2,(ROW(S6))*3,0)</f>
        <v>0</v>
      </c>
      <c r="T5">
        <f ca="1">OFFSET(Sheet2!V$2,(ROW(T6))*3,0)</f>
        <v>0</v>
      </c>
    </row>
    <row r="6" spans="1:20" x14ac:dyDescent="0.35">
      <c r="A6">
        <f ca="1">OFFSET(Sheet2!B$4,(ROW(A7))*3,0)</f>
        <v>43840</v>
      </c>
      <c r="B6">
        <f ca="1">OFFSET(Sheet2!C$4,(ROW(B7))*3,0)</f>
        <v>2</v>
      </c>
      <c r="C6" t="str">
        <f ca="1">OFFSET(Sheet2!D$4,(ROW(C7))*3,0)</f>
        <v>North</v>
      </c>
      <c r="D6" t="str">
        <f ca="1">OFFSET(Sheet2!F$4,(ROW(D7))*3,0)</f>
        <v>Masaba leonard</v>
      </c>
      <c r="E6" t="str">
        <f ca="1">OFFSET(Sheet2!G$4,(ROW(E7))*3,0)</f>
        <v>H2Go</v>
      </c>
      <c r="F6">
        <f ca="1">OFFSET(Sheet2!H$4,(ROW(F7))*3,0)</f>
        <v>0</v>
      </c>
      <c r="G6" t="str">
        <f ca="1">OFFSET(Sheet2!I$4,(ROW(G7))*3,0)</f>
        <v>Comprehensive</v>
      </c>
      <c r="H6">
        <f ca="1">OFFSET(Sheet2!J$4,(ROW(H7))*3,0)</f>
        <v>30</v>
      </c>
      <c r="I6" t="str">
        <f ca="1">OFFSET(Sheet2!K$4,(ROW(I7))*3,0)</f>
        <v>Actions</v>
      </c>
      <c r="J6" t="str">
        <f ca="1">OFFSET(Sheet2!L$4,(ROW(J7))*3,0)</f>
        <v>Oil  replaced</v>
      </c>
      <c r="K6" t="str">
        <f ca="1">OFFSET(Sheet2!M$4,(ROW(K7))*3,0)</f>
        <v>Did simple cleaning</v>
      </c>
      <c r="L6" t="str">
        <f ca="1">OFFSET(Sheet2!N$4,(ROW(L7))*3,0)</f>
        <v>Nothing done</v>
      </c>
      <c r="M6" t="str">
        <f ca="1">OFFSET(Sheet2!O$4,(ROW(M7))*3,0)</f>
        <v>Nothing done</v>
      </c>
      <c r="N6" t="str">
        <f ca="1">OFFSET(Sheet2!P$4,(ROW(N7))*3,0)</f>
        <v>Plug replaced</v>
      </c>
      <c r="O6" t="str">
        <f ca="1">OFFSET(Sheet2!Q$4,(ROW(O7))*3,0)</f>
        <v>Nothing done</v>
      </c>
      <c r="P6" t="str">
        <f ca="1">OFFSET(Sheet2!R$4,(ROW(P7))*3,0)</f>
        <v>Nothing done</v>
      </c>
      <c r="Q6" t="str">
        <f ca="1">OFFSET(Sheet2!S$4,(ROW(Q7))*3,0)</f>
        <v>Nothing done</v>
      </c>
      <c r="R6" t="str">
        <f ca="1">OFFSET(Sheet2!T$4,(ROW(R7))*3,0)</f>
        <v>Nothing done</v>
      </c>
      <c r="S6">
        <f ca="1">OFFSET(Sheet2!U$2,(ROW(S7))*3,0)</f>
        <v>0</v>
      </c>
      <c r="T6">
        <f ca="1">OFFSET(Sheet2!V$2,(ROW(T7))*3,0)</f>
        <v>0</v>
      </c>
    </row>
    <row r="7" spans="1:20" x14ac:dyDescent="0.35">
      <c r="A7" t="str">
        <f ca="1">OFFSET(Sheet2!B$4,(ROW(A8))*3,0)</f>
        <v>18/1/2020</v>
      </c>
      <c r="B7">
        <f ca="1">OFFSET(Sheet2!C$4,(ROW(B8))*3,0)</f>
        <v>2</v>
      </c>
      <c r="C7" t="str">
        <f ca="1">OFFSET(Sheet2!D$4,(ROW(C8))*3,0)</f>
        <v>North</v>
      </c>
      <c r="D7" t="str">
        <f ca="1">OFFSET(Sheet2!F$4,(ROW(D8))*3,0)</f>
        <v>Masaba leonard</v>
      </c>
      <c r="E7" t="str">
        <f ca="1">OFFSET(Sheet2!G$4,(ROW(E8))*3,0)</f>
        <v>H2Go</v>
      </c>
      <c r="F7">
        <f ca="1">OFFSET(Sheet2!H$4,(ROW(F8))*3,0)</f>
        <v>0</v>
      </c>
      <c r="G7" t="str">
        <f ca="1">OFFSET(Sheet2!I$4,(ROW(G8))*3,0)</f>
        <v>weekly</v>
      </c>
      <c r="H7">
        <f ca="1">OFFSET(Sheet2!J$4,(ROW(H8))*3,0)</f>
        <v>49</v>
      </c>
      <c r="I7" t="str">
        <f ca="1">OFFSET(Sheet2!K$4,(ROW(I8))*3,0)</f>
        <v>Actions</v>
      </c>
      <c r="J7" t="str">
        <f ca="1">OFFSET(Sheet2!L$4,(ROW(J8))*3,0)</f>
        <v>oil changed</v>
      </c>
      <c r="K7" t="str">
        <f ca="1">OFFSET(Sheet2!M$4,(ROW(K8))*3,0)</f>
        <v>Cleaned</v>
      </c>
      <c r="L7" t="str">
        <f ca="1">OFFSET(Sheet2!N$4,(ROW(L8))*3,0)</f>
        <v>Aligned</v>
      </c>
      <c r="M7" t="str">
        <f ca="1">OFFSET(Sheet2!O$4,(ROW(M8))*3,0)</f>
        <v>Dusted just</v>
      </c>
      <c r="N7" t="str">
        <f ca="1">OFFSET(Sheet2!P$4,(ROW(N8))*3,0)</f>
        <v>Nothing done</v>
      </c>
      <c r="O7" t="str">
        <f ca="1">OFFSET(Sheet2!Q$4,(ROW(O8))*3,0)</f>
        <v>Nothing done</v>
      </c>
      <c r="P7">
        <f ca="1">OFFSET(Sheet2!R$4,(ROW(P8))*3,0)</f>
        <v>0</v>
      </c>
      <c r="Q7">
        <f ca="1">OFFSET(Sheet2!S$4,(ROW(Q8))*3,0)</f>
        <v>0</v>
      </c>
      <c r="R7">
        <f ca="1">OFFSET(Sheet2!T$4,(ROW(R8))*3,0)</f>
        <v>0</v>
      </c>
      <c r="S7">
        <f ca="1">OFFSET(Sheet2!U$2,(ROW(S8))*3,0)</f>
        <v>0</v>
      </c>
      <c r="T7">
        <f ca="1">OFFSET(Sheet2!V$2,(ROW(T8))*3,0)</f>
        <v>0</v>
      </c>
    </row>
    <row r="8" spans="1:20" x14ac:dyDescent="0.35">
      <c r="A8" t="str">
        <f ca="1">OFFSET(Sheet2!B$4,(ROW(A9))*3,0)</f>
        <v>24/1/12020</v>
      </c>
      <c r="B8">
        <f ca="1">OFFSET(Sheet2!C$4,(ROW(B9))*3,0)</f>
        <v>2</v>
      </c>
      <c r="C8" t="str">
        <f ca="1">OFFSET(Sheet2!D$4,(ROW(C9))*3,0)</f>
        <v>North</v>
      </c>
      <c r="D8" t="str">
        <f ca="1">OFFSET(Sheet2!F$4,(ROW(D9))*3,0)</f>
        <v>Masaba leonard</v>
      </c>
      <c r="E8" t="str">
        <f ca="1">OFFSET(Sheet2!G$4,(ROW(E9))*3,0)</f>
        <v>H2Go</v>
      </c>
      <c r="F8">
        <f ca="1">OFFSET(Sheet2!H$4,(ROW(F9))*3,0)</f>
        <v>0</v>
      </c>
      <c r="G8" t="str">
        <f ca="1">OFFSET(Sheet2!I$4,(ROW(G9))*3,0)</f>
        <v>Weekly</v>
      </c>
      <c r="H8">
        <f ca="1">OFFSET(Sheet2!J$4,(ROW(H9))*3,0)</f>
        <v>44</v>
      </c>
      <c r="I8" t="str">
        <f ca="1">OFFSET(Sheet2!K$4,(ROW(I9))*3,0)</f>
        <v>Actions</v>
      </c>
      <c r="J8" t="str">
        <f ca="1">OFFSET(Sheet2!L$4,(ROW(J9))*3,0)</f>
        <v>Changed</v>
      </c>
      <c r="K8" t="str">
        <f ca="1">OFFSET(Sheet2!M$4,(ROW(K9))*3,0)</f>
        <v>Cleaned</v>
      </c>
      <c r="L8" t="str">
        <f ca="1">OFFSET(Sheet2!N$4,(ROW(L9))*3,0)</f>
        <v>Nothing done</v>
      </c>
      <c r="M8" t="str">
        <f ca="1">OFFSET(Sheet2!O$4,(ROW(M9))*3,0)</f>
        <v>Nothing done</v>
      </c>
      <c r="N8" t="str">
        <f ca="1">OFFSET(Sheet2!P$4,(ROW(N9))*3,0)</f>
        <v>Nothing done</v>
      </c>
      <c r="O8" t="str">
        <f ca="1">OFFSET(Sheet2!Q$4,(ROW(O9))*3,0)</f>
        <v>Nothing done</v>
      </c>
      <c r="P8" t="str">
        <f ca="1">OFFSET(Sheet2!R$4,(ROW(P9))*3,0)</f>
        <v>Nothing done</v>
      </c>
      <c r="Q8" t="str">
        <f ca="1">OFFSET(Sheet2!S$4,(ROW(Q9))*3,0)</f>
        <v>Nothing done</v>
      </c>
      <c r="R8" t="str">
        <f ca="1">OFFSET(Sheet2!T$4,(ROW(R9))*3,0)</f>
        <v>Nothing done</v>
      </c>
      <c r="S8">
        <f ca="1">OFFSET(Sheet2!U$2,(ROW(S9))*3,0)</f>
        <v>0</v>
      </c>
      <c r="T8">
        <f ca="1">OFFSET(Sheet2!V$2,(ROW(T9))*3,0)</f>
        <v>0</v>
      </c>
    </row>
    <row r="9" spans="1:20" x14ac:dyDescent="0.35">
      <c r="A9" t="str">
        <f ca="1">OFFSET(Sheet2!B$4,(ROW(A10))*3,0)</f>
        <v>31/1/2020</v>
      </c>
      <c r="B9">
        <f ca="1">OFFSET(Sheet2!C$4,(ROW(B10))*3,0)</f>
        <v>2</v>
      </c>
      <c r="C9" t="str">
        <f ca="1">OFFSET(Sheet2!D$4,(ROW(C10))*3,0)</f>
        <v>North</v>
      </c>
      <c r="D9" t="str">
        <f ca="1">OFFSET(Sheet2!F$4,(ROW(D10))*3,0)</f>
        <v>Masaba leonard</v>
      </c>
      <c r="E9" t="str">
        <f ca="1">OFFSET(Sheet2!G$4,(ROW(E10))*3,0)</f>
        <v>H2Go</v>
      </c>
      <c r="F9">
        <f ca="1">OFFSET(Sheet2!H$4,(ROW(F10))*3,0)</f>
        <v>0</v>
      </c>
      <c r="G9" t="str">
        <f ca="1">OFFSET(Sheet2!I$4,(ROW(G10))*3,0)</f>
        <v>weekly</v>
      </c>
      <c r="H9">
        <f ca="1">OFFSET(Sheet2!J$4,(ROW(H10))*3,0)</f>
        <v>267</v>
      </c>
      <c r="I9" t="str">
        <f ca="1">OFFSET(Sheet2!K$4,(ROW(I10))*3,0)</f>
        <v>Actions</v>
      </c>
      <c r="J9" t="str">
        <f ca="1">OFFSET(Sheet2!L$4,(ROW(J10))*3,0)</f>
        <v>Chanrged</v>
      </c>
      <c r="K9" t="str">
        <f ca="1">OFFSET(Sheet2!M$4,(ROW(K10))*3,0)</f>
        <v>Cleaned</v>
      </c>
      <c r="L9" t="str">
        <f ca="1">OFFSET(Sheet2!N$4,(ROW(L10))*3,0)</f>
        <v>Nothing done</v>
      </c>
      <c r="M9" t="str">
        <f ca="1">OFFSET(Sheet2!O$4,(ROW(M10))*3,0)</f>
        <v>Nothing done</v>
      </c>
      <c r="N9" t="str">
        <f ca="1">OFFSET(Sheet2!P$4,(ROW(N10))*3,0)</f>
        <v>Nothing done</v>
      </c>
      <c r="O9" t="str">
        <f ca="1">OFFSET(Sheet2!Q$4,(ROW(O10))*3,0)</f>
        <v>Nothing done</v>
      </c>
      <c r="P9" t="str">
        <f ca="1">OFFSET(Sheet2!R$4,(ROW(P10))*3,0)</f>
        <v>Nothing done</v>
      </c>
      <c r="Q9" t="str">
        <f ca="1">OFFSET(Sheet2!S$4,(ROW(Q10))*3,0)</f>
        <v>Changed</v>
      </c>
      <c r="R9" t="str">
        <f ca="1">OFFSET(Sheet2!T$4,(ROW(R10))*3,0)</f>
        <v>Cleaned</v>
      </c>
      <c r="S9">
        <f ca="1">OFFSET(Sheet2!U$2,(ROW(S10))*3,0)</f>
        <v>0</v>
      </c>
      <c r="T9">
        <f ca="1">OFFSET(Sheet2!V$2,(ROW(T10))*3,0)</f>
        <v>0</v>
      </c>
    </row>
    <row r="10" spans="1:20" x14ac:dyDescent="0.35">
      <c r="A10">
        <f ca="1">OFFSET(Sheet2!B$4,(ROW(A11))*3,0)</f>
        <v>43868</v>
      </c>
      <c r="B10">
        <f ca="1">OFFSET(Sheet2!C$4,(ROW(B11))*3,0)</f>
        <v>2</v>
      </c>
      <c r="C10" t="str">
        <f ca="1">OFFSET(Sheet2!D$4,(ROW(C11))*3,0)</f>
        <v>North</v>
      </c>
      <c r="D10" t="str">
        <f ca="1">OFFSET(Sheet2!F$4,(ROW(D11))*3,0)</f>
        <v>MASABA LENARD</v>
      </c>
      <c r="E10" t="str">
        <f ca="1">OFFSET(Sheet2!G$4,(ROW(E11))*3,0)</f>
        <v>H2Go</v>
      </c>
      <c r="F10">
        <f ca="1">OFFSET(Sheet2!H$4,(ROW(F11))*3,0)</f>
        <v>0</v>
      </c>
      <c r="G10" t="str">
        <f ca="1">OFFSET(Sheet2!I$4,(ROW(G11))*3,0)</f>
        <v>weekly</v>
      </c>
      <c r="H10">
        <f ca="1">OFFSET(Sheet2!J$4,(ROW(H11))*3,0)</f>
        <v>290</v>
      </c>
      <c r="I10" t="str">
        <f ca="1">OFFSET(Sheet2!K$4,(ROW(I11))*3,0)</f>
        <v>Actions</v>
      </c>
      <c r="J10" t="str">
        <f ca="1">OFFSET(Sheet2!L$4,(ROW(J11))*3,0)</f>
        <v>oil changed</v>
      </c>
      <c r="K10" t="str">
        <f ca="1">OFFSET(Sheet2!M$4,(ROW(K11))*3,0)</f>
        <v>Nothing done</v>
      </c>
      <c r="L10" t="str">
        <f ca="1">OFFSET(Sheet2!N$4,(ROW(L11))*3,0)</f>
        <v>Nothing done</v>
      </c>
      <c r="M10" t="str">
        <f ca="1">OFFSET(Sheet2!O$4,(ROW(M11))*3,0)</f>
        <v>Waashed</v>
      </c>
      <c r="N10" t="str">
        <f ca="1">OFFSET(Sheet2!P$4,(ROW(N11))*3,0)</f>
        <v>Cleaned</v>
      </c>
      <c r="O10" t="str">
        <f ca="1">OFFSET(Sheet2!Q$4,(ROW(O11))*3,0)</f>
        <v>Nothing done</v>
      </c>
      <c r="P10" t="str">
        <f ca="1">OFFSET(Sheet2!R$4,(ROW(P11))*3,0)</f>
        <v>Checked</v>
      </c>
      <c r="Q10" t="str">
        <f ca="1">OFFSET(Sheet2!S$4,(ROW(Q11))*3,0)</f>
        <v>Checked</v>
      </c>
      <c r="R10" t="str">
        <f ca="1">OFFSET(Sheet2!T$4,(ROW(R11))*3,0)</f>
        <v>Checked</v>
      </c>
      <c r="S10">
        <f ca="1">OFFSET(Sheet2!U$2,(ROW(S11))*3,0)</f>
        <v>0</v>
      </c>
      <c r="T10">
        <f ca="1">OFFSET(Sheet2!V$2,(ROW(T11))*3,0)</f>
        <v>0</v>
      </c>
    </row>
    <row r="11" spans="1:20" x14ac:dyDescent="0.35">
      <c r="A11">
        <f ca="1">OFFSET(Sheet2!B$4,(ROW(A12))*3,0)</f>
        <v>43875</v>
      </c>
      <c r="B11">
        <f ca="1">OFFSET(Sheet2!C$4,(ROW(B12))*3,0)</f>
        <v>2</v>
      </c>
      <c r="C11" t="str">
        <f ca="1">OFFSET(Sheet2!D$4,(ROW(C12))*3,0)</f>
        <v>North</v>
      </c>
      <c r="D11" t="str">
        <f ca="1">OFFSET(Sheet2!F$4,(ROW(D12))*3,0)</f>
        <v>Masaba leonard</v>
      </c>
      <c r="E11" t="str">
        <f ca="1">OFFSET(Sheet2!G$4,(ROW(E12))*3,0)</f>
        <v>H2Go</v>
      </c>
      <c r="F11">
        <f ca="1">OFFSET(Sheet2!H$4,(ROW(F12))*3,0)</f>
        <v>0</v>
      </c>
      <c r="G11" t="str">
        <f ca="1">OFFSET(Sheet2!I$4,(ROW(G12))*3,0)</f>
        <v>WEEKLY</v>
      </c>
      <c r="H11">
        <f ca="1">OFFSET(Sheet2!J$4,(ROW(H12))*3,0)</f>
        <v>297</v>
      </c>
      <c r="I11" t="str">
        <f ca="1">OFFSET(Sheet2!K$4,(ROW(I12))*3,0)</f>
        <v>Actions</v>
      </c>
      <c r="J11" t="str">
        <f ca="1">OFFSET(Sheet2!L$4,(ROW(J12))*3,0)</f>
        <v>Chagned</v>
      </c>
      <c r="K11" t="str">
        <f ca="1">OFFSET(Sheet2!M$4,(ROW(K12))*3,0)</f>
        <v>Carberator was cleaned</v>
      </c>
      <c r="L11" t="str">
        <f ca="1">OFFSET(Sheet2!N$4,(ROW(L12))*3,0)</f>
        <v>Nothing done</v>
      </c>
      <c r="M11" t="str">
        <f ca="1">OFFSET(Sheet2!O$4,(ROW(M12))*3,0)</f>
        <v>Nothing done</v>
      </c>
      <c r="N11" t="str">
        <f ca="1">OFFSET(Sheet2!P$4,(ROW(N12))*3,0)</f>
        <v>Nothing done</v>
      </c>
      <c r="O11" t="str">
        <f ca="1">OFFSET(Sheet2!Q$4,(ROW(O12))*3,0)</f>
        <v xml:space="preserve">Replaced Nut </v>
      </c>
      <c r="P11">
        <f ca="1">OFFSET(Sheet2!R$4,(ROW(P12))*3,0)</f>
        <v>0</v>
      </c>
      <c r="Q11">
        <f ca="1">OFFSET(Sheet2!S$4,(ROW(Q12))*3,0)</f>
        <v>0</v>
      </c>
      <c r="R11">
        <f ca="1">OFFSET(Sheet2!T$4,(ROW(R12))*3,0)</f>
        <v>0</v>
      </c>
      <c r="S11">
        <f ca="1">OFFSET(Sheet2!U$2,(ROW(S12))*3,0)</f>
        <v>0</v>
      </c>
      <c r="T11">
        <f ca="1">OFFSET(Sheet2!V$2,(ROW(T12))*3,0)</f>
        <v>0</v>
      </c>
    </row>
    <row r="12" spans="1:20" x14ac:dyDescent="0.35">
      <c r="A12">
        <f ca="1">OFFSET(Sheet2!B$4,(ROW(A13))*3,0)</f>
        <v>43877</v>
      </c>
      <c r="B12">
        <f ca="1">OFFSET(Sheet2!C$4,(ROW(B13))*3,0)</f>
        <v>2</v>
      </c>
      <c r="C12" t="str">
        <f ca="1">OFFSET(Sheet2!D$4,(ROW(C13))*3,0)</f>
        <v>North</v>
      </c>
      <c r="D12" t="str">
        <f ca="1">OFFSET(Sheet2!F$4,(ROW(D13))*3,0)</f>
        <v>Masaba leonard</v>
      </c>
      <c r="E12" t="str">
        <f ca="1">OFFSET(Sheet2!G$4,(ROW(E13))*3,0)</f>
        <v>H2Go</v>
      </c>
      <c r="F12">
        <f ca="1">OFFSET(Sheet2!H$4,(ROW(F13))*3,0)</f>
        <v>0</v>
      </c>
      <c r="G12" t="str">
        <f ca="1">OFFSET(Sheet2!I$4,(ROW(G13))*3,0)</f>
        <v>WEEKLY</v>
      </c>
      <c r="H12">
        <f ca="1">OFFSET(Sheet2!J$4,(ROW(H13))*3,0)</f>
        <v>223</v>
      </c>
      <c r="I12" t="str">
        <f ca="1">OFFSET(Sheet2!K$4,(ROW(I13))*3,0)</f>
        <v>Actions</v>
      </c>
      <c r="J12" t="str">
        <f ca="1">OFFSET(Sheet2!L$4,(ROW(J13))*3,0)</f>
        <v>Chagned</v>
      </c>
      <c r="K12" t="str">
        <f ca="1">OFFSET(Sheet2!M$4,(ROW(K13))*3,0)</f>
        <v>Nothing done</v>
      </c>
      <c r="L12" t="str">
        <f ca="1">OFFSET(Sheet2!N$4,(ROW(L13))*3,0)</f>
        <v>Nothing done</v>
      </c>
      <c r="M12" t="str">
        <f ca="1">OFFSET(Sheet2!O$4,(ROW(M13))*3,0)</f>
        <v>Nothing done</v>
      </c>
      <c r="N12" t="str">
        <f ca="1">OFFSET(Sheet2!P$4,(ROW(N13))*3,0)</f>
        <v>Nothing done</v>
      </c>
      <c r="O12" t="str">
        <f ca="1">OFFSET(Sheet2!Q$4,(ROW(O13))*3,0)</f>
        <v>Nothing Done</v>
      </c>
      <c r="P12">
        <f ca="1">OFFSET(Sheet2!R$4,(ROW(P13))*3,0)</f>
        <v>0</v>
      </c>
      <c r="Q12">
        <f ca="1">OFFSET(Sheet2!S$4,(ROW(Q13))*3,0)</f>
        <v>0</v>
      </c>
      <c r="R12">
        <f ca="1">OFFSET(Sheet2!T$4,(ROW(R13))*3,0)</f>
        <v>0</v>
      </c>
      <c r="S12">
        <f ca="1">OFFSET(Sheet2!U$2,(ROW(S13))*3,0)</f>
        <v>0</v>
      </c>
      <c r="T12">
        <f ca="1">OFFSET(Sheet2!V$2,(ROW(T13))*3,0)</f>
        <v>0</v>
      </c>
    </row>
    <row r="13" spans="1:20" x14ac:dyDescent="0.35">
      <c r="A13">
        <f ca="1">OFFSET(Sheet2!B$4,(ROW(A14))*3,0)</f>
        <v>43884</v>
      </c>
      <c r="B13">
        <f ca="1">OFFSET(Sheet2!C$4,(ROW(B14))*3,0)</f>
        <v>2</v>
      </c>
      <c r="C13" t="str">
        <f ca="1">OFFSET(Sheet2!D$4,(ROW(C14))*3,0)</f>
        <v>North</v>
      </c>
      <c r="D13" t="str">
        <f ca="1">OFFSET(Sheet2!F$4,(ROW(D14))*3,0)</f>
        <v>Masaba leonard</v>
      </c>
      <c r="E13" t="str">
        <f ca="1">OFFSET(Sheet2!G$4,(ROW(E14))*3,0)</f>
        <v>H2Go</v>
      </c>
      <c r="F13">
        <f ca="1">OFFSET(Sheet2!H$4,(ROW(F14))*3,0)</f>
        <v>0</v>
      </c>
      <c r="G13" t="str">
        <f ca="1">OFFSET(Sheet2!I$4,(ROW(G14))*3,0)</f>
        <v>WEEKLY</v>
      </c>
      <c r="H13">
        <f ca="1">OFFSET(Sheet2!J$4,(ROW(H14))*3,0)</f>
        <v>246</v>
      </c>
      <c r="I13" t="str">
        <f ca="1">OFFSET(Sheet2!K$4,(ROW(I14))*3,0)</f>
        <v>Actions</v>
      </c>
      <c r="J13" t="str">
        <f ca="1">OFFSET(Sheet2!L$4,(ROW(J14))*3,0)</f>
        <v>Chagned</v>
      </c>
      <c r="K13" t="str">
        <f ca="1">OFFSET(Sheet2!M$4,(ROW(K14))*3,0)</f>
        <v>Nothing done, despite recommendation</v>
      </c>
      <c r="L13" t="str">
        <f ca="1">OFFSET(Sheet2!N$4,(ROW(L14))*3,0)</f>
        <v>Nothing done</v>
      </c>
      <c r="M13" t="str">
        <f ca="1">OFFSET(Sheet2!O$4,(ROW(M14))*3,0)</f>
        <v>Nothing done, despite recommendation</v>
      </c>
      <c r="N13" t="str">
        <f ca="1">OFFSET(Sheet2!P$4,(ROW(N14))*3,0)</f>
        <v>Nothing done, despite recommendation</v>
      </c>
      <c r="O13" t="str">
        <f ca="1">OFFSET(Sheet2!Q$4,(ROW(O14))*3,0)</f>
        <v>Nothing Done</v>
      </c>
      <c r="P13">
        <f ca="1">OFFSET(Sheet2!R$4,(ROW(P14))*3,0)</f>
        <v>0</v>
      </c>
      <c r="Q13">
        <f ca="1">OFFSET(Sheet2!S$4,(ROW(Q14))*3,0)</f>
        <v>0</v>
      </c>
      <c r="R13">
        <f ca="1">OFFSET(Sheet2!T$4,(ROW(R14))*3,0)</f>
        <v>0</v>
      </c>
      <c r="S13">
        <f ca="1">OFFSET(Sheet2!U$2,(ROW(S14))*3,0)</f>
        <v>0</v>
      </c>
      <c r="T13">
        <f ca="1">OFFSET(Sheet2!V$2,(ROW(T14))*3,0)</f>
        <v>0</v>
      </c>
    </row>
    <row r="14" spans="1:20" x14ac:dyDescent="0.35">
      <c r="A14">
        <f ca="1">OFFSET(Sheet2!B$4,(ROW(A15))*3,0)</f>
        <v>43894</v>
      </c>
      <c r="B14">
        <f ca="1">OFFSET(Sheet2!C$4,(ROW(B15))*3,0)</f>
        <v>2</v>
      </c>
      <c r="C14" t="str">
        <f ca="1">OFFSET(Sheet2!D$4,(ROW(C15))*3,0)</f>
        <v>North</v>
      </c>
      <c r="D14" t="str">
        <f ca="1">OFFSET(Sheet2!F$4,(ROW(D15))*3,0)</f>
        <v>Masaba leonard</v>
      </c>
      <c r="E14" t="str">
        <f ca="1">OFFSET(Sheet2!G$4,(ROW(E15))*3,0)</f>
        <v>H2GO</v>
      </c>
      <c r="F14">
        <f ca="1">OFFSET(Sheet2!H$4,(ROW(F15))*3,0)</f>
        <v>0</v>
      </c>
      <c r="G14" t="str">
        <f ca="1">OFFSET(Sheet2!I$4,(ROW(G15))*3,0)</f>
        <v>WEEKLY</v>
      </c>
      <c r="H14">
        <f ca="1">OFFSET(Sheet2!J$4,(ROW(H15))*3,0)</f>
        <v>228</v>
      </c>
      <c r="I14" t="str">
        <f ca="1">OFFSET(Sheet2!K$4,(ROW(I15))*3,0)</f>
        <v>Actions</v>
      </c>
      <c r="J14" t="str">
        <f ca="1">OFFSET(Sheet2!L$4,(ROW(J15))*3,0)</f>
        <v>Chagned</v>
      </c>
      <c r="K14" t="str">
        <f ca="1">OFFSET(Sheet2!M$4,(ROW(K15))*3,0)</f>
        <v>Carberator was cleaned</v>
      </c>
      <c r="L14" t="str">
        <f ca="1">OFFSET(Sheet2!N$4,(ROW(L15))*3,0)</f>
        <v>Aligned/adjusted</v>
      </c>
      <c r="M14" t="str">
        <f ca="1">OFFSET(Sheet2!O$4,(ROW(M15))*3,0)</f>
        <v>Nothing done</v>
      </c>
      <c r="N14" t="str">
        <f ca="1">OFFSET(Sheet2!P$4,(ROW(N15))*3,0)</f>
        <v>Nothing done, despite recommendation</v>
      </c>
      <c r="O14" t="str">
        <f ca="1">OFFSET(Sheet2!Q$4,(ROW(O15))*3,0)</f>
        <v>Replaced Magneto</v>
      </c>
      <c r="P14">
        <f ca="1">OFFSET(Sheet2!R$4,(ROW(P15))*3,0)</f>
        <v>0</v>
      </c>
      <c r="Q14">
        <f ca="1">OFFSET(Sheet2!S$4,(ROW(Q15))*3,0)</f>
        <v>0</v>
      </c>
      <c r="R14">
        <f ca="1">OFFSET(Sheet2!T$4,(ROW(R15))*3,0)</f>
        <v>0</v>
      </c>
      <c r="S14">
        <f ca="1">OFFSET(Sheet2!U$2,(ROW(S15))*3,0)</f>
        <v>0</v>
      </c>
      <c r="T14">
        <f ca="1">OFFSET(Sheet2!V$2,(ROW(T15))*3,0)</f>
        <v>0</v>
      </c>
    </row>
    <row r="15" spans="1:20" x14ac:dyDescent="0.35">
      <c r="A15">
        <f ca="1">OFFSET(Sheet2!B$4,(ROW(A16))*3,0)</f>
        <v>43842</v>
      </c>
      <c r="B15">
        <f ca="1">OFFSET(Sheet2!C$4,(ROW(B16))*3,0)</f>
        <v>3</v>
      </c>
      <c r="C15" t="str">
        <f ca="1">OFFSET(Sheet2!D$4,(ROW(C16))*3,0)</f>
        <v>North</v>
      </c>
      <c r="D15" t="str">
        <f ca="1">OFFSET(Sheet2!F$4,(ROW(D16))*3,0)</f>
        <v xml:space="preserve">Bwayo Rogers </v>
      </c>
      <c r="E15" t="str">
        <f ca="1">OFFSET(Sheet2!G$4,(ROW(E16))*3,0)</f>
        <v>H2Go</v>
      </c>
      <c r="F15">
        <f ca="1">OFFSET(Sheet2!H$4,(ROW(F16))*3,0)</f>
        <v>0</v>
      </c>
      <c r="G15" t="str">
        <f ca="1">OFFSET(Sheet2!I$4,(ROW(G16))*3,0)</f>
        <v>Comprehensive</v>
      </c>
      <c r="H15">
        <f ca="1">OFFSET(Sheet2!J$4,(ROW(H16))*3,0)</f>
        <v>28</v>
      </c>
      <c r="I15" t="str">
        <f ca="1">OFFSET(Sheet2!K$4,(ROW(I16))*3,0)</f>
        <v>Actions</v>
      </c>
      <c r="J15" t="str">
        <f ca="1">OFFSET(Sheet2!L$4,(ROW(J16))*3,0)</f>
        <v>Changed</v>
      </c>
      <c r="K15" t="str">
        <f ca="1">OFFSET(Sheet2!M$4,(ROW(K16))*3,0)</f>
        <v>Cleaned</v>
      </c>
      <c r="L15" t="str">
        <f ca="1">OFFSET(Sheet2!N$4,(ROW(L16))*3,0)</f>
        <v>Nothing done</v>
      </c>
      <c r="M15" t="str">
        <f ca="1">OFFSET(Sheet2!O$4,(ROW(M16))*3,0)</f>
        <v>Cleaned</v>
      </c>
      <c r="N15" t="str">
        <f ca="1">OFFSET(Sheet2!P$4,(ROW(N16))*3,0)</f>
        <v>Not changed</v>
      </c>
      <c r="O15" t="str">
        <f ca="1">OFFSET(Sheet2!Q$4,(ROW(O16))*3,0)</f>
        <v>Nothing done</v>
      </c>
      <c r="P15" t="str">
        <f ca="1">OFFSET(Sheet2!R$4,(ROW(P16))*3,0)</f>
        <v>Nothing done</v>
      </c>
      <c r="Q15" t="str">
        <f ca="1">OFFSET(Sheet2!S$4,(ROW(Q16))*3,0)</f>
        <v>Nothing done</v>
      </c>
      <c r="R15" t="str">
        <f ca="1">OFFSET(Sheet2!T$4,(ROW(R16))*3,0)</f>
        <v>Cleaned</v>
      </c>
      <c r="S15">
        <f ca="1">OFFSET(Sheet2!U$2,(ROW(S16))*3,0)</f>
        <v>0</v>
      </c>
      <c r="T15">
        <f ca="1">OFFSET(Sheet2!V$2,(ROW(T16))*3,0)</f>
        <v>0</v>
      </c>
    </row>
    <row r="16" spans="1:20" x14ac:dyDescent="0.35">
      <c r="A16" t="str">
        <f ca="1">OFFSET(Sheet2!B$4,(ROW(A17))*3,0)</f>
        <v>19/1/2020</v>
      </c>
      <c r="B16">
        <f ca="1">OFFSET(Sheet2!C$4,(ROW(B17))*3,0)</f>
        <v>3</v>
      </c>
      <c r="C16" t="str">
        <f ca="1">OFFSET(Sheet2!D$4,(ROW(C17))*3,0)</f>
        <v>North</v>
      </c>
      <c r="D16" t="str">
        <f ca="1">OFFSET(Sheet2!F$4,(ROW(D17))*3,0)</f>
        <v xml:space="preserve">Bwayo Rogers </v>
      </c>
      <c r="E16" t="str">
        <f ca="1">OFFSET(Sheet2!G$4,(ROW(E17))*3,0)</f>
        <v>H2Go</v>
      </c>
      <c r="F16">
        <f ca="1">OFFSET(Sheet2!H$4,(ROW(F17))*3,0)</f>
        <v>0</v>
      </c>
      <c r="G16" t="str">
        <f ca="1">OFFSET(Sheet2!I$4,(ROW(G17))*3,0)</f>
        <v>weekly</v>
      </c>
      <c r="H16">
        <f ca="1">OFFSET(Sheet2!J$4,(ROW(H17))*3,0)</f>
        <v>42</v>
      </c>
      <c r="I16" t="str">
        <f ca="1">OFFSET(Sheet2!K$4,(ROW(I17))*3,0)</f>
        <v>Actions</v>
      </c>
      <c r="J16" t="str">
        <f ca="1">OFFSET(Sheet2!L$4,(ROW(J17))*3,0)</f>
        <v>Changed</v>
      </c>
      <c r="K16" t="str">
        <f ca="1">OFFSET(Sheet2!M$4,(ROW(K17))*3,0)</f>
        <v>Nothing done</v>
      </c>
      <c r="L16" t="str">
        <f ca="1">OFFSET(Sheet2!N$4,(ROW(L17))*3,0)</f>
        <v>Nothing done</v>
      </c>
      <c r="M16" t="str">
        <f ca="1">OFFSET(Sheet2!O$4,(ROW(M17))*3,0)</f>
        <v>Did some cleaning</v>
      </c>
      <c r="N16" t="str">
        <f ca="1">OFFSET(Sheet2!P$4,(ROW(N17))*3,0)</f>
        <v>Nothing done</v>
      </c>
      <c r="O16" t="str">
        <f ca="1">OFFSET(Sheet2!Q$4,(ROW(O17))*3,0)</f>
        <v>Nothing done</v>
      </c>
      <c r="P16">
        <f ca="1">OFFSET(Sheet2!R$4,(ROW(P17))*3,0)</f>
        <v>0</v>
      </c>
      <c r="Q16">
        <f ca="1">OFFSET(Sheet2!S$4,(ROW(Q17))*3,0)</f>
        <v>0</v>
      </c>
      <c r="R16">
        <f ca="1">OFFSET(Sheet2!T$4,(ROW(R17))*3,0)</f>
        <v>0</v>
      </c>
      <c r="S16">
        <f ca="1">OFFSET(Sheet2!U$2,(ROW(S17))*3,0)</f>
        <v>0</v>
      </c>
      <c r="T16">
        <f ca="1">OFFSET(Sheet2!V$2,(ROW(T17))*3,0)</f>
        <v>0</v>
      </c>
    </row>
    <row r="17" spans="1:20" x14ac:dyDescent="0.35">
      <c r="A17" t="str">
        <f ca="1">OFFSET(Sheet2!B$4,(ROW(A18))*3,0)</f>
        <v>24/1/2020</v>
      </c>
      <c r="B17">
        <f ca="1">OFFSET(Sheet2!C$4,(ROW(B18))*3,0)</f>
        <v>3</v>
      </c>
      <c r="C17" t="str">
        <f ca="1">OFFSET(Sheet2!D$4,(ROW(C18))*3,0)</f>
        <v>North</v>
      </c>
      <c r="D17" t="str">
        <f ca="1">OFFSET(Sheet2!F$4,(ROW(D18))*3,0)</f>
        <v xml:space="preserve">Bwayo Rogers </v>
      </c>
      <c r="E17" t="str">
        <f ca="1">OFFSET(Sheet2!G$4,(ROW(E18))*3,0)</f>
        <v>H2Go</v>
      </c>
      <c r="F17">
        <f ca="1">OFFSET(Sheet2!H$4,(ROW(F18))*3,0)</f>
        <v>0</v>
      </c>
      <c r="G17" t="str">
        <f ca="1">OFFSET(Sheet2!I$4,(ROW(G18))*3,0)</f>
        <v>weekly</v>
      </c>
      <c r="H17">
        <f ca="1">OFFSET(Sheet2!J$4,(ROW(H18))*3,0)</f>
        <v>11</v>
      </c>
      <c r="I17" t="str">
        <f ca="1">OFFSET(Sheet2!K$4,(ROW(I18))*3,0)</f>
        <v>Actions</v>
      </c>
      <c r="J17" t="str">
        <f ca="1">OFFSET(Sheet2!L$4,(ROW(J18))*3,0)</f>
        <v>Changed</v>
      </c>
      <c r="K17" t="str">
        <f ca="1">OFFSET(Sheet2!M$4,(ROW(K18))*3,0)</f>
        <v>Nothing done</v>
      </c>
      <c r="L17" t="str">
        <f ca="1">OFFSET(Sheet2!N$4,(ROW(L18))*3,0)</f>
        <v>Nothing done</v>
      </c>
      <c r="M17" t="str">
        <f ca="1">OFFSET(Sheet2!O$4,(ROW(M18))*3,0)</f>
        <v>Nothing done</v>
      </c>
      <c r="N17" t="str">
        <f ca="1">OFFSET(Sheet2!P$4,(ROW(N18))*3,0)</f>
        <v>Nothing done</v>
      </c>
      <c r="O17">
        <f ca="1">OFFSET(Sheet2!Q$4,(ROW(O18))*3,0)</f>
        <v>0</v>
      </c>
      <c r="P17">
        <f ca="1">OFFSET(Sheet2!R$4,(ROW(P18))*3,0)</f>
        <v>0</v>
      </c>
      <c r="Q17">
        <f ca="1">OFFSET(Sheet2!S$4,(ROW(Q18))*3,0)</f>
        <v>0</v>
      </c>
      <c r="R17">
        <f ca="1">OFFSET(Sheet2!T$4,(ROW(R18))*3,0)</f>
        <v>0</v>
      </c>
      <c r="S17">
        <f ca="1">OFFSET(Sheet2!U$2,(ROW(S18))*3,0)</f>
        <v>0</v>
      </c>
      <c r="T17">
        <f ca="1">OFFSET(Sheet2!V$2,(ROW(T18))*3,0)</f>
        <v>0</v>
      </c>
    </row>
    <row r="18" spans="1:20" x14ac:dyDescent="0.35">
      <c r="A18" t="str">
        <f ca="1">OFFSET(Sheet2!B$4,(ROW(A19))*3,0)</f>
        <v>31/1/2020</v>
      </c>
      <c r="B18">
        <f ca="1">OFFSET(Sheet2!C$4,(ROW(B19))*3,0)</f>
        <v>3</v>
      </c>
      <c r="C18" t="str">
        <f ca="1">OFFSET(Sheet2!D$4,(ROW(C19))*3,0)</f>
        <v>North</v>
      </c>
      <c r="D18" t="str">
        <f ca="1">OFFSET(Sheet2!F$4,(ROW(D19))*3,0)</f>
        <v xml:space="preserve">Bwayo Rogers </v>
      </c>
      <c r="E18" t="str">
        <f ca="1">OFFSET(Sheet2!G$4,(ROW(E19))*3,0)</f>
        <v>H2Go</v>
      </c>
      <c r="F18">
        <f ca="1">OFFSET(Sheet2!H$4,(ROW(F19))*3,0)</f>
        <v>0</v>
      </c>
      <c r="G18" t="str">
        <f ca="1">OFFSET(Sheet2!I$4,(ROW(G19))*3,0)</f>
        <v>weekly</v>
      </c>
      <c r="H18">
        <f ca="1">OFFSET(Sheet2!J$4,(ROW(H19))*3,0)</f>
        <v>54</v>
      </c>
      <c r="I18" t="str">
        <f ca="1">OFFSET(Sheet2!K$4,(ROW(I19))*3,0)</f>
        <v>Actions</v>
      </c>
      <c r="J18" t="str">
        <f ca="1">OFFSET(Sheet2!L$4,(ROW(J19))*3,0)</f>
        <v>Changed</v>
      </c>
      <c r="K18" t="str">
        <f ca="1">OFFSET(Sheet2!M$4,(ROW(K19))*3,0)</f>
        <v>Nothing done</v>
      </c>
      <c r="L18" t="str">
        <f ca="1">OFFSET(Sheet2!N$4,(ROW(L19))*3,0)</f>
        <v>Nothing done</v>
      </c>
      <c r="M18" t="str">
        <f ca="1">OFFSET(Sheet2!O$4,(ROW(M19))*3,0)</f>
        <v>Cleaned</v>
      </c>
      <c r="N18" t="str">
        <f ca="1">OFFSET(Sheet2!P$4,(ROW(N19))*3,0)</f>
        <v>Nothing done</v>
      </c>
      <c r="O18" t="str">
        <f ca="1">OFFSET(Sheet2!Q$4,(ROW(O19))*3,0)</f>
        <v>Changed</v>
      </c>
      <c r="P18" t="str">
        <f ca="1">OFFSET(Sheet2!R$4,(ROW(P19))*3,0)</f>
        <v>Nothing done</v>
      </c>
      <c r="Q18" t="str">
        <f ca="1">OFFSET(Sheet2!S$4,(ROW(Q19))*3,0)</f>
        <v>Nothing done</v>
      </c>
      <c r="R18" t="str">
        <f ca="1">OFFSET(Sheet2!T$4,(ROW(R19))*3,0)</f>
        <v>Nothing done</v>
      </c>
      <c r="S18">
        <f ca="1">OFFSET(Sheet2!U$2,(ROW(S19))*3,0)</f>
        <v>0</v>
      </c>
      <c r="T18">
        <f ca="1">OFFSET(Sheet2!V$2,(ROW(T19))*3,0)</f>
        <v>0</v>
      </c>
    </row>
    <row r="19" spans="1:20" x14ac:dyDescent="0.35">
      <c r="A19">
        <f ca="1">OFFSET(Sheet2!B$4,(ROW(A20))*3,0)</f>
        <v>43868</v>
      </c>
      <c r="B19">
        <f ca="1">OFFSET(Sheet2!C$4,(ROW(B20))*3,0)</f>
        <v>3</v>
      </c>
      <c r="C19" t="str">
        <f ca="1">OFFSET(Sheet2!D$4,(ROW(C20))*3,0)</f>
        <v>North</v>
      </c>
      <c r="D19" t="str">
        <f ca="1">OFFSET(Sheet2!F$4,(ROW(D20))*3,0)</f>
        <v>Bwayo Rogers</v>
      </c>
      <c r="E19" t="str">
        <f ca="1">OFFSET(Sheet2!G$4,(ROW(E20))*3,0)</f>
        <v>H2Go</v>
      </c>
      <c r="F19">
        <f ca="1">OFFSET(Sheet2!H$4,(ROW(F20))*3,0)</f>
        <v>0</v>
      </c>
      <c r="G19" t="str">
        <f ca="1">OFFSET(Sheet2!I$4,(ROW(G20))*3,0)</f>
        <v>WEEKLY</v>
      </c>
      <c r="H19">
        <f ca="1">OFFSET(Sheet2!J$4,(ROW(H20))*3,0)</f>
        <v>261</v>
      </c>
      <c r="I19" t="str">
        <f ca="1">OFFSET(Sheet2!K$4,(ROW(I20))*3,0)</f>
        <v>Actions</v>
      </c>
      <c r="J19" t="str">
        <f ca="1">OFFSET(Sheet2!L$4,(ROW(J20))*3,0)</f>
        <v>Engine oil changed</v>
      </c>
      <c r="K19" t="str">
        <f ca="1">OFFSET(Sheet2!M$4,(ROW(K20))*3,0)</f>
        <v>No action taken</v>
      </c>
      <c r="L19" t="str">
        <f ca="1">OFFSET(Sheet2!N$4,(ROW(L20))*3,0)</f>
        <v>Nothing done</v>
      </c>
      <c r="M19" t="str">
        <f ca="1">OFFSET(Sheet2!O$4,(ROW(M20))*3,0)</f>
        <v>Cleaned</v>
      </c>
      <c r="N19" t="str">
        <f ca="1">OFFSET(Sheet2!P$4,(ROW(N20))*3,0)</f>
        <v>Nothing done</v>
      </c>
      <c r="O19" t="str">
        <f ca="1">OFFSET(Sheet2!Q$4,(ROW(O20))*3,0)</f>
        <v>No action taken</v>
      </c>
      <c r="P19" t="str">
        <f ca="1">OFFSET(Sheet2!R$4,(ROW(P20))*3,0)</f>
        <v>Checked</v>
      </c>
      <c r="Q19" t="str">
        <f ca="1">OFFSET(Sheet2!S$4,(ROW(Q20))*3,0)</f>
        <v>Checked</v>
      </c>
      <c r="R19" t="str">
        <f ca="1">OFFSET(Sheet2!T$4,(ROW(R20))*3,0)</f>
        <v>Checked</v>
      </c>
      <c r="S19">
        <f ca="1">OFFSET(Sheet2!U$2,(ROW(S20))*3,0)</f>
        <v>0</v>
      </c>
      <c r="T19">
        <f ca="1">OFFSET(Sheet2!V$2,(ROW(T20))*3,0)</f>
        <v>0</v>
      </c>
    </row>
    <row r="20" spans="1:20" x14ac:dyDescent="0.35">
      <c r="A20">
        <f ca="1">OFFSET(Sheet2!B$4,(ROW(A21))*3,0)</f>
        <v>43880</v>
      </c>
      <c r="B20">
        <f ca="1">OFFSET(Sheet2!C$4,(ROW(B21))*3,0)</f>
        <v>3</v>
      </c>
      <c r="C20" t="str">
        <f ca="1">OFFSET(Sheet2!D$4,(ROW(C21))*3,0)</f>
        <v>North</v>
      </c>
      <c r="D20" t="str">
        <f ca="1">OFFSET(Sheet2!F$4,(ROW(D21))*3,0)</f>
        <v xml:space="preserve">Bwayo Rogers </v>
      </c>
      <c r="E20" t="str">
        <f ca="1">OFFSET(Sheet2!G$4,(ROW(E21))*3,0)</f>
        <v>H2Go</v>
      </c>
      <c r="F20">
        <f ca="1">OFFSET(Sheet2!H$4,(ROW(F21))*3,0)</f>
        <v>0</v>
      </c>
      <c r="G20" t="str">
        <f ca="1">OFFSET(Sheet2!I$4,(ROW(G21))*3,0)</f>
        <v>WEEKLY</v>
      </c>
      <c r="H20">
        <f ca="1">OFFSET(Sheet2!J$4,(ROW(H21))*3,0)</f>
        <v>255</v>
      </c>
      <c r="I20" t="str">
        <f ca="1">OFFSET(Sheet2!K$4,(ROW(I21))*3,0)</f>
        <v>Actions</v>
      </c>
      <c r="J20" t="str">
        <f ca="1">OFFSET(Sheet2!L$4,(ROW(J21))*3,0)</f>
        <v>Chagned</v>
      </c>
      <c r="K20" t="str">
        <f ca="1">OFFSET(Sheet2!M$4,(ROW(K21))*3,0)</f>
        <v>Nothing done</v>
      </c>
      <c r="L20" t="str">
        <f ca="1">OFFSET(Sheet2!N$4,(ROW(L21))*3,0)</f>
        <v>Nothing done</v>
      </c>
      <c r="M20" t="str">
        <f ca="1">OFFSET(Sheet2!O$4,(ROW(M21))*3,0)</f>
        <v>Cleaned Filter</v>
      </c>
      <c r="N20" t="str">
        <f ca="1">OFFSET(Sheet2!P$4,(ROW(N21))*3,0)</f>
        <v>Nothing done</v>
      </c>
      <c r="O20" t="str">
        <f ca="1">OFFSET(Sheet2!Q$4,(ROW(O21))*3,0)</f>
        <v>Nothing Done</v>
      </c>
      <c r="P20">
        <f ca="1">OFFSET(Sheet2!R$4,(ROW(P21))*3,0)</f>
        <v>0</v>
      </c>
      <c r="Q20">
        <f ca="1">OFFSET(Sheet2!S$4,(ROW(Q21))*3,0)</f>
        <v>0</v>
      </c>
      <c r="R20">
        <f ca="1">OFFSET(Sheet2!T$4,(ROW(R21))*3,0)</f>
        <v>0</v>
      </c>
      <c r="S20">
        <f ca="1">OFFSET(Sheet2!U$2,(ROW(S21))*3,0)</f>
        <v>0</v>
      </c>
      <c r="T20">
        <f ca="1">OFFSET(Sheet2!V$2,(ROW(T21))*3,0)</f>
        <v>0</v>
      </c>
    </row>
    <row r="21" spans="1:20" x14ac:dyDescent="0.35">
      <c r="A21">
        <f ca="1">OFFSET(Sheet2!B$4,(ROW(A22))*3,0)</f>
        <v>43900</v>
      </c>
      <c r="B21">
        <f ca="1">OFFSET(Sheet2!C$4,(ROW(B22))*3,0)</f>
        <v>3</v>
      </c>
      <c r="C21" t="str">
        <f ca="1">OFFSET(Sheet2!D$4,(ROW(C22))*3,0)</f>
        <v>North</v>
      </c>
      <c r="D21" t="str">
        <f ca="1">OFFSET(Sheet2!F$4,(ROW(D22))*3,0)</f>
        <v xml:space="preserve">Bwayo Rogers </v>
      </c>
      <c r="E21" t="str">
        <f ca="1">OFFSET(Sheet2!G$4,(ROW(E22))*3,0)</f>
        <v>H2Go</v>
      </c>
      <c r="F21">
        <f ca="1">OFFSET(Sheet2!H$4,(ROW(F22))*3,0)</f>
        <v>0</v>
      </c>
      <c r="G21" t="str">
        <f ca="1">OFFSET(Sheet2!I$4,(ROW(G22))*3,0)</f>
        <v>WEEKLY</v>
      </c>
      <c r="H21">
        <f ca="1">OFFSET(Sheet2!J$4,(ROW(H22))*3,0)</f>
        <v>201</v>
      </c>
      <c r="I21" t="str">
        <f ca="1">OFFSET(Sheet2!K$4,(ROW(I22))*3,0)</f>
        <v>Actions</v>
      </c>
      <c r="J21" t="str">
        <f ca="1">OFFSET(Sheet2!L$4,(ROW(J22))*3,0)</f>
        <v>Chagned</v>
      </c>
      <c r="K21" t="str">
        <f ca="1">OFFSET(Sheet2!M$4,(ROW(K22))*3,0)</f>
        <v>Nothing done</v>
      </c>
      <c r="L21" t="str">
        <f ca="1">OFFSET(Sheet2!N$4,(ROW(L22))*3,0)</f>
        <v>Nothing done</v>
      </c>
      <c r="M21" t="str">
        <f ca="1">OFFSET(Sheet2!O$4,(ROW(M22))*3,0)</f>
        <v>Nothing done</v>
      </c>
      <c r="N21" t="str">
        <f ca="1">OFFSET(Sheet2!P$4,(ROW(N22))*3,0)</f>
        <v>Nothing done</v>
      </c>
      <c r="O21" t="str">
        <f ca="1">OFFSET(Sheet2!Q$4,(ROW(O22))*3,0)</f>
        <v>Nothing Done</v>
      </c>
      <c r="P21">
        <f ca="1">OFFSET(Sheet2!R$4,(ROW(P22))*3,0)</f>
        <v>0</v>
      </c>
      <c r="Q21">
        <f ca="1">OFFSET(Sheet2!S$4,(ROW(Q22))*3,0)</f>
        <v>0</v>
      </c>
      <c r="R21">
        <f ca="1">OFFSET(Sheet2!T$4,(ROW(R22))*3,0)</f>
        <v>0</v>
      </c>
      <c r="S21">
        <f ca="1">OFFSET(Sheet2!U$2,(ROW(S22))*3,0)</f>
        <v>0</v>
      </c>
      <c r="T21">
        <f ca="1">OFFSET(Sheet2!V$2,(ROW(T22))*3,0)</f>
        <v>0</v>
      </c>
    </row>
    <row r="22" spans="1:20" x14ac:dyDescent="0.35">
      <c r="A22">
        <f ca="1">OFFSET(Sheet2!B$4,(ROW(A23))*3,0)</f>
        <v>43840</v>
      </c>
      <c r="B22">
        <f ca="1">OFFSET(Sheet2!C$4,(ROW(B23))*3,0)</f>
        <v>4</v>
      </c>
      <c r="C22" t="str">
        <f ca="1">OFFSET(Sheet2!D$4,(ROW(C23))*3,0)</f>
        <v>North</v>
      </c>
      <c r="D22" t="str">
        <f ca="1">OFFSET(Sheet2!F$4,(ROW(D23))*3,0)</f>
        <v>Kissa Brahim</v>
      </c>
      <c r="E22" t="str">
        <f ca="1">OFFSET(Sheet2!G$4,(ROW(E23))*3,0)</f>
        <v>H2Go</v>
      </c>
      <c r="F22">
        <f ca="1">OFFSET(Sheet2!H$4,(ROW(F23))*3,0)</f>
        <v>0</v>
      </c>
      <c r="G22" t="str">
        <f ca="1">OFFSET(Sheet2!I$4,(ROW(G23))*3,0)</f>
        <v>Comprehensive</v>
      </c>
      <c r="H22">
        <f ca="1">OFFSET(Sheet2!J$4,(ROW(H23))*3,0)</f>
        <v>29</v>
      </c>
      <c r="I22" t="str">
        <f ca="1">OFFSET(Sheet2!K$4,(ROW(I23))*3,0)</f>
        <v>Actions</v>
      </c>
      <c r="J22" t="str">
        <f ca="1">OFFSET(Sheet2!L$4,(ROW(J23))*3,0)</f>
        <v>Changed</v>
      </c>
      <c r="K22" t="str">
        <f ca="1">OFFSET(Sheet2!M$4,(ROW(K23))*3,0)</f>
        <v>Cleaned</v>
      </c>
      <c r="L22" t="str">
        <f ca="1">OFFSET(Sheet2!N$4,(ROW(L23))*3,0)</f>
        <v>Nothing done</v>
      </c>
      <c r="M22" t="str">
        <f ca="1">OFFSET(Sheet2!O$4,(ROW(M23))*3,0)</f>
        <v>Nothing done</v>
      </c>
      <c r="N22" t="str">
        <f ca="1">OFFSET(Sheet2!P$4,(ROW(N23))*3,0)</f>
        <v>Nothing done</v>
      </c>
      <c r="O22" t="str">
        <f ca="1">OFFSET(Sheet2!Q$4,(ROW(O23))*3,0)</f>
        <v>Nothing done</v>
      </c>
      <c r="P22" t="str">
        <f ca="1">OFFSET(Sheet2!R$4,(ROW(P23))*3,0)</f>
        <v>Nothing done</v>
      </c>
      <c r="Q22" t="str">
        <f ca="1">OFFSET(Sheet2!S$4,(ROW(Q23))*3,0)</f>
        <v>Nothing done</v>
      </c>
      <c r="R22" t="str">
        <f ca="1">OFFSET(Sheet2!T$4,(ROW(R23))*3,0)</f>
        <v>Nothing done</v>
      </c>
      <c r="S22">
        <f ca="1">OFFSET(Sheet2!U$2,(ROW(S23))*3,0)</f>
        <v>0</v>
      </c>
      <c r="T22">
        <f ca="1">OFFSET(Sheet2!V$2,(ROW(T23))*3,0)</f>
        <v>0</v>
      </c>
    </row>
    <row r="23" spans="1:20" x14ac:dyDescent="0.35">
      <c r="A23" t="str">
        <f ca="1">OFFSET(Sheet2!B$4,(ROW(A24))*3,0)</f>
        <v>19/1/2020</v>
      </c>
      <c r="B23">
        <f ca="1">OFFSET(Sheet2!C$4,(ROW(B24))*3,0)</f>
        <v>4</v>
      </c>
      <c r="C23" t="str">
        <f ca="1">OFFSET(Sheet2!D$4,(ROW(C24))*3,0)</f>
        <v>North</v>
      </c>
      <c r="D23" t="str">
        <f ca="1">OFFSET(Sheet2!F$4,(ROW(D24))*3,0)</f>
        <v>Kissa Brahim</v>
      </c>
      <c r="E23" t="str">
        <f ca="1">OFFSET(Sheet2!G$4,(ROW(E24))*3,0)</f>
        <v>H2Go</v>
      </c>
      <c r="F23">
        <f ca="1">OFFSET(Sheet2!H$4,(ROW(F24))*3,0)</f>
        <v>0</v>
      </c>
      <c r="G23" t="str">
        <f ca="1">OFFSET(Sheet2!I$4,(ROW(G24))*3,0)</f>
        <v>weekly</v>
      </c>
      <c r="H23">
        <f ca="1">OFFSET(Sheet2!J$4,(ROW(H24))*3,0)</f>
        <v>12</v>
      </c>
      <c r="I23" t="str">
        <f ca="1">OFFSET(Sheet2!K$4,(ROW(I24))*3,0)</f>
        <v>Actions</v>
      </c>
      <c r="J23" t="str">
        <f ca="1">OFFSET(Sheet2!L$4,(ROW(J24))*3,0)</f>
        <v>Changed</v>
      </c>
      <c r="K23" t="str">
        <f ca="1">OFFSET(Sheet2!M$4,(ROW(K24))*3,0)</f>
        <v>Nothing done</v>
      </c>
      <c r="L23" t="str">
        <f ca="1">OFFSET(Sheet2!N$4,(ROW(L24))*3,0)</f>
        <v>Nothing done</v>
      </c>
      <c r="M23" t="str">
        <f ca="1">OFFSET(Sheet2!O$4,(ROW(M24))*3,0)</f>
        <v>Nothing done</v>
      </c>
      <c r="N23" t="str">
        <f ca="1">OFFSET(Sheet2!P$4,(ROW(N24))*3,0)</f>
        <v>Nothing done</v>
      </c>
      <c r="O23" t="str">
        <f ca="1">OFFSET(Sheet2!Q$4,(ROW(O24))*3,0)</f>
        <v>Nothing done</v>
      </c>
      <c r="P23">
        <f ca="1">OFFSET(Sheet2!R$4,(ROW(P24))*3,0)</f>
        <v>0</v>
      </c>
      <c r="Q23">
        <f ca="1">OFFSET(Sheet2!S$4,(ROW(Q24))*3,0)</f>
        <v>0</v>
      </c>
      <c r="R23">
        <f ca="1">OFFSET(Sheet2!T$4,(ROW(R24))*3,0)</f>
        <v>0</v>
      </c>
      <c r="S23">
        <f ca="1">OFFSET(Sheet2!U$2,(ROW(S24))*3,0)</f>
        <v>0</v>
      </c>
      <c r="T23">
        <f ca="1">OFFSET(Sheet2!V$2,(ROW(T24))*3,0)</f>
        <v>0</v>
      </c>
    </row>
    <row r="24" spans="1:20" x14ac:dyDescent="0.35">
      <c r="A24" t="str">
        <f ca="1">OFFSET(Sheet2!B$4,(ROW(A25))*3,0)</f>
        <v>24/1/2020</v>
      </c>
      <c r="B24">
        <f ca="1">OFFSET(Sheet2!C$4,(ROW(B25))*3,0)</f>
        <v>4</v>
      </c>
      <c r="C24" t="str">
        <f ca="1">OFFSET(Sheet2!D$4,(ROW(C25))*3,0)</f>
        <v>North</v>
      </c>
      <c r="D24" t="str">
        <f ca="1">OFFSET(Sheet2!F$4,(ROW(D25))*3,0)</f>
        <v>Kissa Brahim</v>
      </c>
      <c r="E24" t="str">
        <f ca="1">OFFSET(Sheet2!G$4,(ROW(E25))*3,0)</f>
        <v>H2Go</v>
      </c>
      <c r="F24">
        <f ca="1">OFFSET(Sheet2!H$4,(ROW(F25))*3,0)</f>
        <v>0</v>
      </c>
      <c r="G24" t="str">
        <f ca="1">OFFSET(Sheet2!I$4,(ROW(G25))*3,0)</f>
        <v>weekly</v>
      </c>
      <c r="H24">
        <f ca="1">OFFSET(Sheet2!J$4,(ROW(H25))*3,0)</f>
        <v>19</v>
      </c>
      <c r="I24" t="str">
        <f ca="1">OFFSET(Sheet2!K$4,(ROW(I25))*3,0)</f>
        <v>Actions</v>
      </c>
      <c r="J24" t="str">
        <f ca="1">OFFSET(Sheet2!L$4,(ROW(J25))*3,0)</f>
        <v>Changed</v>
      </c>
      <c r="K24" t="str">
        <f ca="1">OFFSET(Sheet2!M$4,(ROW(K25))*3,0)</f>
        <v>Nothing done</v>
      </c>
      <c r="L24" t="str">
        <f ca="1">OFFSET(Sheet2!N$4,(ROW(L25))*3,0)</f>
        <v>Nothing done</v>
      </c>
      <c r="M24" t="str">
        <f ca="1">OFFSET(Sheet2!O$4,(ROW(M25))*3,0)</f>
        <v>Nothing done</v>
      </c>
      <c r="N24" t="str">
        <f ca="1">OFFSET(Sheet2!P$4,(ROW(N25))*3,0)</f>
        <v>Nothing done</v>
      </c>
      <c r="O24" t="str">
        <f ca="1">OFFSET(Sheet2!Q$4,(ROW(O25))*3,0)</f>
        <v>Nothing done</v>
      </c>
      <c r="P24">
        <f ca="1">OFFSET(Sheet2!R$4,(ROW(P25))*3,0)</f>
        <v>0</v>
      </c>
      <c r="Q24">
        <f ca="1">OFFSET(Sheet2!S$4,(ROW(Q25))*3,0)</f>
        <v>0</v>
      </c>
      <c r="R24">
        <f ca="1">OFFSET(Sheet2!T$4,(ROW(R25))*3,0)</f>
        <v>0</v>
      </c>
      <c r="S24">
        <f ca="1">OFFSET(Sheet2!U$2,(ROW(S25))*3,0)</f>
        <v>0</v>
      </c>
      <c r="T24">
        <f ca="1">OFFSET(Sheet2!V$2,(ROW(T25))*3,0)</f>
        <v>0</v>
      </c>
    </row>
    <row r="25" spans="1:20" x14ac:dyDescent="0.35">
      <c r="A25" t="str">
        <f ca="1">OFFSET(Sheet2!B$4,(ROW(A26))*3,0)</f>
        <v>31/1/2020</v>
      </c>
      <c r="B25">
        <f ca="1">OFFSET(Sheet2!C$4,(ROW(B26))*3,0)</f>
        <v>4</v>
      </c>
      <c r="C25" t="str">
        <f ca="1">OFFSET(Sheet2!D$4,(ROW(C26))*3,0)</f>
        <v>North</v>
      </c>
      <c r="D25" t="str">
        <f ca="1">OFFSET(Sheet2!F$4,(ROW(D26))*3,0)</f>
        <v>Kissa Brahim</v>
      </c>
      <c r="E25" t="str">
        <f ca="1">OFFSET(Sheet2!G$4,(ROW(E26))*3,0)</f>
        <v>H2Go</v>
      </c>
      <c r="F25">
        <f ca="1">OFFSET(Sheet2!H$4,(ROW(F26))*3,0)</f>
        <v>0</v>
      </c>
      <c r="G25" t="str">
        <f ca="1">OFFSET(Sheet2!I$4,(ROW(G26))*3,0)</f>
        <v>weekly</v>
      </c>
      <c r="H25">
        <f ca="1">OFFSET(Sheet2!J$4,(ROW(H26))*3,0)</f>
        <v>262</v>
      </c>
      <c r="I25" t="str">
        <f ca="1">OFFSET(Sheet2!K$4,(ROW(I26))*3,0)</f>
        <v>Actions</v>
      </c>
      <c r="J25" t="str">
        <f ca="1">OFFSET(Sheet2!L$4,(ROW(J26))*3,0)</f>
        <v>Changed</v>
      </c>
      <c r="K25" t="str">
        <f ca="1">OFFSET(Sheet2!M$4,(ROW(K26))*3,0)</f>
        <v>Nothing done</v>
      </c>
      <c r="L25" t="str">
        <f ca="1">OFFSET(Sheet2!N$4,(ROW(L26))*3,0)</f>
        <v>Nothing done</v>
      </c>
      <c r="M25" t="str">
        <f ca="1">OFFSET(Sheet2!O$4,(ROW(M26))*3,0)</f>
        <v>Dusted</v>
      </c>
      <c r="N25" t="str">
        <f ca="1">OFFSET(Sheet2!P$4,(ROW(N26))*3,0)</f>
        <v>Nothing done</v>
      </c>
      <c r="O25" t="str">
        <f ca="1">OFFSET(Sheet2!Q$4,(ROW(O26))*3,0)</f>
        <v>Nothing done</v>
      </c>
      <c r="P25" t="str">
        <f ca="1">OFFSET(Sheet2!R$4,(ROW(P26))*3,0)</f>
        <v>Nothing done</v>
      </c>
      <c r="Q25" t="str">
        <f ca="1">OFFSET(Sheet2!S$4,(ROW(Q26))*3,0)</f>
        <v>Nothing done</v>
      </c>
      <c r="R25" t="str">
        <f ca="1">OFFSET(Sheet2!T$4,(ROW(R26))*3,0)</f>
        <v>Nothing done</v>
      </c>
      <c r="S25">
        <f ca="1">OFFSET(Sheet2!U$2,(ROW(S26))*3,0)</f>
        <v>0</v>
      </c>
      <c r="T25">
        <f ca="1">OFFSET(Sheet2!V$2,(ROW(T26))*3,0)</f>
        <v>0</v>
      </c>
    </row>
    <row r="26" spans="1:20" x14ac:dyDescent="0.35">
      <c r="A26">
        <f ca="1">OFFSET(Sheet2!B$4,(ROW(A27))*3,0)</f>
        <v>43868</v>
      </c>
      <c r="B26">
        <f ca="1">OFFSET(Sheet2!C$4,(ROW(B27))*3,0)</f>
        <v>4</v>
      </c>
      <c r="C26" t="str">
        <f ca="1">OFFSET(Sheet2!D$4,(ROW(C27))*3,0)</f>
        <v>North</v>
      </c>
      <c r="D26" t="str">
        <f ca="1">OFFSET(Sheet2!F$4,(ROW(D27))*3,0)</f>
        <v>KISSA BRAHIM</v>
      </c>
      <c r="E26" t="str">
        <f ca="1">OFFSET(Sheet2!G$4,(ROW(E27))*3,0)</f>
        <v>H2Go</v>
      </c>
      <c r="F26">
        <f ca="1">OFFSET(Sheet2!H$4,(ROW(F27))*3,0)</f>
        <v>0</v>
      </c>
      <c r="G26" t="str">
        <f ca="1">OFFSET(Sheet2!I$4,(ROW(G27))*3,0)</f>
        <v>WEEKLY</v>
      </c>
      <c r="H26">
        <f ca="1">OFFSET(Sheet2!J$4,(ROW(H27))*3,0)</f>
        <v>281</v>
      </c>
      <c r="I26" t="str">
        <f ca="1">OFFSET(Sheet2!K$4,(ROW(I27))*3,0)</f>
        <v>Actions</v>
      </c>
      <c r="J26" t="str">
        <f ca="1">OFFSET(Sheet2!L$4,(ROW(J27))*3,0)</f>
        <v>oil changed</v>
      </c>
      <c r="K26" t="str">
        <f ca="1">OFFSET(Sheet2!M$4,(ROW(K27))*3,0)</f>
        <v>No action taken</v>
      </c>
      <c r="L26" t="str">
        <f ca="1">OFFSET(Sheet2!N$4,(ROW(L27))*3,0)</f>
        <v>Checked</v>
      </c>
      <c r="M26" t="str">
        <f ca="1">OFFSET(Sheet2!O$4,(ROW(M27))*3,0)</f>
        <v>Cleaned</v>
      </c>
      <c r="N26" t="str">
        <f ca="1">OFFSET(Sheet2!P$4,(ROW(N27))*3,0)</f>
        <v>No action taken</v>
      </c>
      <c r="O26" t="str">
        <f ca="1">OFFSET(Sheet2!Q$4,(ROW(O27))*3,0)</f>
        <v>Not changed</v>
      </c>
      <c r="P26" t="str">
        <f ca="1">OFFSET(Sheet2!R$4,(ROW(P27))*3,0)</f>
        <v>No actio taken</v>
      </c>
      <c r="Q26" t="str">
        <f ca="1">OFFSET(Sheet2!S$4,(ROW(Q27))*3,0)</f>
        <v>Checked</v>
      </c>
      <c r="R26" t="str">
        <f ca="1">OFFSET(Sheet2!T$4,(ROW(R27))*3,0)</f>
        <v>Checked</v>
      </c>
      <c r="S26">
        <f ca="1">OFFSET(Sheet2!U$2,(ROW(S27))*3,0)</f>
        <v>0</v>
      </c>
      <c r="T26">
        <f ca="1">OFFSET(Sheet2!V$2,(ROW(T27))*3,0)</f>
        <v>0</v>
      </c>
    </row>
    <row r="27" spans="1:20" x14ac:dyDescent="0.35">
      <c r="A27">
        <f ca="1">OFFSET(Sheet2!B$4,(ROW(A28))*3,0)</f>
        <v>43877</v>
      </c>
      <c r="B27">
        <f ca="1">OFFSET(Sheet2!C$4,(ROW(B28))*3,0)</f>
        <v>4</v>
      </c>
      <c r="C27" t="str">
        <f ca="1">OFFSET(Sheet2!D$4,(ROW(C28))*3,0)</f>
        <v>North</v>
      </c>
      <c r="D27" t="str">
        <f ca="1">OFFSET(Sheet2!F$4,(ROW(D28))*3,0)</f>
        <v>KISSA BRAHIM</v>
      </c>
      <c r="E27" t="str">
        <f ca="1">OFFSET(Sheet2!G$4,(ROW(E28))*3,0)</f>
        <v>H2Go</v>
      </c>
      <c r="F27">
        <f ca="1">OFFSET(Sheet2!H$4,(ROW(F28))*3,0)</f>
        <v>0</v>
      </c>
      <c r="G27" t="str">
        <f ca="1">OFFSET(Sheet2!I$4,(ROW(G28))*3,0)</f>
        <v>WEEKLY</v>
      </c>
      <c r="H27">
        <f ca="1">OFFSET(Sheet2!J$4,(ROW(H28))*3,0)</f>
        <v>222</v>
      </c>
      <c r="I27" t="str">
        <f ca="1">OFFSET(Sheet2!K$4,(ROW(I28))*3,0)</f>
        <v>Actions</v>
      </c>
      <c r="J27" t="str">
        <f ca="1">OFFSET(Sheet2!L$4,(ROW(J28))*3,0)</f>
        <v>Chagned</v>
      </c>
      <c r="K27" t="str">
        <f ca="1">OFFSET(Sheet2!M$4,(ROW(K28))*3,0)</f>
        <v>Carberator was cleaned</v>
      </c>
      <c r="L27" t="str">
        <f ca="1">OFFSET(Sheet2!N$4,(ROW(L28))*3,0)</f>
        <v>Nothing done</v>
      </c>
      <c r="M27" t="str">
        <f ca="1">OFFSET(Sheet2!O$4,(ROW(M28))*3,0)</f>
        <v>Nothing done</v>
      </c>
      <c r="N27" t="str">
        <f ca="1">OFFSET(Sheet2!P$4,(ROW(N28))*3,0)</f>
        <v>Replaced Spark Plug</v>
      </c>
      <c r="O27" t="str">
        <f ca="1">OFFSET(Sheet2!Q$4,(ROW(O28))*3,0)</f>
        <v xml:space="preserve">Replaced Nut </v>
      </c>
      <c r="P27">
        <f ca="1">OFFSET(Sheet2!R$4,(ROW(P28))*3,0)</f>
        <v>0</v>
      </c>
      <c r="Q27">
        <f ca="1">OFFSET(Sheet2!S$4,(ROW(Q28))*3,0)</f>
        <v>0</v>
      </c>
      <c r="R27">
        <f ca="1">OFFSET(Sheet2!T$4,(ROW(R28))*3,0)</f>
        <v>0</v>
      </c>
      <c r="S27">
        <f ca="1">OFFSET(Sheet2!U$2,(ROW(S28))*3,0)</f>
        <v>0</v>
      </c>
      <c r="T27">
        <f ca="1">OFFSET(Sheet2!V$2,(ROW(T28))*3,0)</f>
        <v>0</v>
      </c>
    </row>
    <row r="28" spans="1:20" x14ac:dyDescent="0.35">
      <c r="A28">
        <f ca="1">OFFSET(Sheet2!B$4,(ROW(A29))*3,0)</f>
        <v>43884</v>
      </c>
      <c r="B28">
        <f ca="1">OFFSET(Sheet2!C$4,(ROW(B29))*3,0)</f>
        <v>4</v>
      </c>
      <c r="C28" t="str">
        <f ca="1">OFFSET(Sheet2!D$4,(ROW(C29))*3,0)</f>
        <v>North</v>
      </c>
      <c r="D28" t="str">
        <f ca="1">OFFSET(Sheet2!F$4,(ROW(D29))*3,0)</f>
        <v>Kissa Brahim</v>
      </c>
      <c r="E28" t="str">
        <f ca="1">OFFSET(Sheet2!G$4,(ROW(E29))*3,0)</f>
        <v>H2Go</v>
      </c>
      <c r="F28">
        <f ca="1">OFFSET(Sheet2!H$4,(ROW(F29))*3,0)</f>
        <v>0</v>
      </c>
      <c r="G28" t="str">
        <f ca="1">OFFSET(Sheet2!I$4,(ROW(G29))*3,0)</f>
        <v>WEEKLY</v>
      </c>
      <c r="H28">
        <f ca="1">OFFSET(Sheet2!J$4,(ROW(H29))*3,0)</f>
        <v>244</v>
      </c>
      <c r="I28" t="str">
        <f ca="1">OFFSET(Sheet2!K$4,(ROW(I29))*3,0)</f>
        <v>Actions</v>
      </c>
      <c r="J28" t="str">
        <f ca="1">OFFSET(Sheet2!L$4,(ROW(J29))*3,0)</f>
        <v>Chagned</v>
      </c>
      <c r="K28" t="str">
        <f ca="1">OFFSET(Sheet2!M$4,(ROW(K29))*3,0)</f>
        <v>Nothing done</v>
      </c>
      <c r="L28" t="str">
        <f ca="1">OFFSET(Sheet2!N$4,(ROW(L29))*3,0)</f>
        <v>Nothing done</v>
      </c>
      <c r="M28" t="str">
        <f ca="1">OFFSET(Sheet2!O$4,(ROW(M29))*3,0)</f>
        <v>Nothing done</v>
      </c>
      <c r="N28" t="str">
        <f ca="1">OFFSET(Sheet2!P$4,(ROW(N29))*3,0)</f>
        <v>Nothing done</v>
      </c>
      <c r="O28" t="str">
        <f ca="1">OFFSET(Sheet2!Q$4,(ROW(O29))*3,0)</f>
        <v>Nothing Done</v>
      </c>
      <c r="P28">
        <f ca="1">OFFSET(Sheet2!R$4,(ROW(P29))*3,0)</f>
        <v>0</v>
      </c>
      <c r="Q28">
        <f ca="1">OFFSET(Sheet2!S$4,(ROW(Q29))*3,0)</f>
        <v>0</v>
      </c>
      <c r="R28">
        <f ca="1">OFFSET(Sheet2!T$4,(ROW(R29))*3,0)</f>
        <v>0</v>
      </c>
      <c r="S28">
        <f ca="1">OFFSET(Sheet2!U$2,(ROW(S29))*3,0)</f>
        <v>0</v>
      </c>
      <c r="T28">
        <f ca="1">OFFSET(Sheet2!V$2,(ROW(T29))*3,0)</f>
        <v>0</v>
      </c>
    </row>
    <row r="29" spans="1:20" x14ac:dyDescent="0.35">
      <c r="A29">
        <f ca="1">OFFSET(Sheet2!B$4,(ROW(A30))*3,0)</f>
        <v>43892</v>
      </c>
      <c r="B29">
        <f ca="1">OFFSET(Sheet2!C$4,(ROW(B30))*3,0)</f>
        <v>4</v>
      </c>
      <c r="C29" t="str">
        <f ca="1">OFFSET(Sheet2!D$4,(ROW(C30))*3,0)</f>
        <v>North</v>
      </c>
      <c r="D29" t="str">
        <f ca="1">OFFSET(Sheet2!F$4,(ROW(D30))*3,0)</f>
        <v>Kissa Brahim</v>
      </c>
      <c r="E29" t="str">
        <f ca="1">OFFSET(Sheet2!G$4,(ROW(E30))*3,0)</f>
        <v>H2GO</v>
      </c>
      <c r="F29">
        <f ca="1">OFFSET(Sheet2!H$4,(ROW(F30))*3,0)</f>
        <v>0</v>
      </c>
      <c r="G29" t="str">
        <f ca="1">OFFSET(Sheet2!I$4,(ROW(G30))*3,0)</f>
        <v>WEEKLY</v>
      </c>
      <c r="H29">
        <f ca="1">OFFSET(Sheet2!J$4,(ROW(H30))*3,0)</f>
        <v>254</v>
      </c>
      <c r="I29" t="str">
        <f ca="1">OFFSET(Sheet2!K$4,(ROW(I30))*3,0)</f>
        <v>Actions</v>
      </c>
      <c r="J29" t="str">
        <f ca="1">OFFSET(Sheet2!L$4,(ROW(J30))*3,0)</f>
        <v>Chagned</v>
      </c>
      <c r="K29" t="str">
        <f ca="1">OFFSET(Sheet2!M$4,(ROW(K30))*3,0)</f>
        <v>Carberator was cleaned</v>
      </c>
      <c r="L29" t="str">
        <f ca="1">OFFSET(Sheet2!N$4,(ROW(L30))*3,0)</f>
        <v>Nothing done</v>
      </c>
      <c r="M29" t="str">
        <f ca="1">OFFSET(Sheet2!O$4,(ROW(M30))*3,0)</f>
        <v>Nothing done, despite recommendation</v>
      </c>
      <c r="N29" t="str">
        <f ca="1">OFFSET(Sheet2!P$4,(ROW(N30))*3,0)</f>
        <v>Nothing done, despite recommendation</v>
      </c>
      <c r="O29" t="str">
        <f ca="1">OFFSET(Sheet2!Q$4,(ROW(O30))*3,0)</f>
        <v>Nothing Done</v>
      </c>
      <c r="P29">
        <f ca="1">OFFSET(Sheet2!R$4,(ROW(P30))*3,0)</f>
        <v>0</v>
      </c>
      <c r="Q29">
        <f ca="1">OFFSET(Sheet2!S$4,(ROW(Q30))*3,0)</f>
        <v>0</v>
      </c>
      <c r="R29">
        <f ca="1">OFFSET(Sheet2!T$4,(ROW(R30))*3,0)</f>
        <v>0</v>
      </c>
      <c r="S29">
        <f ca="1">OFFSET(Sheet2!U$2,(ROW(S30))*3,0)</f>
        <v>0</v>
      </c>
      <c r="T29">
        <f ca="1">OFFSET(Sheet2!V$2,(ROW(T30))*3,0)</f>
        <v>0</v>
      </c>
    </row>
    <row r="30" spans="1:20" x14ac:dyDescent="0.35">
      <c r="A30">
        <f ca="1">OFFSET(Sheet2!B$4,(ROW(A31))*3,0)</f>
        <v>43900</v>
      </c>
      <c r="B30">
        <f ca="1">OFFSET(Sheet2!C$4,(ROW(B31))*3,0)</f>
        <v>4</v>
      </c>
      <c r="C30" t="str">
        <f ca="1">OFFSET(Sheet2!D$4,(ROW(C31))*3,0)</f>
        <v>North</v>
      </c>
      <c r="D30" t="str">
        <f ca="1">OFFSET(Sheet2!F$4,(ROW(D31))*3,0)</f>
        <v>Kissa Brahim</v>
      </c>
      <c r="E30" t="str">
        <f ca="1">OFFSET(Sheet2!G$4,(ROW(E31))*3,0)</f>
        <v>H2Go</v>
      </c>
      <c r="F30">
        <f ca="1">OFFSET(Sheet2!H$4,(ROW(F31))*3,0)</f>
        <v>0</v>
      </c>
      <c r="G30" t="str">
        <f ca="1">OFFSET(Sheet2!I$4,(ROW(G31))*3,0)</f>
        <v>WEEKLY</v>
      </c>
      <c r="H30">
        <f ca="1">OFFSET(Sheet2!J$4,(ROW(H31))*3,0)</f>
        <v>210</v>
      </c>
      <c r="I30" t="str">
        <f ca="1">OFFSET(Sheet2!K$4,(ROW(I31))*3,0)</f>
        <v>Actions</v>
      </c>
      <c r="J30" t="str">
        <f ca="1">OFFSET(Sheet2!L$4,(ROW(J31))*3,0)</f>
        <v>Chagned</v>
      </c>
      <c r="K30" t="str">
        <f ca="1">OFFSET(Sheet2!M$4,(ROW(K31))*3,0)</f>
        <v>Nothing done</v>
      </c>
      <c r="L30" t="str">
        <f ca="1">OFFSET(Sheet2!N$4,(ROW(L31))*3,0)</f>
        <v>Nothing done</v>
      </c>
      <c r="M30" t="str">
        <f ca="1">OFFSET(Sheet2!O$4,(ROW(M31))*3,0)</f>
        <v>Nothing done</v>
      </c>
      <c r="N30" t="str">
        <f ca="1">OFFSET(Sheet2!P$4,(ROW(N31))*3,0)</f>
        <v>Nothing done</v>
      </c>
      <c r="O30" t="str">
        <f ca="1">OFFSET(Sheet2!Q$4,(ROW(O31))*3,0)</f>
        <v>Nothing Done</v>
      </c>
      <c r="P30">
        <f ca="1">OFFSET(Sheet2!R$4,(ROW(P31))*3,0)</f>
        <v>0</v>
      </c>
      <c r="Q30">
        <f ca="1">OFFSET(Sheet2!S$4,(ROW(Q31))*3,0)</f>
        <v>0</v>
      </c>
      <c r="R30">
        <f ca="1">OFFSET(Sheet2!T$4,(ROW(R31))*3,0)</f>
        <v>0</v>
      </c>
      <c r="S30">
        <f ca="1">OFFSET(Sheet2!U$2,(ROW(S31))*3,0)</f>
        <v>0</v>
      </c>
      <c r="T30">
        <f ca="1">OFFSET(Sheet2!V$2,(ROW(T31))*3,0)</f>
        <v>0</v>
      </c>
    </row>
    <row r="31" spans="1:20" x14ac:dyDescent="0.35">
      <c r="A31">
        <f ca="1">OFFSET(Sheet2!B$4,(ROW(A32))*3,0)</f>
        <v>43838</v>
      </c>
      <c r="B31">
        <f ca="1">OFFSET(Sheet2!C$4,(ROW(B32))*3,0)</f>
        <v>5</v>
      </c>
      <c r="C31" t="str">
        <f ca="1">OFFSET(Sheet2!D$4,(ROW(C32))*3,0)</f>
        <v>North</v>
      </c>
      <c r="D31" t="str">
        <f ca="1">OFFSET(Sheet2!F$4,(ROW(D32))*3,0)</f>
        <v>Gibisiwa Benson</v>
      </c>
      <c r="E31" t="str">
        <f ca="1">OFFSET(Sheet2!G$4,(ROW(E32))*3,0)</f>
        <v>H2Go</v>
      </c>
      <c r="F31">
        <f ca="1">OFFSET(Sheet2!H$4,(ROW(F32))*3,0)</f>
        <v>0</v>
      </c>
      <c r="G31" t="str">
        <f ca="1">OFFSET(Sheet2!I$4,(ROW(G32))*3,0)</f>
        <v>Comprehensive</v>
      </c>
      <c r="H31">
        <f ca="1">OFFSET(Sheet2!J$4,(ROW(H32))*3,0)</f>
        <v>6</v>
      </c>
      <c r="I31" t="str">
        <f ca="1">OFFSET(Sheet2!K$4,(ROW(I32))*3,0)</f>
        <v>Actions</v>
      </c>
      <c r="J31" t="str">
        <f ca="1">OFFSET(Sheet2!L$4,(ROW(J32))*3,0)</f>
        <v>Changed</v>
      </c>
      <c r="K31" t="str">
        <f ca="1">OFFSET(Sheet2!M$4,(ROW(K32))*3,0)</f>
        <v>Cleaned</v>
      </c>
      <c r="L31" t="str">
        <f ca="1">OFFSET(Sheet2!N$4,(ROW(L32))*3,0)</f>
        <v>Aligned</v>
      </c>
      <c r="M31" t="str">
        <f ca="1">OFFSET(Sheet2!O$4,(ROW(M32))*3,0)</f>
        <v>Nothing done</v>
      </c>
      <c r="N31" t="str">
        <f ca="1">OFFSET(Sheet2!P$4,(ROW(N32))*3,0)</f>
        <v>Nothing done</v>
      </c>
      <c r="O31" t="str">
        <f ca="1">OFFSET(Sheet2!Q$4,(ROW(O32))*3,0)</f>
        <v>Nut changed</v>
      </c>
      <c r="P31" t="str">
        <f ca="1">OFFSET(Sheet2!R$4,(ROW(P32))*3,0)</f>
        <v>Nothing done</v>
      </c>
      <c r="Q31" t="str">
        <f ca="1">OFFSET(Sheet2!S$4,(ROW(Q32))*3,0)</f>
        <v>Nothing done</v>
      </c>
      <c r="R31" t="str">
        <f ca="1">OFFSET(Sheet2!T$4,(ROW(R32))*3,0)</f>
        <v>Cleaned</v>
      </c>
      <c r="S31">
        <f ca="1">OFFSET(Sheet2!U$2,(ROW(S32))*3,0)</f>
        <v>0</v>
      </c>
      <c r="T31">
        <f ca="1">OFFSET(Sheet2!V$2,(ROW(T32))*3,0)</f>
        <v>0</v>
      </c>
    </row>
    <row r="32" spans="1:20" x14ac:dyDescent="0.35">
      <c r="A32">
        <f ca="1">OFFSET(Sheet2!B$4,(ROW(A33))*3,0)</f>
        <v>43869</v>
      </c>
      <c r="B32">
        <f ca="1">OFFSET(Sheet2!C$4,(ROW(B33))*3,0)</f>
        <v>5</v>
      </c>
      <c r="C32" t="str">
        <f ca="1">OFFSET(Sheet2!D$4,(ROW(C33))*3,0)</f>
        <v>North</v>
      </c>
      <c r="D32" t="str">
        <f ca="1">OFFSET(Sheet2!F$4,(ROW(D33))*3,0)</f>
        <v>Gibisiwa Benson</v>
      </c>
      <c r="E32" t="str">
        <f ca="1">OFFSET(Sheet2!G$4,(ROW(E33))*3,0)</f>
        <v>H2Go</v>
      </c>
      <c r="F32">
        <f ca="1">OFFSET(Sheet2!H$4,(ROW(F33))*3,0)</f>
        <v>0</v>
      </c>
      <c r="G32" t="str">
        <f ca="1">OFFSET(Sheet2!I$4,(ROW(G33))*3,0)</f>
        <v>WEEKLY</v>
      </c>
      <c r="H32">
        <f ca="1">OFFSET(Sheet2!J$4,(ROW(H33))*3,0)</f>
        <v>292</v>
      </c>
      <c r="I32" t="str">
        <f ca="1">OFFSET(Sheet2!K$4,(ROW(I33))*3,0)</f>
        <v>Actions</v>
      </c>
      <c r="J32" t="str">
        <f ca="1">OFFSET(Sheet2!L$4,(ROW(J33))*3,0)</f>
        <v>Chagned</v>
      </c>
      <c r="K32" t="str">
        <f ca="1">OFFSET(Sheet2!M$4,(ROW(K33))*3,0)</f>
        <v>Carberator was cleaned</v>
      </c>
      <c r="L32" t="str">
        <f ca="1">OFFSET(Sheet2!N$4,(ROW(L33))*3,0)</f>
        <v>Nothing done</v>
      </c>
      <c r="M32" t="str">
        <f ca="1">OFFSET(Sheet2!O$4,(ROW(M33))*3,0)</f>
        <v>Cleaned Filter</v>
      </c>
      <c r="N32" t="str">
        <f ca="1">OFFSET(Sheet2!P$4,(ROW(N33))*3,0)</f>
        <v>Replaced Spark Plug</v>
      </c>
      <c r="O32" t="str">
        <f ca="1">OFFSET(Sheet2!Q$4,(ROW(O33))*3,0)</f>
        <v>Nothing Done</v>
      </c>
      <c r="P32">
        <f ca="1">OFFSET(Sheet2!R$4,(ROW(P33))*3,0)</f>
        <v>0</v>
      </c>
      <c r="Q32">
        <f ca="1">OFFSET(Sheet2!S$4,(ROW(Q33))*3,0)</f>
        <v>0</v>
      </c>
      <c r="R32">
        <f ca="1">OFFSET(Sheet2!T$4,(ROW(R33))*3,0)</f>
        <v>0</v>
      </c>
      <c r="S32">
        <f ca="1">OFFSET(Sheet2!U$2,(ROW(S33))*3,0)</f>
        <v>0</v>
      </c>
      <c r="T32">
        <f ca="1">OFFSET(Sheet2!V$2,(ROW(T33))*3,0)</f>
        <v>0</v>
      </c>
    </row>
    <row r="33" spans="1:20" x14ac:dyDescent="0.35">
      <c r="A33">
        <f ca="1">OFFSET(Sheet2!B$4,(ROW(A34))*3,0)</f>
        <v>43877</v>
      </c>
      <c r="B33">
        <f ca="1">OFFSET(Sheet2!C$4,(ROW(B34))*3,0)</f>
        <v>5</v>
      </c>
      <c r="C33" t="str">
        <f ca="1">OFFSET(Sheet2!D$4,(ROW(C34))*3,0)</f>
        <v>North</v>
      </c>
      <c r="D33" t="str">
        <f ca="1">OFFSET(Sheet2!F$4,(ROW(D34))*3,0)</f>
        <v>Gibisiwa Benson</v>
      </c>
      <c r="E33" t="str">
        <f ca="1">OFFSET(Sheet2!G$4,(ROW(E34))*3,0)</f>
        <v>H2Go</v>
      </c>
      <c r="F33">
        <f ca="1">OFFSET(Sheet2!H$4,(ROW(F34))*3,0)</f>
        <v>0</v>
      </c>
      <c r="G33" t="str">
        <f ca="1">OFFSET(Sheet2!I$4,(ROW(G34))*3,0)</f>
        <v>WEEKLY</v>
      </c>
      <c r="H33">
        <f ca="1">OFFSET(Sheet2!J$4,(ROW(H34))*3,0)</f>
        <v>296</v>
      </c>
      <c r="I33" t="str">
        <f ca="1">OFFSET(Sheet2!K$4,(ROW(I34))*3,0)</f>
        <v>Actions</v>
      </c>
      <c r="J33" t="str">
        <f ca="1">OFFSET(Sheet2!L$4,(ROW(J34))*3,0)</f>
        <v>Chagned</v>
      </c>
      <c r="K33" t="str">
        <f ca="1">OFFSET(Sheet2!M$4,(ROW(K34))*3,0)</f>
        <v>Carberator was cleaned</v>
      </c>
      <c r="L33" t="str">
        <f ca="1">OFFSET(Sheet2!N$4,(ROW(L34))*3,0)</f>
        <v>Nothing done</v>
      </c>
      <c r="M33" t="str">
        <f ca="1">OFFSET(Sheet2!O$4,(ROW(M34))*3,0)</f>
        <v>Cleaned Filter</v>
      </c>
      <c r="N33" t="str">
        <f ca="1">OFFSET(Sheet2!P$4,(ROW(N34))*3,0)</f>
        <v>Nothing done</v>
      </c>
      <c r="O33" t="str">
        <f ca="1">OFFSET(Sheet2!Q$4,(ROW(O34))*3,0)</f>
        <v>Nothing Done</v>
      </c>
      <c r="P33">
        <f ca="1">OFFSET(Sheet2!R$4,(ROW(P34))*3,0)</f>
        <v>0</v>
      </c>
      <c r="Q33">
        <f ca="1">OFFSET(Sheet2!S$4,(ROW(Q34))*3,0)</f>
        <v>0</v>
      </c>
      <c r="R33">
        <f ca="1">OFFSET(Sheet2!T$4,(ROW(R34))*3,0)</f>
        <v>0</v>
      </c>
      <c r="S33">
        <f ca="1">OFFSET(Sheet2!U$2,(ROW(S34))*3,0)</f>
        <v>0</v>
      </c>
      <c r="T33">
        <f ca="1">OFFSET(Sheet2!V$2,(ROW(T34))*3,0)</f>
        <v>0</v>
      </c>
    </row>
    <row r="34" spans="1:20" x14ac:dyDescent="0.35">
      <c r="A34">
        <f ca="1">OFFSET(Sheet2!B$4,(ROW(A35))*3,0)</f>
        <v>43884</v>
      </c>
      <c r="B34">
        <f ca="1">OFFSET(Sheet2!C$4,(ROW(B35))*3,0)</f>
        <v>5</v>
      </c>
      <c r="C34" t="str">
        <f ca="1">OFFSET(Sheet2!D$4,(ROW(C35))*3,0)</f>
        <v>North</v>
      </c>
      <c r="D34" t="str">
        <f ca="1">OFFSET(Sheet2!F$4,(ROW(D35))*3,0)</f>
        <v>Gibisiwa Benson</v>
      </c>
      <c r="E34" t="str">
        <f ca="1">OFFSET(Sheet2!G$4,(ROW(E35))*3,0)</f>
        <v>H2Go</v>
      </c>
      <c r="F34">
        <f ca="1">OFFSET(Sheet2!H$4,(ROW(F35))*3,0)</f>
        <v>0</v>
      </c>
      <c r="G34" t="str">
        <f ca="1">OFFSET(Sheet2!I$4,(ROW(G35))*3,0)</f>
        <v>WEEKLY</v>
      </c>
      <c r="H34">
        <f ca="1">OFFSET(Sheet2!J$4,(ROW(H35))*3,0)</f>
        <v>230</v>
      </c>
      <c r="I34" t="str">
        <f ca="1">OFFSET(Sheet2!K$4,(ROW(I35))*3,0)</f>
        <v>Actions</v>
      </c>
      <c r="J34" t="str">
        <f ca="1">OFFSET(Sheet2!L$4,(ROW(J35))*3,0)</f>
        <v>Chagned</v>
      </c>
      <c r="K34" t="str">
        <f ca="1">OFFSET(Sheet2!M$4,(ROW(K35))*3,0)</f>
        <v>Nothing done</v>
      </c>
      <c r="L34" t="str">
        <f ca="1">OFFSET(Sheet2!N$4,(ROW(L35))*3,0)</f>
        <v>Nothing done</v>
      </c>
      <c r="M34" t="str">
        <f ca="1">OFFSET(Sheet2!O$4,(ROW(M35))*3,0)</f>
        <v>Cleaned Filter</v>
      </c>
      <c r="N34" t="str">
        <f ca="1">OFFSET(Sheet2!P$4,(ROW(N35))*3,0)</f>
        <v>Nothing done</v>
      </c>
      <c r="O34" t="str">
        <f ca="1">OFFSET(Sheet2!Q$4,(ROW(O35))*3,0)</f>
        <v>Nothing Done</v>
      </c>
      <c r="P34">
        <f ca="1">OFFSET(Sheet2!R$4,(ROW(P35))*3,0)</f>
        <v>0</v>
      </c>
      <c r="Q34">
        <f ca="1">OFFSET(Sheet2!S$4,(ROW(Q35))*3,0)</f>
        <v>0</v>
      </c>
      <c r="R34">
        <f ca="1">OFFSET(Sheet2!T$4,(ROW(R35))*3,0)</f>
        <v>0</v>
      </c>
      <c r="S34">
        <f ca="1">OFFSET(Sheet2!U$2,(ROW(S35))*3,0)</f>
        <v>0</v>
      </c>
      <c r="T34">
        <f ca="1">OFFSET(Sheet2!V$2,(ROW(T35))*3,0)</f>
        <v>0</v>
      </c>
    </row>
    <row r="35" spans="1:20" x14ac:dyDescent="0.35">
      <c r="A35">
        <f ca="1">OFFSET(Sheet2!B$4,(ROW(A36))*3,0)</f>
        <v>43894</v>
      </c>
      <c r="B35">
        <f ca="1">OFFSET(Sheet2!C$4,(ROW(B36))*3,0)</f>
        <v>5</v>
      </c>
      <c r="C35" t="str">
        <f ca="1">OFFSET(Sheet2!D$4,(ROW(C36))*3,0)</f>
        <v>North</v>
      </c>
      <c r="D35" t="str">
        <f ca="1">OFFSET(Sheet2!F$4,(ROW(D36))*3,0)</f>
        <v>Gibisiwa Benson</v>
      </c>
      <c r="E35" t="str">
        <f ca="1">OFFSET(Sheet2!G$4,(ROW(E36))*3,0)</f>
        <v>H2GO</v>
      </c>
      <c r="F35">
        <f ca="1">OFFSET(Sheet2!H$4,(ROW(F36))*3,0)</f>
        <v>0</v>
      </c>
      <c r="G35" t="str">
        <f ca="1">OFFSET(Sheet2!I$4,(ROW(G36))*3,0)</f>
        <v>WEEKLY</v>
      </c>
      <c r="H35">
        <f ca="1">OFFSET(Sheet2!J$4,(ROW(H36))*3,0)</f>
        <v>250</v>
      </c>
      <c r="I35" t="str">
        <f ca="1">OFFSET(Sheet2!K$4,(ROW(I36))*3,0)</f>
        <v>Actions</v>
      </c>
      <c r="J35" t="str">
        <f ca="1">OFFSET(Sheet2!L$4,(ROW(J36))*3,0)</f>
        <v>Chagned</v>
      </c>
      <c r="K35" t="str">
        <f ca="1">OFFSET(Sheet2!M$4,(ROW(K36))*3,0)</f>
        <v>Carberator was cleaned</v>
      </c>
      <c r="L35" t="str">
        <f ca="1">OFFSET(Sheet2!N$4,(ROW(L36))*3,0)</f>
        <v>Nothing done</v>
      </c>
      <c r="M35" t="str">
        <f ca="1">OFFSET(Sheet2!O$4,(ROW(M36))*3,0)</f>
        <v>Cleaned Filter</v>
      </c>
      <c r="N35" t="str">
        <f ca="1">OFFSET(Sheet2!P$4,(ROW(N36))*3,0)</f>
        <v>Nothing done</v>
      </c>
      <c r="O35" t="str">
        <f ca="1">OFFSET(Sheet2!Q$4,(ROW(O36))*3,0)</f>
        <v>Nothing Done</v>
      </c>
      <c r="P35">
        <f ca="1">OFFSET(Sheet2!R$4,(ROW(P36))*3,0)</f>
        <v>0</v>
      </c>
      <c r="Q35">
        <f ca="1">OFFSET(Sheet2!S$4,(ROW(Q36))*3,0)</f>
        <v>0</v>
      </c>
      <c r="R35">
        <f ca="1">OFFSET(Sheet2!T$4,(ROW(R36))*3,0)</f>
        <v>0</v>
      </c>
      <c r="S35">
        <f ca="1">OFFSET(Sheet2!U$2,(ROW(S36))*3,0)</f>
        <v>0</v>
      </c>
      <c r="T35">
        <f ca="1">OFFSET(Sheet2!V$2,(ROW(T36))*3,0)</f>
        <v>0</v>
      </c>
    </row>
    <row r="36" spans="1:20" x14ac:dyDescent="0.35">
      <c r="A36">
        <f ca="1">OFFSET(Sheet2!B$4,(ROW(A37))*3,0)</f>
        <v>43838</v>
      </c>
      <c r="B36">
        <f ca="1">OFFSET(Sheet2!C$4,(ROW(B37))*3,0)</f>
        <v>6</v>
      </c>
      <c r="C36" t="str">
        <f ca="1">OFFSET(Sheet2!D$4,(ROW(C37))*3,0)</f>
        <v>North</v>
      </c>
      <c r="D36" t="str">
        <f ca="1">OFFSET(Sheet2!F$4,(ROW(D37))*3,0)</f>
        <v>Namasoko Joel</v>
      </c>
      <c r="E36" t="str">
        <f ca="1">OFFSET(Sheet2!G$4,(ROW(E37))*3,0)</f>
        <v>H2Go</v>
      </c>
      <c r="F36">
        <f ca="1">OFFSET(Sheet2!H$4,(ROW(F37))*3,0)</f>
        <v>0</v>
      </c>
      <c r="G36" t="str">
        <f ca="1">OFFSET(Sheet2!I$4,(ROW(G37))*3,0)</f>
        <v>Comprehensive</v>
      </c>
      <c r="H36">
        <f ca="1">OFFSET(Sheet2!J$4,(ROW(H37))*3,0)</f>
        <v>8</v>
      </c>
      <c r="I36" t="str">
        <f ca="1">OFFSET(Sheet2!K$4,(ROW(I37))*3,0)</f>
        <v>Actions</v>
      </c>
      <c r="J36" t="str">
        <f ca="1">OFFSET(Sheet2!L$4,(ROW(J37))*3,0)</f>
        <v>Changed</v>
      </c>
      <c r="K36" t="str">
        <f ca="1">OFFSET(Sheet2!M$4,(ROW(K37))*3,0)</f>
        <v>Cleaned</v>
      </c>
      <c r="L36" t="str">
        <f ca="1">OFFSET(Sheet2!N$4,(ROW(L37))*3,0)</f>
        <v>Nothing done</v>
      </c>
      <c r="M36" t="str">
        <f ca="1">OFFSET(Sheet2!O$4,(ROW(M37))*3,0)</f>
        <v>Nothing done</v>
      </c>
      <c r="N36" t="str">
        <f ca="1">OFFSET(Sheet2!P$4,(ROW(N37))*3,0)</f>
        <v>Changed</v>
      </c>
      <c r="O36" t="str">
        <f ca="1">OFFSET(Sheet2!Q$4,(ROW(O37))*3,0)</f>
        <v>Nothing done</v>
      </c>
      <c r="P36" t="str">
        <f ca="1">OFFSET(Sheet2!R$4,(ROW(P37))*3,0)</f>
        <v>Nothing done</v>
      </c>
      <c r="Q36" t="str">
        <f ca="1">OFFSET(Sheet2!S$4,(ROW(Q37))*3,0)</f>
        <v>Nothing done</v>
      </c>
      <c r="R36" t="str">
        <f ca="1">OFFSET(Sheet2!T$4,(ROW(R37))*3,0)</f>
        <v>Cleaned</v>
      </c>
      <c r="S36">
        <f ca="1">OFFSET(Sheet2!U$2,(ROW(S37))*3,0)</f>
        <v>0</v>
      </c>
      <c r="T36">
        <f ca="1">OFFSET(Sheet2!V$2,(ROW(T37))*3,0)</f>
        <v>0</v>
      </c>
    </row>
    <row r="37" spans="1:20" x14ac:dyDescent="0.35">
      <c r="A37" t="str">
        <f ca="1">OFFSET(Sheet2!B$4,(ROW(A38))*3,0)</f>
        <v>24/1/2020</v>
      </c>
      <c r="B37">
        <f ca="1">OFFSET(Sheet2!C$4,(ROW(B38))*3,0)</f>
        <v>6</v>
      </c>
      <c r="C37" t="str">
        <f ca="1">OFFSET(Sheet2!D$4,(ROW(C38))*3,0)</f>
        <v>North</v>
      </c>
      <c r="D37" t="str">
        <f ca="1">OFFSET(Sheet2!F$4,(ROW(D38))*3,0)</f>
        <v>Namasoko Joel</v>
      </c>
      <c r="E37" t="str">
        <f ca="1">OFFSET(Sheet2!G$4,(ROW(E38))*3,0)</f>
        <v>H2Go</v>
      </c>
      <c r="F37">
        <f ca="1">OFFSET(Sheet2!H$4,(ROW(F38))*3,0)</f>
        <v>0</v>
      </c>
      <c r="G37" t="str">
        <f ca="1">OFFSET(Sheet2!I$4,(ROW(G38))*3,0)</f>
        <v>weekly</v>
      </c>
      <c r="H37">
        <f ca="1">OFFSET(Sheet2!J$4,(ROW(H38))*3,0)</f>
        <v>53</v>
      </c>
      <c r="I37" t="str">
        <f ca="1">OFFSET(Sheet2!K$4,(ROW(I38))*3,0)</f>
        <v>Actions</v>
      </c>
      <c r="J37" t="str">
        <f ca="1">OFFSET(Sheet2!L$4,(ROW(J38))*3,0)</f>
        <v>Changed</v>
      </c>
      <c r="K37" t="str">
        <f ca="1">OFFSET(Sheet2!M$4,(ROW(K38))*3,0)</f>
        <v>Nothing done</v>
      </c>
      <c r="L37" t="str">
        <f ca="1">OFFSET(Sheet2!N$4,(ROW(L38))*3,0)</f>
        <v>Nothing done</v>
      </c>
      <c r="M37" t="str">
        <f ca="1">OFFSET(Sheet2!O$4,(ROW(M38))*3,0)</f>
        <v>Nothing done</v>
      </c>
      <c r="N37" t="str">
        <f ca="1">OFFSET(Sheet2!P$4,(ROW(N38))*3,0)</f>
        <v>Nothing done</v>
      </c>
      <c r="O37" t="str">
        <f ca="1">OFFSET(Sheet2!Q$4,(ROW(O38))*3,0)</f>
        <v>Nothing done</v>
      </c>
      <c r="P37">
        <f ca="1">OFFSET(Sheet2!R$4,(ROW(P38))*3,0)</f>
        <v>0</v>
      </c>
      <c r="Q37">
        <f ca="1">OFFSET(Sheet2!S$4,(ROW(Q38))*3,0)</f>
        <v>0</v>
      </c>
      <c r="R37">
        <f ca="1">OFFSET(Sheet2!T$4,(ROW(R38))*3,0)</f>
        <v>0</v>
      </c>
      <c r="S37">
        <f ca="1">OFFSET(Sheet2!U$2,(ROW(S38))*3,0)</f>
        <v>0</v>
      </c>
      <c r="T37">
        <f ca="1">OFFSET(Sheet2!V$2,(ROW(T38))*3,0)</f>
        <v>0</v>
      </c>
    </row>
    <row r="38" spans="1:20" x14ac:dyDescent="0.35">
      <c r="A38">
        <f ca="1">OFFSET(Sheet2!B$4,(ROW(A39))*3,0)</f>
        <v>43868</v>
      </c>
      <c r="B38">
        <f ca="1">OFFSET(Sheet2!C$4,(ROW(B39))*3,0)</f>
        <v>6</v>
      </c>
      <c r="C38" t="str">
        <f ca="1">OFFSET(Sheet2!D$4,(ROW(C39))*3,0)</f>
        <v>North</v>
      </c>
      <c r="D38" t="str">
        <f ca="1">OFFSET(Sheet2!F$4,(ROW(D39))*3,0)</f>
        <v>NAMASOKO JOEL</v>
      </c>
      <c r="E38" t="str">
        <f ca="1">OFFSET(Sheet2!G$4,(ROW(E39))*3,0)</f>
        <v>H2GO</v>
      </c>
      <c r="F38">
        <f ca="1">OFFSET(Sheet2!H$4,(ROW(F39))*3,0)</f>
        <v>0</v>
      </c>
      <c r="G38" t="str">
        <f ca="1">OFFSET(Sheet2!I$4,(ROW(G39))*3,0)</f>
        <v>WEEKLY</v>
      </c>
      <c r="H38">
        <f ca="1">OFFSET(Sheet2!J$4,(ROW(H39))*3,0)</f>
        <v>264</v>
      </c>
      <c r="I38" t="str">
        <f ca="1">OFFSET(Sheet2!K$4,(ROW(I39))*3,0)</f>
        <v>Actions</v>
      </c>
      <c r="J38" t="str">
        <f ca="1">OFFSET(Sheet2!L$4,(ROW(J39))*3,0)</f>
        <v>Engine oil changed</v>
      </c>
      <c r="K38" t="str">
        <f ca="1">OFFSET(Sheet2!M$4,(ROW(K39))*3,0)</f>
        <v>Checked and cleaned</v>
      </c>
      <c r="L38">
        <f ca="1">OFFSET(Sheet2!N$4,(ROW(L39))*3,0)</f>
        <v>0</v>
      </c>
      <c r="M38" t="str">
        <f ca="1">OFFSET(Sheet2!O$4,(ROW(M39))*3,0)</f>
        <v>Cleaned</v>
      </c>
      <c r="N38" t="str">
        <f ca="1">OFFSET(Sheet2!P$4,(ROW(N39))*3,0)</f>
        <v>Checked</v>
      </c>
      <c r="O38" t="str">
        <f ca="1">OFFSET(Sheet2!Q$4,(ROW(O39))*3,0)</f>
        <v>Checked</v>
      </c>
      <c r="P38" t="str">
        <f ca="1">OFFSET(Sheet2!R$4,(ROW(P39))*3,0)</f>
        <v>Nothing done</v>
      </c>
      <c r="Q38" t="str">
        <f ca="1">OFFSET(Sheet2!S$4,(ROW(Q39))*3,0)</f>
        <v>Nothing done</v>
      </c>
      <c r="R38" t="str">
        <f ca="1">OFFSET(Sheet2!T$4,(ROW(R39))*3,0)</f>
        <v>Nothing done</v>
      </c>
      <c r="S38">
        <f ca="1">OFFSET(Sheet2!U$2,(ROW(S39))*3,0)</f>
        <v>0</v>
      </c>
      <c r="T38">
        <f ca="1">OFFSET(Sheet2!V$2,(ROW(T39))*3,0)</f>
        <v>0</v>
      </c>
    </row>
    <row r="39" spans="1:20" x14ac:dyDescent="0.35">
      <c r="A39">
        <f ca="1">OFFSET(Sheet2!B$4,(ROW(A40))*3,0)</f>
        <v>43877</v>
      </c>
      <c r="B39">
        <f ca="1">OFFSET(Sheet2!C$4,(ROW(B40))*3,0)</f>
        <v>6</v>
      </c>
      <c r="C39" t="str">
        <f ca="1">OFFSET(Sheet2!D$4,(ROW(C40))*3,0)</f>
        <v>North</v>
      </c>
      <c r="D39" t="str">
        <f ca="1">OFFSET(Sheet2!F$4,(ROW(D40))*3,0)</f>
        <v>NAMASOKO JOEL</v>
      </c>
      <c r="E39" t="str">
        <f ca="1">OFFSET(Sheet2!G$4,(ROW(E40))*3,0)</f>
        <v>H2Go</v>
      </c>
      <c r="F39">
        <f ca="1">OFFSET(Sheet2!H$4,(ROW(F40))*3,0)</f>
        <v>0</v>
      </c>
      <c r="G39" t="str">
        <f ca="1">OFFSET(Sheet2!I$4,(ROW(G40))*3,0)</f>
        <v>WEEKLY</v>
      </c>
      <c r="H39">
        <f ca="1">OFFSET(Sheet2!J$4,(ROW(H40))*3,0)</f>
        <v>300</v>
      </c>
      <c r="I39" t="str">
        <f ca="1">OFFSET(Sheet2!K$4,(ROW(I40))*3,0)</f>
        <v>Actions</v>
      </c>
      <c r="J39" t="str">
        <f ca="1">OFFSET(Sheet2!L$4,(ROW(J40))*3,0)</f>
        <v>Chagned</v>
      </c>
      <c r="K39" t="str">
        <f ca="1">OFFSET(Sheet2!M$4,(ROW(K40))*3,0)</f>
        <v>Nothing done</v>
      </c>
      <c r="L39" t="str">
        <f ca="1">OFFSET(Sheet2!N$4,(ROW(L40))*3,0)</f>
        <v>Nothing done</v>
      </c>
      <c r="M39" t="str">
        <f ca="1">OFFSET(Sheet2!O$4,(ROW(M40))*3,0)</f>
        <v>Cleaned Filter</v>
      </c>
      <c r="N39" t="str">
        <f ca="1">OFFSET(Sheet2!P$4,(ROW(N40))*3,0)</f>
        <v>Nothing done</v>
      </c>
      <c r="O39" t="str">
        <f ca="1">OFFSET(Sheet2!Q$4,(ROW(O40))*3,0)</f>
        <v xml:space="preserve">Replaced Nut </v>
      </c>
      <c r="P39">
        <f ca="1">OFFSET(Sheet2!R$4,(ROW(P40))*3,0)</f>
        <v>0</v>
      </c>
      <c r="Q39">
        <f ca="1">OFFSET(Sheet2!S$4,(ROW(Q40))*3,0)</f>
        <v>0</v>
      </c>
      <c r="R39">
        <f ca="1">OFFSET(Sheet2!T$4,(ROW(R40))*3,0)</f>
        <v>0</v>
      </c>
      <c r="S39">
        <f ca="1">OFFSET(Sheet2!U$2,(ROW(S40))*3,0)</f>
        <v>0</v>
      </c>
      <c r="T39">
        <f ca="1">OFFSET(Sheet2!V$2,(ROW(T40))*3,0)</f>
        <v>0</v>
      </c>
    </row>
    <row r="40" spans="1:20" x14ac:dyDescent="0.35">
      <c r="A40">
        <f ca="1">OFFSET(Sheet2!B$4,(ROW(A41))*3,0)</f>
        <v>43884</v>
      </c>
      <c r="B40">
        <f ca="1">OFFSET(Sheet2!C$4,(ROW(B41))*3,0)</f>
        <v>6</v>
      </c>
      <c r="C40" t="str">
        <f ca="1">OFFSET(Sheet2!D$4,(ROW(C41))*3,0)</f>
        <v>North</v>
      </c>
      <c r="D40" t="str">
        <f ca="1">OFFSET(Sheet2!F$4,(ROW(D41))*3,0)</f>
        <v>Namasoko Joel</v>
      </c>
      <c r="E40" t="str">
        <f ca="1">OFFSET(Sheet2!G$4,(ROW(E41))*3,0)</f>
        <v>H2Go</v>
      </c>
      <c r="F40">
        <f ca="1">OFFSET(Sheet2!H$4,(ROW(F41))*3,0)</f>
        <v>0</v>
      </c>
      <c r="G40" t="str">
        <f ca="1">OFFSET(Sheet2!I$4,(ROW(G41))*3,0)</f>
        <v>WEEKLY</v>
      </c>
      <c r="H40">
        <f ca="1">OFFSET(Sheet2!J$4,(ROW(H41))*3,0)</f>
        <v>241</v>
      </c>
      <c r="I40" t="str">
        <f ca="1">OFFSET(Sheet2!K$4,(ROW(I41))*3,0)</f>
        <v>Actions</v>
      </c>
      <c r="J40" t="str">
        <f ca="1">OFFSET(Sheet2!L$4,(ROW(J41))*3,0)</f>
        <v>Chagned</v>
      </c>
      <c r="K40" t="str">
        <f ca="1">OFFSET(Sheet2!M$4,(ROW(K41))*3,0)</f>
        <v>Carberator was cleaned</v>
      </c>
      <c r="L40" t="str">
        <f ca="1">OFFSET(Sheet2!N$4,(ROW(L41))*3,0)</f>
        <v>Nothing done</v>
      </c>
      <c r="M40" t="str">
        <f ca="1">OFFSET(Sheet2!O$4,(ROW(M41))*3,0)</f>
        <v>Cleaned Filter</v>
      </c>
      <c r="N40" t="str">
        <f ca="1">OFFSET(Sheet2!P$4,(ROW(N41))*3,0)</f>
        <v>Nothing done</v>
      </c>
      <c r="O40" t="str">
        <f ca="1">OFFSET(Sheet2!Q$4,(ROW(O41))*3,0)</f>
        <v>Nothing Done</v>
      </c>
      <c r="P40">
        <f ca="1">OFFSET(Sheet2!R$4,(ROW(P41))*3,0)</f>
        <v>0</v>
      </c>
      <c r="Q40">
        <f ca="1">OFFSET(Sheet2!S$4,(ROW(Q41))*3,0)</f>
        <v>0</v>
      </c>
      <c r="R40">
        <f ca="1">OFFSET(Sheet2!T$4,(ROW(R41))*3,0)</f>
        <v>0</v>
      </c>
      <c r="S40">
        <f ca="1">OFFSET(Sheet2!U$2,(ROW(S41))*3,0)</f>
        <v>0</v>
      </c>
      <c r="T40">
        <f ca="1">OFFSET(Sheet2!V$2,(ROW(T41))*3,0)</f>
        <v>0</v>
      </c>
    </row>
    <row r="41" spans="1:20" x14ac:dyDescent="0.35">
      <c r="A41">
        <f ca="1">OFFSET(Sheet2!B$4,(ROW(A42))*3,0)</f>
        <v>43894</v>
      </c>
      <c r="B41">
        <f ca="1">OFFSET(Sheet2!C$4,(ROW(B42))*3,0)</f>
        <v>6</v>
      </c>
      <c r="C41" t="str">
        <f ca="1">OFFSET(Sheet2!D$4,(ROW(C42))*3,0)</f>
        <v>North</v>
      </c>
      <c r="D41" t="str">
        <f ca="1">OFFSET(Sheet2!F$4,(ROW(D42))*3,0)</f>
        <v>Namasoko Joel</v>
      </c>
      <c r="E41" t="str">
        <f ca="1">OFFSET(Sheet2!G$4,(ROW(E42))*3,0)</f>
        <v>H2GO</v>
      </c>
      <c r="F41">
        <f ca="1">OFFSET(Sheet2!H$4,(ROW(F42))*3,0)</f>
        <v>0</v>
      </c>
      <c r="G41" t="str">
        <f ca="1">OFFSET(Sheet2!I$4,(ROW(G42))*3,0)</f>
        <v>WEEKLY</v>
      </c>
      <c r="H41">
        <f ca="1">OFFSET(Sheet2!J$4,(ROW(H42))*3,0)</f>
        <v>247</v>
      </c>
      <c r="I41" t="str">
        <f ca="1">OFFSET(Sheet2!K$4,(ROW(I42))*3,0)</f>
        <v>Actions</v>
      </c>
      <c r="J41" t="str">
        <f ca="1">OFFSET(Sheet2!L$4,(ROW(J42))*3,0)</f>
        <v>Chagned</v>
      </c>
      <c r="K41" t="str">
        <f ca="1">OFFSET(Sheet2!M$4,(ROW(K42))*3,0)</f>
        <v>Nothing done, despite recommendation</v>
      </c>
      <c r="L41" t="str">
        <f ca="1">OFFSET(Sheet2!N$4,(ROW(L42))*3,0)</f>
        <v>Nothing done, despite recommendation</v>
      </c>
      <c r="M41" t="str">
        <f ca="1">OFFSET(Sheet2!O$4,(ROW(M42))*3,0)</f>
        <v>Cleaned Filter</v>
      </c>
      <c r="N41" t="str">
        <f ca="1">OFFSET(Sheet2!P$4,(ROW(N42))*3,0)</f>
        <v>Nothing done, despite recommendation</v>
      </c>
      <c r="O41" t="str">
        <f ca="1">OFFSET(Sheet2!Q$4,(ROW(O42))*3,0)</f>
        <v>Nothing Done</v>
      </c>
      <c r="P41">
        <f ca="1">OFFSET(Sheet2!R$4,(ROW(P42))*3,0)</f>
        <v>0</v>
      </c>
      <c r="Q41">
        <f ca="1">OFFSET(Sheet2!S$4,(ROW(Q42))*3,0)</f>
        <v>0</v>
      </c>
      <c r="R41">
        <f ca="1">OFFSET(Sheet2!T$4,(ROW(R42))*3,0)</f>
        <v>0</v>
      </c>
      <c r="S41">
        <f ca="1">OFFSET(Sheet2!U$2,(ROW(S42))*3,0)</f>
        <v>0</v>
      </c>
      <c r="T41">
        <f ca="1">OFFSET(Sheet2!V$2,(ROW(T42))*3,0)</f>
        <v>0</v>
      </c>
    </row>
    <row r="42" spans="1:20" x14ac:dyDescent="0.35">
      <c r="A42">
        <f ca="1">OFFSET(Sheet2!B$4,(ROW(A43))*3,0)</f>
        <v>43899</v>
      </c>
      <c r="B42">
        <f ca="1">OFFSET(Sheet2!C$4,(ROW(B43))*3,0)</f>
        <v>6</v>
      </c>
      <c r="C42" t="str">
        <f ca="1">OFFSET(Sheet2!D$4,(ROW(C43))*3,0)</f>
        <v>North</v>
      </c>
      <c r="D42" t="str">
        <f ca="1">OFFSET(Sheet2!F$4,(ROW(D43))*3,0)</f>
        <v>Namasoko Joel</v>
      </c>
      <c r="E42" t="str">
        <f ca="1">OFFSET(Sheet2!G$4,(ROW(E43))*3,0)</f>
        <v>H2Go</v>
      </c>
      <c r="F42">
        <f ca="1">OFFSET(Sheet2!H$4,(ROW(F43))*3,0)</f>
        <v>0</v>
      </c>
      <c r="G42" t="str">
        <f ca="1">OFFSET(Sheet2!I$4,(ROW(G43))*3,0)</f>
        <v>WEEKLY</v>
      </c>
      <c r="H42">
        <f ca="1">OFFSET(Sheet2!J$4,(ROW(H43))*3,0)</f>
        <v>206</v>
      </c>
      <c r="I42" t="str">
        <f ca="1">OFFSET(Sheet2!K$4,(ROW(I43))*3,0)</f>
        <v>Actions</v>
      </c>
      <c r="J42" t="str">
        <f ca="1">OFFSET(Sheet2!L$4,(ROW(J43))*3,0)</f>
        <v>Chagned</v>
      </c>
      <c r="K42" t="str">
        <f ca="1">OFFSET(Sheet2!M$4,(ROW(K43))*3,0)</f>
        <v>Nothing done</v>
      </c>
      <c r="L42" t="str">
        <f ca="1">OFFSET(Sheet2!N$4,(ROW(L43))*3,0)</f>
        <v>Nothing done</v>
      </c>
      <c r="M42" t="str">
        <f ca="1">OFFSET(Sheet2!O$4,(ROW(M43))*3,0)</f>
        <v>Nothing done</v>
      </c>
      <c r="N42" t="str">
        <f ca="1">OFFSET(Sheet2!P$4,(ROW(N43))*3,0)</f>
        <v>Nothing done</v>
      </c>
      <c r="O42" t="str">
        <f ca="1">OFFSET(Sheet2!Q$4,(ROW(O43))*3,0)</f>
        <v>Nothing Done</v>
      </c>
      <c r="P42">
        <f ca="1">OFFSET(Sheet2!R$4,(ROW(P43))*3,0)</f>
        <v>0</v>
      </c>
      <c r="Q42">
        <f ca="1">OFFSET(Sheet2!S$4,(ROW(Q43))*3,0)</f>
        <v>0</v>
      </c>
      <c r="R42">
        <f ca="1">OFFSET(Sheet2!T$4,(ROW(R43))*3,0)</f>
        <v>0</v>
      </c>
      <c r="S42">
        <f ca="1">OFFSET(Sheet2!U$2,(ROW(S43))*3,0)</f>
        <v>0</v>
      </c>
      <c r="T42">
        <f ca="1">OFFSET(Sheet2!V$2,(ROW(T43))*3,0)</f>
        <v>0</v>
      </c>
    </row>
    <row r="43" spans="1:20" x14ac:dyDescent="0.35">
      <c r="A43">
        <f ca="1">OFFSET(Sheet2!B$4,(ROW(A44))*3,0)</f>
        <v>43838</v>
      </c>
      <c r="B43">
        <f ca="1">OFFSET(Sheet2!C$4,(ROW(B44))*3,0)</f>
        <v>7</v>
      </c>
      <c r="C43" t="str">
        <f ca="1">OFFSET(Sheet2!D$4,(ROW(C44))*3,0)</f>
        <v>North</v>
      </c>
      <c r="D43" t="str">
        <f ca="1">OFFSET(Sheet2!F$4,(ROW(D44))*3,0)</f>
        <v>Semei Mark</v>
      </c>
      <c r="E43" t="str">
        <f ca="1">OFFSET(Sheet2!G$4,(ROW(E44))*3,0)</f>
        <v>H2Go</v>
      </c>
      <c r="F43">
        <f ca="1">OFFSET(Sheet2!H$4,(ROW(F44))*3,0)</f>
        <v>0</v>
      </c>
      <c r="G43" t="str">
        <f ca="1">OFFSET(Sheet2!I$4,(ROW(G44))*3,0)</f>
        <v>Comprehensive</v>
      </c>
      <c r="H43">
        <f ca="1">OFFSET(Sheet2!J$4,(ROW(H44))*3,0)</f>
        <v>3</v>
      </c>
      <c r="I43" t="str">
        <f ca="1">OFFSET(Sheet2!K$4,(ROW(I44))*3,0)</f>
        <v>Actions</v>
      </c>
      <c r="J43" t="str">
        <f ca="1">OFFSET(Sheet2!L$4,(ROW(J44))*3,0)</f>
        <v>Changed</v>
      </c>
      <c r="K43" t="str">
        <f ca="1">OFFSET(Sheet2!M$4,(ROW(K44))*3,0)</f>
        <v>Washed</v>
      </c>
      <c r="L43" t="str">
        <f ca="1">OFFSET(Sheet2!N$4,(ROW(L44))*3,0)</f>
        <v>Nothing done</v>
      </c>
      <c r="M43" t="str">
        <f ca="1">OFFSET(Sheet2!O$4,(ROW(M44))*3,0)</f>
        <v>Nothing done</v>
      </c>
      <c r="N43" t="str">
        <f ca="1">OFFSET(Sheet2!P$4,(ROW(N44))*3,0)</f>
        <v>Changed</v>
      </c>
      <c r="O43" t="str">
        <f ca="1">OFFSET(Sheet2!Q$4,(ROW(O44))*3,0)</f>
        <v>Replaced</v>
      </c>
      <c r="P43" t="str">
        <f ca="1">OFFSET(Sheet2!R$4,(ROW(P44))*3,0)</f>
        <v>Replaced</v>
      </c>
      <c r="Q43" t="str">
        <f ca="1">OFFSET(Sheet2!S$4,(ROW(Q44))*3,0)</f>
        <v>Washed</v>
      </c>
      <c r="R43" t="str">
        <f ca="1">OFFSET(Sheet2!T$4,(ROW(R44))*3,0)</f>
        <v>Nothing done</v>
      </c>
      <c r="S43">
        <f ca="1">OFFSET(Sheet2!U$2,(ROW(S44))*3,0)</f>
        <v>0</v>
      </c>
      <c r="T43">
        <f ca="1">OFFSET(Sheet2!V$2,(ROW(T44))*3,0)</f>
        <v>0</v>
      </c>
    </row>
    <row r="44" spans="1:20" x14ac:dyDescent="0.35">
      <c r="A44">
        <f ca="1">OFFSET(Sheet2!B$4,(ROW(A45))*3,0)</f>
        <v>43840</v>
      </c>
      <c r="B44">
        <f ca="1">OFFSET(Sheet2!C$4,(ROW(B45))*3,0)</f>
        <v>8</v>
      </c>
      <c r="C44" t="str">
        <f ca="1">OFFSET(Sheet2!D$4,(ROW(C45))*3,0)</f>
        <v>North</v>
      </c>
      <c r="D44" t="str">
        <f ca="1">OFFSET(Sheet2!F$4,(ROW(D45))*3,0)</f>
        <v>Mugoya William</v>
      </c>
      <c r="E44" t="str">
        <f ca="1">OFFSET(Sheet2!G$4,(ROW(E45))*3,0)</f>
        <v>H2Go</v>
      </c>
      <c r="F44">
        <f ca="1">OFFSET(Sheet2!H$4,(ROW(F45))*3,0)</f>
        <v>0</v>
      </c>
      <c r="G44" t="str">
        <f ca="1">OFFSET(Sheet2!I$4,(ROW(G45))*3,0)</f>
        <v>Comprehensive</v>
      </c>
      <c r="H44">
        <f ca="1">OFFSET(Sheet2!J$4,(ROW(H45))*3,0)</f>
        <v>21</v>
      </c>
      <c r="I44" t="str">
        <f ca="1">OFFSET(Sheet2!K$4,(ROW(I45))*3,0)</f>
        <v>Actions</v>
      </c>
      <c r="J44" t="str">
        <f ca="1">OFFSET(Sheet2!L$4,(ROW(J45))*3,0)</f>
        <v>Changed</v>
      </c>
      <c r="K44" t="str">
        <f ca="1">OFFSET(Sheet2!M$4,(ROW(K45))*3,0)</f>
        <v>Cleaned</v>
      </c>
      <c r="L44" t="str">
        <f ca="1">OFFSET(Sheet2!N$4,(ROW(L45))*3,0)</f>
        <v>Arranged</v>
      </c>
      <c r="M44" t="str">
        <f ca="1">OFFSET(Sheet2!O$4,(ROW(M45))*3,0)</f>
        <v>Cleaned</v>
      </c>
      <c r="N44" t="str">
        <f ca="1">OFFSET(Sheet2!P$4,(ROW(N45))*3,0)</f>
        <v>Replaced</v>
      </c>
      <c r="O44" t="str">
        <f ca="1">OFFSET(Sheet2!Q$4,(ROW(O45))*3,0)</f>
        <v>Changed</v>
      </c>
      <c r="P44" t="str">
        <f ca="1">OFFSET(Sheet2!R$4,(ROW(P45))*3,0)</f>
        <v>Nothing done</v>
      </c>
      <c r="Q44" t="str">
        <f ca="1">OFFSET(Sheet2!S$4,(ROW(Q45))*3,0)</f>
        <v>Nothing done</v>
      </c>
      <c r="R44" t="str">
        <f ca="1">OFFSET(Sheet2!T$4,(ROW(R45))*3,0)</f>
        <v>Did some simple cleaning</v>
      </c>
      <c r="S44">
        <f ca="1">OFFSET(Sheet2!U$2,(ROW(S45))*3,0)</f>
        <v>0</v>
      </c>
      <c r="T44">
        <f ca="1">OFFSET(Sheet2!V$2,(ROW(T45))*3,0)</f>
        <v>0</v>
      </c>
    </row>
    <row r="45" spans="1:20" x14ac:dyDescent="0.35">
      <c r="A45" t="str">
        <f ca="1">OFFSET(Sheet2!B$4,(ROW(A46))*3,0)</f>
        <v>23/1/2020</v>
      </c>
      <c r="B45">
        <f ca="1">OFFSET(Sheet2!C$4,(ROW(B46))*3,0)</f>
        <v>10</v>
      </c>
      <c r="C45" t="str">
        <f ca="1">OFFSET(Sheet2!D$4,(ROW(C46))*3,0)</f>
        <v>North</v>
      </c>
      <c r="D45" t="str">
        <f ca="1">OFFSET(Sheet2!F$4,(ROW(D46))*3,0)</f>
        <v>Mugoya Ivan</v>
      </c>
      <c r="E45" t="str">
        <f ca="1">OFFSET(Sheet2!G$4,(ROW(E46))*3,0)</f>
        <v>H2Go</v>
      </c>
      <c r="F45">
        <f ca="1">OFFSET(Sheet2!H$4,(ROW(F46))*3,0)</f>
        <v>0</v>
      </c>
      <c r="G45" t="str">
        <f ca="1">OFFSET(Sheet2!I$4,(ROW(G46))*3,0)</f>
        <v>Comprehensive</v>
      </c>
      <c r="H45">
        <f ca="1">OFFSET(Sheet2!J$4,(ROW(H46))*3,0)</f>
        <v>14</v>
      </c>
      <c r="I45" t="str">
        <f ca="1">OFFSET(Sheet2!K$4,(ROW(I46))*3,0)</f>
        <v>Actions</v>
      </c>
      <c r="J45" t="str">
        <f ca="1">OFFSET(Sheet2!L$4,(ROW(J46))*3,0)</f>
        <v>Changed</v>
      </c>
      <c r="K45" t="str">
        <f ca="1">OFFSET(Sheet2!M$4,(ROW(K46))*3,0)</f>
        <v>Cleaned throughly</v>
      </c>
      <c r="L45" t="str">
        <f ca="1">OFFSET(Sheet2!N$4,(ROW(L46))*3,0)</f>
        <v>Nothing done</v>
      </c>
      <c r="M45" t="str">
        <f ca="1">OFFSET(Sheet2!O$4,(ROW(M46))*3,0)</f>
        <v>Did ssome dusting</v>
      </c>
      <c r="N45" t="str">
        <f ca="1">OFFSET(Sheet2!P$4,(ROW(N46))*3,0)</f>
        <v>Nothing done</v>
      </c>
      <c r="O45" t="str">
        <f ca="1">OFFSET(Sheet2!Q$4,(ROW(O46))*3,0)</f>
        <v>Nothing done</v>
      </c>
      <c r="P45" t="str">
        <f ca="1">OFFSET(Sheet2!R$4,(ROW(P46))*3,0)</f>
        <v>Nothing done</v>
      </c>
      <c r="Q45" t="str">
        <f ca="1">OFFSET(Sheet2!S$4,(ROW(Q46))*3,0)</f>
        <v>Nothing done</v>
      </c>
      <c r="R45" t="str">
        <f ca="1">OFFSET(Sheet2!T$4,(ROW(R46))*3,0)</f>
        <v>Nothing done</v>
      </c>
      <c r="S45">
        <f ca="1">OFFSET(Sheet2!U$2,(ROW(S46))*3,0)</f>
        <v>0</v>
      </c>
      <c r="T45">
        <f ca="1">OFFSET(Sheet2!V$2,(ROW(T46))*3,0)</f>
        <v>0</v>
      </c>
    </row>
    <row r="46" spans="1:20" x14ac:dyDescent="0.35">
      <c r="A46">
        <f ca="1">OFFSET(Sheet2!B$4,(ROW(A47))*3,0)</f>
        <v>43868</v>
      </c>
      <c r="B46">
        <f ca="1">OFFSET(Sheet2!C$4,(ROW(B47))*3,0)</f>
        <v>10</v>
      </c>
      <c r="C46" t="str">
        <f ca="1">OFFSET(Sheet2!D$4,(ROW(C47))*3,0)</f>
        <v>North</v>
      </c>
      <c r="D46" t="str">
        <f ca="1">OFFSET(Sheet2!F$4,(ROW(D47))*3,0)</f>
        <v>Mugoya Ivan</v>
      </c>
      <c r="E46" t="str">
        <f ca="1">OFFSET(Sheet2!G$4,(ROW(E47))*3,0)</f>
        <v>H2Go</v>
      </c>
      <c r="F46">
        <f ca="1">OFFSET(Sheet2!H$4,(ROW(F47))*3,0)</f>
        <v>0</v>
      </c>
      <c r="G46" t="str">
        <f ca="1">OFFSET(Sheet2!I$4,(ROW(G47))*3,0)</f>
        <v>WEEKLY</v>
      </c>
      <c r="H46">
        <f ca="1">OFFSET(Sheet2!J$4,(ROW(H47))*3,0)</f>
        <v>284</v>
      </c>
      <c r="I46" t="str">
        <f ca="1">OFFSET(Sheet2!K$4,(ROW(I47))*3,0)</f>
        <v>Actions</v>
      </c>
      <c r="J46" t="str">
        <f ca="1">OFFSET(Sheet2!L$4,(ROW(J47))*3,0)</f>
        <v>Checked and oil changed</v>
      </c>
      <c r="K46" t="str">
        <f ca="1">OFFSET(Sheet2!M$4,(ROW(K47))*3,0)</f>
        <v>Checked</v>
      </c>
      <c r="L46" t="str">
        <f ca="1">OFFSET(Sheet2!N$4,(ROW(L47))*3,0)</f>
        <v>Checked</v>
      </c>
      <c r="M46" t="str">
        <f ca="1">OFFSET(Sheet2!O$4,(ROW(M47))*3,0)</f>
        <v>Checked</v>
      </c>
      <c r="N46" t="str">
        <f ca="1">OFFSET(Sheet2!P$4,(ROW(N47))*3,0)</f>
        <v>Checked</v>
      </c>
      <c r="O46" t="str">
        <f ca="1">OFFSET(Sheet2!Q$4,(ROW(O47))*3,0)</f>
        <v>No action made</v>
      </c>
      <c r="P46" t="str">
        <f ca="1">OFFSET(Sheet2!R$4,(ROW(P47))*3,0)</f>
        <v>Nothing done</v>
      </c>
      <c r="Q46" t="str">
        <f ca="1">OFFSET(Sheet2!S$4,(ROW(Q47))*3,0)</f>
        <v>Nothing done</v>
      </c>
      <c r="R46" t="str">
        <f ca="1">OFFSET(Sheet2!T$4,(ROW(R47))*3,0)</f>
        <v>Nothing done</v>
      </c>
      <c r="S46">
        <f ca="1">OFFSET(Sheet2!U$2,(ROW(S47))*3,0)</f>
        <v>0</v>
      </c>
      <c r="T46">
        <f ca="1">OFFSET(Sheet2!V$2,(ROW(T47))*3,0)</f>
        <v>0</v>
      </c>
    </row>
    <row r="47" spans="1:20" x14ac:dyDescent="0.35">
      <c r="A47">
        <f ca="1">OFFSET(Sheet2!B$4,(ROW(A48))*3,0)</f>
        <v>43877</v>
      </c>
      <c r="B47">
        <f ca="1">OFFSET(Sheet2!C$4,(ROW(B48))*3,0)</f>
        <v>10</v>
      </c>
      <c r="C47" t="str">
        <f ca="1">OFFSET(Sheet2!D$4,(ROW(C48))*3,0)</f>
        <v>North</v>
      </c>
      <c r="D47" t="str">
        <f ca="1">OFFSET(Sheet2!F$4,(ROW(D48))*3,0)</f>
        <v>Mugoya Ivan</v>
      </c>
      <c r="E47" t="str">
        <f ca="1">OFFSET(Sheet2!G$4,(ROW(E48))*3,0)</f>
        <v>H2Go</v>
      </c>
      <c r="F47">
        <f ca="1">OFFSET(Sheet2!H$4,(ROW(F48))*3,0)</f>
        <v>0</v>
      </c>
      <c r="G47" t="str">
        <f ca="1">OFFSET(Sheet2!I$4,(ROW(G48))*3,0)</f>
        <v>WEEKLY</v>
      </c>
      <c r="H47">
        <f ca="1">OFFSET(Sheet2!J$4,(ROW(H48))*3,0)</f>
        <v>298</v>
      </c>
      <c r="I47" t="str">
        <f ca="1">OFFSET(Sheet2!K$4,(ROW(I48))*3,0)</f>
        <v>Actions</v>
      </c>
      <c r="J47" t="str">
        <f ca="1">OFFSET(Sheet2!L$4,(ROW(J48))*3,0)</f>
        <v>Chagned</v>
      </c>
      <c r="K47" t="str">
        <f ca="1">OFFSET(Sheet2!M$4,(ROW(K48))*3,0)</f>
        <v>Carberator was cleaned</v>
      </c>
      <c r="L47" t="str">
        <f ca="1">OFFSET(Sheet2!N$4,(ROW(L48))*3,0)</f>
        <v>Nothing done</v>
      </c>
      <c r="M47" t="str">
        <f ca="1">OFFSET(Sheet2!O$4,(ROW(M48))*3,0)</f>
        <v>Cleaned Filter</v>
      </c>
      <c r="N47" t="str">
        <f ca="1">OFFSET(Sheet2!P$4,(ROW(N48))*3,0)</f>
        <v>Nothing done</v>
      </c>
      <c r="O47" t="str">
        <f ca="1">OFFSET(Sheet2!Q$4,(ROW(O48))*3,0)</f>
        <v xml:space="preserve">Replaced Nut </v>
      </c>
      <c r="P47">
        <f ca="1">OFFSET(Sheet2!R$4,(ROW(P48))*3,0)</f>
        <v>0</v>
      </c>
      <c r="Q47">
        <f ca="1">OFFSET(Sheet2!S$4,(ROW(Q48))*3,0)</f>
        <v>0</v>
      </c>
      <c r="R47">
        <f ca="1">OFFSET(Sheet2!T$4,(ROW(R48))*3,0)</f>
        <v>0</v>
      </c>
      <c r="S47">
        <f ca="1">OFFSET(Sheet2!U$2,(ROW(S48))*3,0)</f>
        <v>0</v>
      </c>
      <c r="T47">
        <f ca="1">OFFSET(Sheet2!V$2,(ROW(T48))*3,0)</f>
        <v>0</v>
      </c>
    </row>
    <row r="48" spans="1:20" x14ac:dyDescent="0.35">
      <c r="A48">
        <f ca="1">OFFSET(Sheet2!B$4,(ROW(A49))*3,0)</f>
        <v>43884</v>
      </c>
      <c r="B48">
        <f ca="1">OFFSET(Sheet2!C$4,(ROW(B49))*3,0)</f>
        <v>10</v>
      </c>
      <c r="C48" t="str">
        <f ca="1">OFFSET(Sheet2!D$4,(ROW(C49))*3,0)</f>
        <v>North</v>
      </c>
      <c r="D48" t="str">
        <f ca="1">OFFSET(Sheet2!F$4,(ROW(D49))*3,0)</f>
        <v>Mugoya Ivan</v>
      </c>
      <c r="E48" t="str">
        <f ca="1">OFFSET(Sheet2!G$4,(ROW(E49))*3,0)</f>
        <v>H2Go</v>
      </c>
      <c r="F48">
        <f ca="1">OFFSET(Sheet2!H$4,(ROW(F49))*3,0)</f>
        <v>0</v>
      </c>
      <c r="G48" t="str">
        <f ca="1">OFFSET(Sheet2!I$4,(ROW(G49))*3,0)</f>
        <v>WEEKLY</v>
      </c>
      <c r="H48">
        <f ca="1">OFFSET(Sheet2!J$4,(ROW(H49))*3,0)</f>
        <v>226</v>
      </c>
      <c r="I48" t="str">
        <f ca="1">OFFSET(Sheet2!K$4,(ROW(I49))*3,0)</f>
        <v>Actions</v>
      </c>
      <c r="J48" t="str">
        <f ca="1">OFFSET(Sheet2!L$4,(ROW(J49))*3,0)</f>
        <v>Chagned</v>
      </c>
      <c r="K48" t="str">
        <f ca="1">OFFSET(Sheet2!M$4,(ROW(K49))*3,0)</f>
        <v>Carberator was cleaned</v>
      </c>
      <c r="L48" t="str">
        <f ca="1">OFFSET(Sheet2!N$4,(ROW(L49))*3,0)</f>
        <v>Nothing done</v>
      </c>
      <c r="M48" t="str">
        <f ca="1">OFFSET(Sheet2!O$4,(ROW(M49))*3,0)</f>
        <v>Cleaned Filter</v>
      </c>
      <c r="N48" t="str">
        <f ca="1">OFFSET(Sheet2!P$4,(ROW(N49))*3,0)</f>
        <v>Nothing done</v>
      </c>
      <c r="O48" t="str">
        <f ca="1">OFFSET(Sheet2!Q$4,(ROW(O49))*3,0)</f>
        <v>Nothing Done</v>
      </c>
      <c r="P48">
        <f ca="1">OFFSET(Sheet2!R$4,(ROW(P49))*3,0)</f>
        <v>0</v>
      </c>
      <c r="Q48">
        <f ca="1">OFFSET(Sheet2!S$4,(ROW(Q49))*3,0)</f>
        <v>0</v>
      </c>
      <c r="R48">
        <f ca="1">OFFSET(Sheet2!T$4,(ROW(R49))*3,0)</f>
        <v>0</v>
      </c>
      <c r="S48">
        <f ca="1">OFFSET(Sheet2!U$2,(ROW(S49))*3,0)</f>
        <v>0</v>
      </c>
      <c r="T48">
        <f ca="1">OFFSET(Sheet2!V$2,(ROW(T49))*3,0)</f>
        <v>0</v>
      </c>
    </row>
    <row r="49" spans="1:20" x14ac:dyDescent="0.35">
      <c r="A49">
        <f ca="1">OFFSET(Sheet2!B$4,(ROW(A50))*3,0)</f>
        <v>43892</v>
      </c>
      <c r="B49">
        <f ca="1">OFFSET(Sheet2!C$4,(ROW(B50))*3,0)</f>
        <v>10</v>
      </c>
      <c r="C49" t="str">
        <f ca="1">OFFSET(Sheet2!D$4,(ROW(C50))*3,0)</f>
        <v>North</v>
      </c>
      <c r="D49" t="str">
        <f ca="1">OFFSET(Sheet2!F$4,(ROW(D50))*3,0)</f>
        <v>Mugoya Ivan</v>
      </c>
      <c r="E49" t="str">
        <f ca="1">OFFSET(Sheet2!G$4,(ROW(E50))*3,0)</f>
        <v>H2Go</v>
      </c>
      <c r="F49">
        <f ca="1">OFFSET(Sheet2!H$4,(ROW(F50))*3,0)</f>
        <v>0</v>
      </c>
      <c r="G49" t="str">
        <f ca="1">OFFSET(Sheet2!I$4,(ROW(G50))*3,0)</f>
        <v>WEEKLY</v>
      </c>
      <c r="H49">
        <f ca="1">OFFSET(Sheet2!J$4,(ROW(H50))*3,0)</f>
        <v>258</v>
      </c>
      <c r="I49" t="str">
        <f ca="1">OFFSET(Sheet2!K$4,(ROW(I50))*3,0)</f>
        <v>Actions</v>
      </c>
      <c r="J49" t="str">
        <f ca="1">OFFSET(Sheet2!L$4,(ROW(J50))*3,0)</f>
        <v>Chagned</v>
      </c>
      <c r="K49" t="str">
        <f ca="1">OFFSET(Sheet2!M$4,(ROW(K50))*3,0)</f>
        <v>Carberator was cleaned</v>
      </c>
      <c r="L49" t="str">
        <f ca="1">OFFSET(Sheet2!N$4,(ROW(L50))*3,0)</f>
        <v>Nothing done</v>
      </c>
      <c r="M49" t="str">
        <f ca="1">OFFSET(Sheet2!O$4,(ROW(M50))*3,0)</f>
        <v>Cleaned Filter</v>
      </c>
      <c r="N49" t="str">
        <f ca="1">OFFSET(Sheet2!P$4,(ROW(N50))*3,0)</f>
        <v>Nothing done, despite recommendation</v>
      </c>
      <c r="O49" t="str">
        <f ca="1">OFFSET(Sheet2!Q$4,(ROW(O50))*3,0)</f>
        <v>Nothing Done</v>
      </c>
      <c r="P49">
        <f ca="1">OFFSET(Sheet2!R$4,(ROW(P50))*3,0)</f>
        <v>0</v>
      </c>
      <c r="Q49">
        <f ca="1">OFFSET(Sheet2!S$4,(ROW(Q50))*3,0)</f>
        <v>0</v>
      </c>
      <c r="R49">
        <f ca="1">OFFSET(Sheet2!T$4,(ROW(R50))*3,0)</f>
        <v>0</v>
      </c>
      <c r="S49">
        <f ca="1">OFFSET(Sheet2!U$2,(ROW(S50))*3,0)</f>
        <v>0</v>
      </c>
      <c r="T49">
        <f ca="1">OFFSET(Sheet2!V$2,(ROW(T50))*3,0)</f>
        <v>0</v>
      </c>
    </row>
    <row r="50" spans="1:20" x14ac:dyDescent="0.35">
      <c r="A50">
        <f ca="1">OFFSET(Sheet2!B$4,(ROW(A51))*3,0)</f>
        <v>43900</v>
      </c>
      <c r="B50">
        <f ca="1">OFFSET(Sheet2!C$4,(ROW(B51))*3,0)</f>
        <v>10</v>
      </c>
      <c r="C50" t="str">
        <f ca="1">OFFSET(Sheet2!D$4,(ROW(C51))*3,0)</f>
        <v>North</v>
      </c>
      <c r="D50" t="str">
        <f ca="1">OFFSET(Sheet2!F$4,(ROW(D51))*3,0)</f>
        <v>Mugoya Ivan</v>
      </c>
      <c r="E50" t="str">
        <f ca="1">OFFSET(Sheet2!G$4,(ROW(E51))*3,0)</f>
        <v>H2Go</v>
      </c>
      <c r="F50">
        <f ca="1">OFFSET(Sheet2!H$4,(ROW(F51))*3,0)</f>
        <v>0</v>
      </c>
      <c r="G50" t="str">
        <f ca="1">OFFSET(Sheet2!I$4,(ROW(G51))*3,0)</f>
        <v>WEEKLY</v>
      </c>
      <c r="H50">
        <f ca="1">OFFSET(Sheet2!J$4,(ROW(H51))*3,0)</f>
        <v>208</v>
      </c>
      <c r="I50" t="str">
        <f ca="1">OFFSET(Sheet2!K$4,(ROW(I51))*3,0)</f>
        <v>Actions</v>
      </c>
      <c r="J50" t="str">
        <f ca="1">OFFSET(Sheet2!L$4,(ROW(J51))*3,0)</f>
        <v>Chagned</v>
      </c>
      <c r="K50" t="str">
        <f ca="1">OFFSET(Sheet2!M$4,(ROW(K51))*3,0)</f>
        <v>Nothing done</v>
      </c>
      <c r="L50" t="str">
        <f ca="1">OFFSET(Sheet2!N$4,(ROW(L51))*3,0)</f>
        <v>Nothing done</v>
      </c>
      <c r="M50" t="str">
        <f ca="1">OFFSET(Sheet2!O$4,(ROW(M51))*3,0)</f>
        <v>Cleaned Filter</v>
      </c>
      <c r="N50" t="str">
        <f ca="1">OFFSET(Sheet2!P$4,(ROW(N51))*3,0)</f>
        <v>Nothing done</v>
      </c>
      <c r="O50" t="str">
        <f ca="1">OFFSET(Sheet2!Q$4,(ROW(O51))*3,0)</f>
        <v>Nothing Done</v>
      </c>
      <c r="P50">
        <f ca="1">OFFSET(Sheet2!R$4,(ROW(P51))*3,0)</f>
        <v>0</v>
      </c>
      <c r="Q50">
        <f ca="1">OFFSET(Sheet2!S$4,(ROW(Q51))*3,0)</f>
        <v>0</v>
      </c>
      <c r="R50">
        <f ca="1">OFFSET(Sheet2!T$4,(ROW(R51))*3,0)</f>
        <v>0</v>
      </c>
      <c r="S50">
        <f ca="1">OFFSET(Sheet2!U$2,(ROW(S51))*3,0)</f>
        <v>0</v>
      </c>
      <c r="T50">
        <f ca="1">OFFSET(Sheet2!V$2,(ROW(T51))*3,0)</f>
        <v>0</v>
      </c>
    </row>
    <row r="51" spans="1:20" x14ac:dyDescent="0.35">
      <c r="A51">
        <f ca="1">OFFSET(Sheet2!B$4,(ROW(A52))*3,0)</f>
        <v>43841</v>
      </c>
      <c r="B51">
        <f ca="1">OFFSET(Sheet2!C$4,(ROW(B52))*3,0)</f>
        <v>11</v>
      </c>
      <c r="C51" t="str">
        <f ca="1">OFFSET(Sheet2!D$4,(ROW(C52))*3,0)</f>
        <v>North</v>
      </c>
      <c r="D51" t="str">
        <f ca="1">OFFSET(Sheet2!F$4,(ROW(D52))*3,0)</f>
        <v>Nashimolo Sam Festo</v>
      </c>
      <c r="E51" t="str">
        <f ca="1">OFFSET(Sheet2!G$4,(ROW(E52))*3,0)</f>
        <v>Control</v>
      </c>
      <c r="F51">
        <f ca="1">OFFSET(Sheet2!H$4,(ROW(F52))*3,0)</f>
        <v>0</v>
      </c>
      <c r="G51" t="str">
        <f ca="1">OFFSET(Sheet2!I$4,(ROW(G52))*3,0)</f>
        <v>Comprehensive</v>
      </c>
      <c r="H51">
        <f ca="1">OFFSET(Sheet2!J$4,(ROW(H52))*3,0)</f>
        <v>23</v>
      </c>
      <c r="I51" t="str">
        <f ca="1">OFFSET(Sheet2!K$4,(ROW(I52))*3,0)</f>
        <v>Actions</v>
      </c>
      <c r="J51" t="str">
        <f ca="1">OFFSET(Sheet2!L$4,(ROW(J52))*3,0)</f>
        <v>Changed</v>
      </c>
      <c r="K51" t="str">
        <f ca="1">OFFSET(Sheet2!M$4,(ROW(K52))*3,0)</f>
        <v>Nothing done</v>
      </c>
      <c r="L51" t="str">
        <f ca="1">OFFSET(Sheet2!N$4,(ROW(L52))*3,0)</f>
        <v>Did some setting</v>
      </c>
      <c r="M51" t="str">
        <f ca="1">OFFSET(Sheet2!O$4,(ROW(M52))*3,0)</f>
        <v>Cleaned</v>
      </c>
      <c r="N51" t="str">
        <f ca="1">OFFSET(Sheet2!P$4,(ROW(N52))*3,0)</f>
        <v>Nothing done</v>
      </c>
      <c r="O51" t="str">
        <f ca="1">OFFSET(Sheet2!Q$4,(ROW(O52))*3,0)</f>
        <v>Nothing done</v>
      </c>
      <c r="P51" t="str">
        <f ca="1">OFFSET(Sheet2!R$4,(ROW(P52))*3,0)</f>
        <v>Nothing done</v>
      </c>
      <c r="Q51" t="str">
        <f ca="1">OFFSET(Sheet2!S$4,(ROW(Q52))*3,0)</f>
        <v>Nothing done</v>
      </c>
      <c r="R51" t="str">
        <f ca="1">OFFSET(Sheet2!T$4,(ROW(R52))*3,0)</f>
        <v>Nothing done</v>
      </c>
      <c r="S51">
        <f ca="1">OFFSET(Sheet2!U$2,(ROW(S52))*3,0)</f>
        <v>0</v>
      </c>
      <c r="T51">
        <f ca="1">OFFSET(Sheet2!V$2,(ROW(T52))*3,0)</f>
        <v>0</v>
      </c>
    </row>
    <row r="52" spans="1:20" x14ac:dyDescent="0.35">
      <c r="A52" t="str">
        <f ca="1">OFFSET(Sheet2!B$4,(ROW(A53))*3,0)</f>
        <v>18/1/2020</v>
      </c>
      <c r="B52">
        <f ca="1">OFFSET(Sheet2!C$4,(ROW(B53))*3,0)</f>
        <v>11</v>
      </c>
      <c r="C52" t="str">
        <f ca="1">OFFSET(Sheet2!D$4,(ROW(C53))*3,0)</f>
        <v>North</v>
      </c>
      <c r="D52" t="str">
        <f ca="1">OFFSET(Sheet2!F$4,(ROW(D53))*3,0)</f>
        <v>Nashimolo Sam Festo</v>
      </c>
      <c r="E52" t="str">
        <f ca="1">OFFSET(Sheet2!G$4,(ROW(E53))*3,0)</f>
        <v>Control</v>
      </c>
      <c r="F52">
        <f ca="1">OFFSET(Sheet2!H$4,(ROW(F53))*3,0)</f>
        <v>0</v>
      </c>
      <c r="G52" t="str">
        <f ca="1">OFFSET(Sheet2!I$4,(ROW(G53))*3,0)</f>
        <v>weekly</v>
      </c>
      <c r="H52">
        <f ca="1">OFFSET(Sheet2!J$4,(ROW(H53))*3,0)</f>
        <v>48</v>
      </c>
      <c r="I52" t="str">
        <f ca="1">OFFSET(Sheet2!K$4,(ROW(I53))*3,0)</f>
        <v>Actions</v>
      </c>
      <c r="J52" t="str">
        <f ca="1">OFFSET(Sheet2!L$4,(ROW(J53))*3,0)</f>
        <v>Changed</v>
      </c>
      <c r="K52" t="str">
        <f ca="1">OFFSET(Sheet2!M$4,(ROW(K53))*3,0)</f>
        <v>Nothing done</v>
      </c>
      <c r="L52" t="str">
        <f ca="1">OFFSET(Sheet2!N$4,(ROW(L53))*3,0)</f>
        <v>Nothing done</v>
      </c>
      <c r="M52" t="str">
        <f ca="1">OFFSET(Sheet2!O$4,(ROW(M53))*3,0)</f>
        <v>Simple dusting done</v>
      </c>
      <c r="N52" t="str">
        <f ca="1">OFFSET(Sheet2!P$4,(ROW(N53))*3,0)</f>
        <v>Nothing done</v>
      </c>
      <c r="O52" t="str">
        <f ca="1">OFFSET(Sheet2!Q$4,(ROW(O53))*3,0)</f>
        <v>Nothing done</v>
      </c>
      <c r="P52">
        <f ca="1">OFFSET(Sheet2!R$4,(ROW(P53))*3,0)</f>
        <v>0</v>
      </c>
      <c r="Q52">
        <f ca="1">OFFSET(Sheet2!S$4,(ROW(Q53))*3,0)</f>
        <v>0</v>
      </c>
      <c r="R52">
        <f ca="1">OFFSET(Sheet2!T$4,(ROW(R53))*3,0)</f>
        <v>0</v>
      </c>
      <c r="S52">
        <f ca="1">OFFSET(Sheet2!U$2,(ROW(S53))*3,0)</f>
        <v>0</v>
      </c>
      <c r="T52">
        <f ca="1">OFFSET(Sheet2!V$2,(ROW(T53))*3,0)</f>
        <v>0</v>
      </c>
    </row>
    <row r="53" spans="1:20" x14ac:dyDescent="0.35">
      <c r="A53" t="str">
        <f ca="1">OFFSET(Sheet2!B$4,(ROW(A54))*3,0)</f>
        <v>24/1/12020</v>
      </c>
      <c r="B53">
        <f ca="1">OFFSET(Sheet2!C$4,(ROW(B54))*3,0)</f>
        <v>11</v>
      </c>
      <c r="C53" t="str">
        <f ca="1">OFFSET(Sheet2!D$4,(ROW(C54))*3,0)</f>
        <v>North</v>
      </c>
      <c r="D53" t="str">
        <f ca="1">OFFSET(Sheet2!F$4,(ROW(D54))*3,0)</f>
        <v>Nashimolo Sam Festo</v>
      </c>
      <c r="E53" t="str">
        <f ca="1">OFFSET(Sheet2!G$4,(ROW(E54))*3,0)</f>
        <v>Control</v>
      </c>
      <c r="F53">
        <f ca="1">OFFSET(Sheet2!H$4,(ROW(F54))*3,0)</f>
        <v>0</v>
      </c>
      <c r="G53" t="str">
        <f ca="1">OFFSET(Sheet2!I$4,(ROW(G54))*3,0)</f>
        <v>weekly</v>
      </c>
      <c r="H53">
        <f ca="1">OFFSET(Sheet2!J$4,(ROW(H54))*3,0)</f>
        <v>41</v>
      </c>
      <c r="I53" t="str">
        <f ca="1">OFFSET(Sheet2!K$4,(ROW(I54))*3,0)</f>
        <v>Actions</v>
      </c>
      <c r="J53" t="str">
        <f ca="1">OFFSET(Sheet2!L$4,(ROW(J54))*3,0)</f>
        <v>Changed</v>
      </c>
      <c r="K53" t="str">
        <f ca="1">OFFSET(Sheet2!M$4,(ROW(K54))*3,0)</f>
        <v>Nothing done</v>
      </c>
      <c r="L53" t="str">
        <f ca="1">OFFSET(Sheet2!N$4,(ROW(L54))*3,0)</f>
        <v>Nothing done</v>
      </c>
      <c r="M53" t="str">
        <f ca="1">OFFSET(Sheet2!O$4,(ROW(M54))*3,0)</f>
        <v>did some dusting</v>
      </c>
      <c r="N53" t="str">
        <f ca="1">OFFSET(Sheet2!P$4,(ROW(N54))*3,0)</f>
        <v>Nothing done</v>
      </c>
      <c r="O53" t="str">
        <f ca="1">OFFSET(Sheet2!Q$4,(ROW(O54))*3,0)</f>
        <v>Nothing done</v>
      </c>
      <c r="P53">
        <f ca="1">OFFSET(Sheet2!R$4,(ROW(P54))*3,0)</f>
        <v>0</v>
      </c>
      <c r="Q53">
        <f ca="1">OFFSET(Sheet2!S$4,(ROW(Q54))*3,0)</f>
        <v>0</v>
      </c>
      <c r="R53">
        <f ca="1">OFFSET(Sheet2!T$4,(ROW(R54))*3,0)</f>
        <v>0</v>
      </c>
      <c r="S53">
        <f ca="1">OFFSET(Sheet2!U$2,(ROW(S54))*3,0)</f>
        <v>0</v>
      </c>
      <c r="T53">
        <f ca="1">OFFSET(Sheet2!V$2,(ROW(T54))*3,0)</f>
        <v>0</v>
      </c>
    </row>
    <row r="54" spans="1:20" x14ac:dyDescent="0.35">
      <c r="A54" t="str">
        <f ca="1">OFFSET(Sheet2!B$4,(ROW(A55))*3,0)</f>
        <v>31/1/2020</v>
      </c>
      <c r="B54">
        <f ca="1">OFFSET(Sheet2!C$4,(ROW(B55))*3,0)</f>
        <v>11</v>
      </c>
      <c r="C54" t="str">
        <f ca="1">OFFSET(Sheet2!D$4,(ROW(C55))*3,0)</f>
        <v>North</v>
      </c>
      <c r="D54" t="str">
        <f ca="1">OFFSET(Sheet2!F$4,(ROW(D55))*3,0)</f>
        <v>Nashimolo Sam Festo</v>
      </c>
      <c r="E54" t="str">
        <f ca="1">OFFSET(Sheet2!G$4,(ROW(E55))*3,0)</f>
        <v>Control</v>
      </c>
      <c r="F54">
        <f ca="1">OFFSET(Sheet2!H$4,(ROW(F55))*3,0)</f>
        <v>0</v>
      </c>
      <c r="G54" t="str">
        <f ca="1">OFFSET(Sheet2!I$4,(ROW(G55))*3,0)</f>
        <v>weekly</v>
      </c>
      <c r="H54">
        <f ca="1">OFFSET(Sheet2!J$4,(ROW(H55))*3,0)</f>
        <v>59</v>
      </c>
      <c r="I54" t="str">
        <f ca="1">OFFSET(Sheet2!K$4,(ROW(I55))*3,0)</f>
        <v>Actions</v>
      </c>
      <c r="J54" t="str">
        <f ca="1">OFFSET(Sheet2!L$4,(ROW(J55))*3,0)</f>
        <v>Chaned</v>
      </c>
      <c r="K54" t="str">
        <f ca="1">OFFSET(Sheet2!M$4,(ROW(K55))*3,0)</f>
        <v>Nothing done</v>
      </c>
      <c r="L54" t="str">
        <f ca="1">OFFSET(Sheet2!N$4,(ROW(L55))*3,0)</f>
        <v>Nothing done</v>
      </c>
      <c r="M54" t="str">
        <f ca="1">OFFSET(Sheet2!O$4,(ROW(M55))*3,0)</f>
        <v>Nothing done</v>
      </c>
      <c r="N54" t="str">
        <f ca="1">OFFSET(Sheet2!P$4,(ROW(N55))*3,0)</f>
        <v>Nothing done</v>
      </c>
      <c r="O54" t="str">
        <f ca="1">OFFSET(Sheet2!Q$4,(ROW(O55))*3,0)</f>
        <v>Nothing done</v>
      </c>
      <c r="P54" t="str">
        <f ca="1">OFFSET(Sheet2!R$4,(ROW(P55))*3,0)</f>
        <v>Nothing done</v>
      </c>
      <c r="Q54" t="str">
        <f ca="1">OFFSET(Sheet2!S$4,(ROW(Q55))*3,0)</f>
        <v>Nothing done</v>
      </c>
      <c r="R54" t="str">
        <f ca="1">OFFSET(Sheet2!T$4,(ROW(R55))*3,0)</f>
        <v>Nothing done</v>
      </c>
      <c r="S54">
        <f ca="1">OFFSET(Sheet2!U$2,(ROW(S55))*3,0)</f>
        <v>0</v>
      </c>
      <c r="T54">
        <f ca="1">OFFSET(Sheet2!V$2,(ROW(T55))*3,0)</f>
        <v>0</v>
      </c>
    </row>
    <row r="55" spans="1:20" x14ac:dyDescent="0.35">
      <c r="A55">
        <f ca="1">OFFSET(Sheet2!B$4,(ROW(A56))*3,0)</f>
        <v>43868</v>
      </c>
      <c r="B55">
        <f ca="1">OFFSET(Sheet2!C$4,(ROW(B56))*3,0)</f>
        <v>11</v>
      </c>
      <c r="C55" t="str">
        <f ca="1">OFFSET(Sheet2!D$4,(ROW(C56))*3,0)</f>
        <v>North</v>
      </c>
      <c r="D55" t="str">
        <f ca="1">OFFSET(Sheet2!F$4,(ROW(D56))*3,0)</f>
        <v>Nashimolo sam festo</v>
      </c>
      <c r="E55" t="str">
        <f ca="1">OFFSET(Sheet2!G$4,(ROW(E56))*3,0)</f>
        <v>Control</v>
      </c>
      <c r="F55">
        <f ca="1">OFFSET(Sheet2!H$4,(ROW(F56))*3,0)</f>
        <v>0</v>
      </c>
      <c r="G55" t="str">
        <f ca="1">OFFSET(Sheet2!I$4,(ROW(G56))*3,0)</f>
        <v>WEEKLY</v>
      </c>
      <c r="H55">
        <f ca="1">OFFSET(Sheet2!J$4,(ROW(H56))*3,0)</f>
        <v>286</v>
      </c>
      <c r="I55" t="str">
        <f ca="1">OFFSET(Sheet2!K$4,(ROW(I56))*3,0)</f>
        <v>Actions</v>
      </c>
      <c r="J55" t="str">
        <f ca="1">OFFSET(Sheet2!L$4,(ROW(J56))*3,0)</f>
        <v>Oil changed</v>
      </c>
      <c r="K55" t="str">
        <f ca="1">OFFSET(Sheet2!M$4,(ROW(K56))*3,0)</f>
        <v>Nothing done</v>
      </c>
      <c r="L55" t="str">
        <f ca="1">OFFSET(Sheet2!N$4,(ROW(L56))*3,0)</f>
        <v>Nothing done</v>
      </c>
      <c r="M55" t="str">
        <f ca="1">OFFSET(Sheet2!O$4,(ROW(M56))*3,0)</f>
        <v>Nothing done</v>
      </c>
      <c r="N55" t="str">
        <f ca="1">OFFSET(Sheet2!P$4,(ROW(N56))*3,0)</f>
        <v>Nothing done</v>
      </c>
      <c r="O55" t="str">
        <f ca="1">OFFSET(Sheet2!Q$4,(ROW(O56))*3,0)</f>
        <v>Nothing done</v>
      </c>
      <c r="P55" t="str">
        <f ca="1">OFFSET(Sheet2!R$4,(ROW(P56))*3,0)</f>
        <v>Nothing done</v>
      </c>
      <c r="Q55" t="str">
        <f ca="1">OFFSET(Sheet2!S$4,(ROW(Q56))*3,0)</f>
        <v>Nothing done</v>
      </c>
      <c r="R55" t="str">
        <f ca="1">OFFSET(Sheet2!T$4,(ROW(R56))*3,0)</f>
        <v>Nothing done</v>
      </c>
      <c r="S55">
        <f ca="1">OFFSET(Sheet2!U$2,(ROW(S56))*3,0)</f>
        <v>0</v>
      </c>
      <c r="T55">
        <f ca="1">OFFSET(Sheet2!V$2,(ROW(T56))*3,0)</f>
        <v>0</v>
      </c>
    </row>
    <row r="56" spans="1:20" x14ac:dyDescent="0.35">
      <c r="A56">
        <f ca="1">OFFSET(Sheet2!B$4,(ROW(A57))*3,0)</f>
        <v>43841</v>
      </c>
      <c r="B56">
        <f ca="1">OFFSET(Sheet2!C$4,(ROW(B57))*3,0)</f>
        <v>12</v>
      </c>
      <c r="C56" t="str">
        <f ca="1">OFFSET(Sheet2!D$4,(ROW(C57))*3,0)</f>
        <v>North</v>
      </c>
      <c r="D56" t="str">
        <f ca="1">OFFSET(Sheet2!F$4,(ROW(D57))*3,0)</f>
        <v>Masaba Paul</v>
      </c>
      <c r="E56" t="str">
        <f ca="1">OFFSET(Sheet2!G$4,(ROW(E57))*3,0)</f>
        <v>Control</v>
      </c>
      <c r="F56">
        <f ca="1">OFFSET(Sheet2!H$4,(ROW(F57))*3,0)</f>
        <v>0</v>
      </c>
      <c r="G56" t="str">
        <f ca="1">OFFSET(Sheet2!I$4,(ROW(G57))*3,0)</f>
        <v>Comprehensive</v>
      </c>
      <c r="H56">
        <f ca="1">OFFSET(Sheet2!J$4,(ROW(H57))*3,0)</f>
        <v>4</v>
      </c>
      <c r="I56" t="str">
        <f ca="1">OFFSET(Sheet2!K$4,(ROW(I57))*3,0)</f>
        <v>Actions</v>
      </c>
      <c r="J56" t="str">
        <f ca="1">OFFSET(Sheet2!L$4,(ROW(J57))*3,0)</f>
        <v>Nothing done</v>
      </c>
      <c r="K56" t="str">
        <f ca="1">OFFSET(Sheet2!M$4,(ROW(K57))*3,0)</f>
        <v>Nothing done</v>
      </c>
      <c r="L56" t="str">
        <f ca="1">OFFSET(Sheet2!N$4,(ROW(L57))*3,0)</f>
        <v>Nothing done</v>
      </c>
      <c r="M56" t="str">
        <f ca="1">OFFSET(Sheet2!O$4,(ROW(M57))*3,0)</f>
        <v>Nothing done</v>
      </c>
      <c r="N56" t="str">
        <f ca="1">OFFSET(Sheet2!P$4,(ROW(N57))*3,0)</f>
        <v>Nothing done</v>
      </c>
      <c r="O56" t="str">
        <f ca="1">OFFSET(Sheet2!Q$4,(ROW(O57))*3,0)</f>
        <v>Nothing done</v>
      </c>
      <c r="P56" t="str">
        <f ca="1">OFFSET(Sheet2!R$4,(ROW(P57))*3,0)</f>
        <v>Nothing done</v>
      </c>
      <c r="Q56" t="str">
        <f ca="1">OFFSET(Sheet2!S$4,(ROW(Q57))*3,0)</f>
        <v>Nothing done</v>
      </c>
      <c r="R56" t="str">
        <f ca="1">OFFSET(Sheet2!T$4,(ROW(R57))*3,0)</f>
        <v>Nothing done</v>
      </c>
      <c r="S56">
        <f ca="1">OFFSET(Sheet2!U$2,(ROW(S57))*3,0)</f>
        <v>0</v>
      </c>
      <c r="T56">
        <f ca="1">OFFSET(Sheet2!V$2,(ROW(T57))*3,0)</f>
        <v>0</v>
      </c>
    </row>
    <row r="57" spans="1:20" x14ac:dyDescent="0.35">
      <c r="A57" t="str">
        <f ca="1">OFFSET(Sheet2!B$4,(ROW(A58))*3,0)</f>
        <v>24/1/2020</v>
      </c>
      <c r="B57">
        <f ca="1">OFFSET(Sheet2!C$4,(ROW(B58))*3,0)</f>
        <v>12</v>
      </c>
      <c r="C57" t="str">
        <f ca="1">OFFSET(Sheet2!D$4,(ROW(C58))*3,0)</f>
        <v>North</v>
      </c>
      <c r="D57" t="str">
        <f ca="1">OFFSET(Sheet2!F$4,(ROW(D58))*3,0)</f>
        <v>Masaba Paul</v>
      </c>
      <c r="E57" t="str">
        <f ca="1">OFFSET(Sheet2!G$4,(ROW(E58))*3,0)</f>
        <v>Control</v>
      </c>
      <c r="F57">
        <f ca="1">OFFSET(Sheet2!H$4,(ROW(F58))*3,0)</f>
        <v>0</v>
      </c>
      <c r="G57" t="str">
        <f ca="1">OFFSET(Sheet2!I$4,(ROW(G58))*3,0)</f>
        <v>weekly</v>
      </c>
      <c r="H57">
        <f ca="1">OFFSET(Sheet2!J$4,(ROW(H58))*3,0)</f>
        <v>15</v>
      </c>
      <c r="I57" t="str">
        <f ca="1">OFFSET(Sheet2!K$4,(ROW(I58))*3,0)</f>
        <v>Actions</v>
      </c>
      <c r="J57" t="str">
        <f ca="1">OFFSET(Sheet2!L$4,(ROW(J58))*3,0)</f>
        <v>Changed</v>
      </c>
      <c r="K57" t="str">
        <f ca="1">OFFSET(Sheet2!M$4,(ROW(K58))*3,0)</f>
        <v>Nothing done</v>
      </c>
      <c r="L57" t="str">
        <f ca="1">OFFSET(Sheet2!N$4,(ROW(L58))*3,0)</f>
        <v>Nothing done</v>
      </c>
      <c r="M57" t="str">
        <f ca="1">OFFSET(Sheet2!O$4,(ROW(M58))*3,0)</f>
        <v xml:space="preserve">Dusted </v>
      </c>
      <c r="N57" t="str">
        <f ca="1">OFFSET(Sheet2!P$4,(ROW(N58))*3,0)</f>
        <v>Nothing done</v>
      </c>
      <c r="O57" t="str">
        <f ca="1">OFFSET(Sheet2!Q$4,(ROW(O58))*3,0)</f>
        <v>Nothing done</v>
      </c>
      <c r="P57">
        <f ca="1">OFFSET(Sheet2!R$4,(ROW(P58))*3,0)</f>
        <v>0</v>
      </c>
      <c r="Q57">
        <f ca="1">OFFSET(Sheet2!S$4,(ROW(Q58))*3,0)</f>
        <v>0</v>
      </c>
      <c r="R57">
        <f ca="1">OFFSET(Sheet2!T$4,(ROW(R58))*3,0)</f>
        <v>0</v>
      </c>
      <c r="S57">
        <f ca="1">OFFSET(Sheet2!U$2,(ROW(S58))*3,0)</f>
        <v>0</v>
      </c>
      <c r="T57">
        <f ca="1">OFFSET(Sheet2!V$2,(ROW(T58))*3,0)</f>
        <v>0</v>
      </c>
    </row>
    <row r="58" spans="1:20" x14ac:dyDescent="0.35">
      <c r="A58" t="str">
        <f ca="1">OFFSET(Sheet2!B$4,(ROW(A59))*3,0)</f>
        <v>31/1/2020</v>
      </c>
      <c r="B58">
        <f ca="1">OFFSET(Sheet2!C$4,(ROW(B59))*3,0)</f>
        <v>12</v>
      </c>
      <c r="C58" t="str">
        <f ca="1">OFFSET(Sheet2!D$4,(ROW(C59))*3,0)</f>
        <v>North</v>
      </c>
      <c r="D58" t="str">
        <f ca="1">OFFSET(Sheet2!F$4,(ROW(D59))*3,0)</f>
        <v>Masaba Paul</v>
      </c>
      <c r="E58" t="str">
        <f ca="1">OFFSET(Sheet2!G$4,(ROW(E59))*3,0)</f>
        <v>Control</v>
      </c>
      <c r="F58">
        <f ca="1">OFFSET(Sheet2!H$4,(ROW(F59))*3,0)</f>
        <v>0</v>
      </c>
      <c r="G58" t="str">
        <f ca="1">OFFSET(Sheet2!I$4,(ROW(G59))*3,0)</f>
        <v>weekly</v>
      </c>
      <c r="H58">
        <f ca="1">OFFSET(Sheet2!J$4,(ROW(H59))*3,0)</f>
        <v>57</v>
      </c>
      <c r="I58" t="str">
        <f ca="1">OFFSET(Sheet2!K$4,(ROW(I59))*3,0)</f>
        <v>Actions</v>
      </c>
      <c r="J58" t="str">
        <f ca="1">OFFSET(Sheet2!L$4,(ROW(J59))*3,0)</f>
        <v>Changed</v>
      </c>
      <c r="K58" t="str">
        <f ca="1">OFFSET(Sheet2!M$4,(ROW(K59))*3,0)</f>
        <v>Nothing done</v>
      </c>
      <c r="L58" t="str">
        <f ca="1">OFFSET(Sheet2!N$4,(ROW(L59))*3,0)</f>
        <v>Nothing done</v>
      </c>
      <c r="M58" t="str">
        <f ca="1">OFFSET(Sheet2!O$4,(ROW(M59))*3,0)</f>
        <v>Nothing done</v>
      </c>
      <c r="N58" t="str">
        <f ca="1">OFFSET(Sheet2!P$4,(ROW(N59))*3,0)</f>
        <v>Nothing done</v>
      </c>
      <c r="O58" t="str">
        <f ca="1">OFFSET(Sheet2!Q$4,(ROW(O59))*3,0)</f>
        <v>Nothing done</v>
      </c>
      <c r="P58" t="str">
        <f ca="1">OFFSET(Sheet2!R$4,(ROW(P59))*3,0)</f>
        <v>Nothing done</v>
      </c>
      <c r="Q58" t="str">
        <f ca="1">OFFSET(Sheet2!S$4,(ROW(Q59))*3,0)</f>
        <v>Nothing done</v>
      </c>
      <c r="R58" t="str">
        <f ca="1">OFFSET(Sheet2!T$4,(ROW(R59))*3,0)</f>
        <v>Nothing done</v>
      </c>
      <c r="S58">
        <f ca="1">OFFSET(Sheet2!U$2,(ROW(S59))*3,0)</f>
        <v>0</v>
      </c>
      <c r="T58">
        <f ca="1">OFFSET(Sheet2!V$2,(ROW(T59))*3,0)</f>
        <v>0</v>
      </c>
    </row>
    <row r="59" spans="1:20" x14ac:dyDescent="0.35">
      <c r="A59">
        <f ca="1">OFFSET(Sheet2!B$4,(ROW(A60))*3,0)</f>
        <v>43868</v>
      </c>
      <c r="B59">
        <f ca="1">OFFSET(Sheet2!C$4,(ROW(B60))*3,0)</f>
        <v>12</v>
      </c>
      <c r="C59" t="str">
        <f ca="1">OFFSET(Sheet2!D$4,(ROW(C60))*3,0)</f>
        <v>North</v>
      </c>
      <c r="D59" t="str">
        <f ca="1">OFFSET(Sheet2!F$4,(ROW(D60))*3,0)</f>
        <v>masaba paul</v>
      </c>
      <c r="E59" t="str">
        <f ca="1">OFFSET(Sheet2!G$4,(ROW(E60))*3,0)</f>
        <v>H2GO</v>
      </c>
      <c r="F59">
        <f ca="1">OFFSET(Sheet2!H$4,(ROW(F60))*3,0)</f>
        <v>0</v>
      </c>
      <c r="G59" t="str">
        <f ca="1">OFFSET(Sheet2!I$4,(ROW(G60))*3,0)</f>
        <v>WEEKLY</v>
      </c>
      <c r="H59">
        <f ca="1">OFFSET(Sheet2!J$4,(ROW(H60))*3,0)</f>
        <v>270</v>
      </c>
      <c r="I59" t="str">
        <f ca="1">OFFSET(Sheet2!K$4,(ROW(I60))*3,0)</f>
        <v>Actions</v>
      </c>
      <c r="J59" t="str">
        <f ca="1">OFFSET(Sheet2!L$4,(ROW(J60))*3,0)</f>
        <v>oil changed</v>
      </c>
      <c r="K59" t="str">
        <f ca="1">OFFSET(Sheet2!M$4,(ROW(K60))*3,0)</f>
        <v>Nothing done</v>
      </c>
      <c r="L59" t="str">
        <f ca="1">OFFSET(Sheet2!N$4,(ROW(L60))*3,0)</f>
        <v>Nothing done</v>
      </c>
      <c r="M59" t="str">
        <f ca="1">OFFSET(Sheet2!O$4,(ROW(M60))*3,0)</f>
        <v>Dusted</v>
      </c>
      <c r="N59" t="str">
        <f ca="1">OFFSET(Sheet2!P$4,(ROW(N60))*3,0)</f>
        <v>Nothing done</v>
      </c>
      <c r="O59" t="str">
        <f ca="1">OFFSET(Sheet2!Q$4,(ROW(O60))*3,0)</f>
        <v>Nothing done</v>
      </c>
      <c r="P59" t="str">
        <f ca="1">OFFSET(Sheet2!R$4,(ROW(P60))*3,0)</f>
        <v>Nothing done</v>
      </c>
      <c r="Q59" t="str">
        <f ca="1">OFFSET(Sheet2!S$4,(ROW(Q60))*3,0)</f>
        <v>Nothing done</v>
      </c>
      <c r="R59" t="str">
        <f ca="1">OFFSET(Sheet2!T$4,(ROW(R60))*3,0)</f>
        <v>Nothing done</v>
      </c>
      <c r="S59">
        <f ca="1">OFFSET(Sheet2!U$2,(ROW(S60))*3,0)</f>
        <v>0</v>
      </c>
      <c r="T59">
        <f ca="1">OFFSET(Sheet2!V$2,(ROW(T60))*3,0)</f>
        <v>0</v>
      </c>
    </row>
    <row r="60" spans="1:20" x14ac:dyDescent="0.35">
      <c r="A60">
        <f ca="1">OFFSET(Sheet2!B$4,(ROW(A61))*3,0)</f>
        <v>43841</v>
      </c>
      <c r="B60">
        <f ca="1">OFFSET(Sheet2!C$4,(ROW(B61))*3,0)</f>
        <v>13</v>
      </c>
      <c r="C60" t="str">
        <f ca="1">OFFSET(Sheet2!D$4,(ROW(C61))*3,0)</f>
        <v>North</v>
      </c>
      <c r="D60" t="str">
        <f ca="1">OFFSET(Sheet2!F$4,(ROW(D61))*3,0)</f>
        <v>Mutenyo Alex</v>
      </c>
      <c r="E60" t="str">
        <f ca="1">OFFSET(Sheet2!G$4,(ROW(E61))*3,0)</f>
        <v>Control</v>
      </c>
      <c r="F60">
        <f ca="1">OFFSET(Sheet2!H$4,(ROW(F61))*3,0)</f>
        <v>0</v>
      </c>
      <c r="G60" t="str">
        <f ca="1">OFFSET(Sheet2!I$4,(ROW(G61))*3,0)</f>
        <v>Comprehensive</v>
      </c>
      <c r="H60">
        <f ca="1">OFFSET(Sheet2!J$4,(ROW(H61))*3,0)</f>
        <v>5</v>
      </c>
      <c r="I60" t="str">
        <f ca="1">OFFSET(Sheet2!K$4,(ROW(I61))*3,0)</f>
        <v>Actions</v>
      </c>
      <c r="J60" t="str">
        <f ca="1">OFFSET(Sheet2!L$4,(ROW(J61))*3,0)</f>
        <v>Changed</v>
      </c>
      <c r="K60" t="str">
        <f ca="1">OFFSET(Sheet2!M$4,(ROW(K61))*3,0)</f>
        <v>Cleaned</v>
      </c>
      <c r="L60" t="str">
        <f ca="1">OFFSET(Sheet2!N$4,(ROW(L61))*3,0)</f>
        <v>Nothing done</v>
      </c>
      <c r="M60" t="str">
        <f ca="1">OFFSET(Sheet2!O$4,(ROW(M61))*3,0)</f>
        <v>Cleaned</v>
      </c>
      <c r="N60" t="str">
        <f ca="1">OFFSET(Sheet2!P$4,(ROW(N61))*3,0)</f>
        <v>Nothing done</v>
      </c>
      <c r="O60" t="str">
        <f ca="1">OFFSET(Sheet2!Q$4,(ROW(O61))*3,0)</f>
        <v>Nothing done</v>
      </c>
      <c r="P60" t="str">
        <f ca="1">OFFSET(Sheet2!R$4,(ROW(P61))*3,0)</f>
        <v>Nothing done</v>
      </c>
      <c r="Q60" t="str">
        <f ca="1">OFFSET(Sheet2!S$4,(ROW(Q61))*3,0)</f>
        <v>Nothing done</v>
      </c>
      <c r="R60" t="str">
        <f ca="1">OFFSET(Sheet2!T$4,(ROW(R61))*3,0)</f>
        <v>Nothing done</v>
      </c>
      <c r="S60">
        <f ca="1">OFFSET(Sheet2!U$2,(ROW(S61))*3,0)</f>
        <v>0</v>
      </c>
      <c r="T60">
        <f ca="1">OFFSET(Sheet2!V$2,(ROW(T61))*3,0)</f>
        <v>0</v>
      </c>
    </row>
    <row r="61" spans="1:20" x14ac:dyDescent="0.35">
      <c r="A61" t="str">
        <f ca="1">OFFSET(Sheet2!B$4,(ROW(A62))*3,0)</f>
        <v>18/1/2020</v>
      </c>
      <c r="B61">
        <f ca="1">OFFSET(Sheet2!C$4,(ROW(B62))*3,0)</f>
        <v>13</v>
      </c>
      <c r="C61" t="str">
        <f ca="1">OFFSET(Sheet2!D$4,(ROW(C62))*3,0)</f>
        <v>North</v>
      </c>
      <c r="D61" t="str">
        <f ca="1">OFFSET(Sheet2!F$4,(ROW(D62))*3,0)</f>
        <v>Mutenyo Alex</v>
      </c>
      <c r="E61" t="str">
        <f ca="1">OFFSET(Sheet2!G$4,(ROW(E62))*3,0)</f>
        <v>Control</v>
      </c>
      <c r="F61">
        <f ca="1">OFFSET(Sheet2!H$4,(ROW(F62))*3,0)</f>
        <v>0</v>
      </c>
      <c r="G61" t="str">
        <f ca="1">OFFSET(Sheet2!I$4,(ROW(G62))*3,0)</f>
        <v>weekly</v>
      </c>
      <c r="H61">
        <f ca="1">OFFSET(Sheet2!J$4,(ROW(H62))*3,0)</f>
        <v>50</v>
      </c>
      <c r="I61" t="str">
        <f ca="1">OFFSET(Sheet2!K$4,(ROW(I62))*3,0)</f>
        <v>Actions</v>
      </c>
      <c r="J61" t="str">
        <f ca="1">OFFSET(Sheet2!L$4,(ROW(J62))*3,0)</f>
        <v>Changed</v>
      </c>
      <c r="K61" t="str">
        <f ca="1">OFFSET(Sheet2!M$4,(ROW(K62))*3,0)</f>
        <v>Nothing done</v>
      </c>
      <c r="L61" t="str">
        <f ca="1">OFFSET(Sheet2!N$4,(ROW(L62))*3,0)</f>
        <v>Nothing done</v>
      </c>
      <c r="M61" t="str">
        <f ca="1">OFFSET(Sheet2!O$4,(ROW(M62))*3,0)</f>
        <v>Nothing done</v>
      </c>
      <c r="N61" t="str">
        <f ca="1">OFFSET(Sheet2!P$4,(ROW(N62))*3,0)</f>
        <v>Nothing done</v>
      </c>
      <c r="O61" t="str">
        <f ca="1">OFFSET(Sheet2!Q$4,(ROW(O62))*3,0)</f>
        <v>Nothing done</v>
      </c>
      <c r="P61">
        <f ca="1">OFFSET(Sheet2!R$4,(ROW(P62))*3,0)</f>
        <v>0</v>
      </c>
      <c r="Q61">
        <f ca="1">OFFSET(Sheet2!S$4,(ROW(Q62))*3,0)</f>
        <v>0</v>
      </c>
      <c r="R61">
        <f ca="1">OFFSET(Sheet2!T$4,(ROW(R62))*3,0)</f>
        <v>0</v>
      </c>
      <c r="S61">
        <f ca="1">OFFSET(Sheet2!U$2,(ROW(S62))*3,0)</f>
        <v>0</v>
      </c>
      <c r="T61">
        <f ca="1">OFFSET(Sheet2!V$2,(ROW(T62))*3,0)</f>
        <v>0</v>
      </c>
    </row>
    <row r="62" spans="1:20" x14ac:dyDescent="0.35">
      <c r="A62" t="str">
        <f ca="1">OFFSET(Sheet2!B$4,(ROW(A63))*3,0)</f>
        <v>24/1/2020</v>
      </c>
      <c r="B62">
        <f ca="1">OFFSET(Sheet2!C$4,(ROW(B63))*3,0)</f>
        <v>13</v>
      </c>
      <c r="C62" t="str">
        <f ca="1">OFFSET(Sheet2!D$4,(ROW(C63))*3,0)</f>
        <v>North</v>
      </c>
      <c r="D62" t="str">
        <f ca="1">OFFSET(Sheet2!F$4,(ROW(D63))*3,0)</f>
        <v>Mutenyo Alex</v>
      </c>
      <c r="E62" t="str">
        <f ca="1">OFFSET(Sheet2!G$4,(ROW(E63))*3,0)</f>
        <v>Control</v>
      </c>
      <c r="F62">
        <f ca="1">OFFSET(Sheet2!H$4,(ROW(F63))*3,0)</f>
        <v>0</v>
      </c>
      <c r="G62" t="str">
        <f ca="1">OFFSET(Sheet2!I$4,(ROW(G63))*3,0)</f>
        <v>weekly</v>
      </c>
      <c r="H62">
        <f ca="1">OFFSET(Sheet2!J$4,(ROW(H63))*3,0)</f>
        <v>17</v>
      </c>
      <c r="I62" t="str">
        <f ca="1">OFFSET(Sheet2!K$4,(ROW(I63))*3,0)</f>
        <v>Actions</v>
      </c>
      <c r="J62" t="str">
        <f ca="1">OFFSET(Sheet2!L$4,(ROW(J63))*3,0)</f>
        <v>Changed</v>
      </c>
      <c r="K62" t="str">
        <f ca="1">OFFSET(Sheet2!M$4,(ROW(K63))*3,0)</f>
        <v>Nothing done</v>
      </c>
      <c r="L62" t="str">
        <f ca="1">OFFSET(Sheet2!N$4,(ROW(L63))*3,0)</f>
        <v>Nothing done</v>
      </c>
      <c r="M62" t="str">
        <f ca="1">OFFSET(Sheet2!O$4,(ROW(M63))*3,0)</f>
        <v>Nothing done</v>
      </c>
      <c r="N62" t="str">
        <f ca="1">OFFSET(Sheet2!P$4,(ROW(N63))*3,0)</f>
        <v>Watch closely</v>
      </c>
      <c r="O62" t="str">
        <f ca="1">OFFSET(Sheet2!Q$4,(ROW(O63))*3,0)</f>
        <v>Nothing done</v>
      </c>
      <c r="P62">
        <f ca="1">OFFSET(Sheet2!R$4,(ROW(P63))*3,0)</f>
        <v>0</v>
      </c>
      <c r="Q62">
        <f ca="1">OFFSET(Sheet2!S$4,(ROW(Q63))*3,0)</f>
        <v>0</v>
      </c>
      <c r="R62">
        <f ca="1">OFFSET(Sheet2!T$4,(ROW(R63))*3,0)</f>
        <v>0</v>
      </c>
      <c r="S62">
        <f ca="1">OFFSET(Sheet2!U$2,(ROW(S63))*3,0)</f>
        <v>0</v>
      </c>
      <c r="T62">
        <f ca="1">OFFSET(Sheet2!V$2,(ROW(T63))*3,0)</f>
        <v>0</v>
      </c>
    </row>
    <row r="63" spans="1:20" x14ac:dyDescent="0.35">
      <c r="A63" t="str">
        <f ca="1">OFFSET(Sheet2!B$4,(ROW(A64))*3,0)</f>
        <v>31/1/2020</v>
      </c>
      <c r="B63">
        <f ca="1">OFFSET(Sheet2!C$4,(ROW(B64))*3,0)</f>
        <v>13</v>
      </c>
      <c r="C63" t="str">
        <f ca="1">OFFSET(Sheet2!D$4,(ROW(C64))*3,0)</f>
        <v>North</v>
      </c>
      <c r="D63" t="str">
        <f ca="1">OFFSET(Sheet2!F$4,(ROW(D64))*3,0)</f>
        <v>Mutenyo Alex</v>
      </c>
      <c r="E63" t="str">
        <f ca="1">OFFSET(Sheet2!G$4,(ROW(E64))*3,0)</f>
        <v>Control</v>
      </c>
      <c r="F63">
        <f ca="1">OFFSET(Sheet2!H$4,(ROW(F64))*3,0)</f>
        <v>0</v>
      </c>
      <c r="G63" t="str">
        <f ca="1">OFFSET(Sheet2!I$4,(ROW(G64))*3,0)</f>
        <v>weekly</v>
      </c>
      <c r="H63">
        <f ca="1">OFFSET(Sheet2!J$4,(ROW(H64))*3,0)</f>
        <v>263</v>
      </c>
      <c r="I63" t="str">
        <f ca="1">OFFSET(Sheet2!K$4,(ROW(I64))*3,0)</f>
        <v>Actions</v>
      </c>
      <c r="J63" t="str">
        <f ca="1">OFFSET(Sheet2!L$4,(ROW(J64))*3,0)</f>
        <v>Changed</v>
      </c>
      <c r="K63" t="str">
        <f ca="1">OFFSET(Sheet2!M$4,(ROW(K64))*3,0)</f>
        <v>Nothing done</v>
      </c>
      <c r="L63" t="str">
        <f ca="1">OFFSET(Sheet2!N$4,(ROW(L64))*3,0)</f>
        <v>Nothing done</v>
      </c>
      <c r="M63" t="str">
        <f ca="1">OFFSET(Sheet2!O$4,(ROW(M64))*3,0)</f>
        <v>Nothing done</v>
      </c>
      <c r="N63" t="str">
        <f ca="1">OFFSET(Sheet2!P$4,(ROW(N64))*3,0)</f>
        <v>Nothing done</v>
      </c>
      <c r="O63" t="str">
        <f ca="1">OFFSET(Sheet2!Q$4,(ROW(O64))*3,0)</f>
        <v>Nothing done</v>
      </c>
      <c r="P63" t="str">
        <f ca="1">OFFSET(Sheet2!R$4,(ROW(P64))*3,0)</f>
        <v>Nothing done</v>
      </c>
      <c r="Q63" t="str">
        <f ca="1">OFFSET(Sheet2!S$4,(ROW(Q64))*3,0)</f>
        <v>Nothing done</v>
      </c>
      <c r="R63" t="str">
        <f ca="1">OFFSET(Sheet2!T$4,(ROW(R64))*3,0)</f>
        <v>Nothing done</v>
      </c>
      <c r="S63">
        <f ca="1">OFFSET(Sheet2!U$2,(ROW(S64))*3,0)</f>
        <v>0</v>
      </c>
      <c r="T63">
        <f ca="1">OFFSET(Sheet2!V$2,(ROW(T64))*3,0)</f>
        <v>0</v>
      </c>
    </row>
    <row r="64" spans="1:20" x14ac:dyDescent="0.35">
      <c r="A64">
        <f ca="1">OFFSET(Sheet2!B$4,(ROW(A65))*3,0)</f>
        <v>43877</v>
      </c>
      <c r="B64">
        <f ca="1">OFFSET(Sheet2!C$4,(ROW(B65))*3,0)</f>
        <v>13</v>
      </c>
      <c r="C64" t="str">
        <f ca="1">OFFSET(Sheet2!D$4,(ROW(C65))*3,0)</f>
        <v>North</v>
      </c>
      <c r="D64" t="str">
        <f ca="1">OFFSET(Sheet2!F$4,(ROW(D65))*3,0)</f>
        <v>MUTENYO ALEX</v>
      </c>
      <c r="E64" t="str">
        <f ca="1">OFFSET(Sheet2!G$4,(ROW(E65))*3,0)</f>
        <v>Control</v>
      </c>
      <c r="F64">
        <f ca="1">OFFSET(Sheet2!H$4,(ROW(F65))*3,0)</f>
        <v>0</v>
      </c>
      <c r="G64" t="str">
        <f ca="1">OFFSET(Sheet2!I$4,(ROW(G65))*3,0)</f>
        <v>WEEKLY</v>
      </c>
      <c r="H64">
        <f ca="1">OFFSET(Sheet2!J$4,(ROW(H65))*3,0)</f>
        <v>291</v>
      </c>
      <c r="I64" t="str">
        <f ca="1">OFFSET(Sheet2!K$4,(ROW(I65))*3,0)</f>
        <v>Actions</v>
      </c>
      <c r="J64" t="str">
        <f ca="1">OFFSET(Sheet2!L$4,(ROW(J65))*3,0)</f>
        <v>Chagned</v>
      </c>
      <c r="K64" t="str">
        <f ca="1">OFFSET(Sheet2!M$4,(ROW(K65))*3,0)</f>
        <v>Nothing done</v>
      </c>
      <c r="L64" t="str">
        <f ca="1">OFFSET(Sheet2!N$4,(ROW(L65))*3,0)</f>
        <v>Nothing done</v>
      </c>
      <c r="M64" t="str">
        <f ca="1">OFFSET(Sheet2!O$4,(ROW(M65))*3,0)</f>
        <v>Nothing done</v>
      </c>
      <c r="N64" t="str">
        <f ca="1">OFFSET(Sheet2!P$4,(ROW(N65))*3,0)</f>
        <v>Nothing done</v>
      </c>
      <c r="O64" t="str">
        <f ca="1">OFFSET(Sheet2!Q$4,(ROW(O65))*3,0)</f>
        <v>Nothing Done</v>
      </c>
      <c r="P64">
        <f ca="1">OFFSET(Sheet2!R$4,(ROW(P65))*3,0)</f>
        <v>0</v>
      </c>
      <c r="Q64">
        <f ca="1">OFFSET(Sheet2!S$4,(ROW(Q65))*3,0)</f>
        <v>0</v>
      </c>
      <c r="R64">
        <f ca="1">OFFSET(Sheet2!T$4,(ROW(R65))*3,0)</f>
        <v>0</v>
      </c>
      <c r="S64">
        <f ca="1">OFFSET(Sheet2!U$2,(ROW(S65))*3,0)</f>
        <v>0</v>
      </c>
      <c r="T64">
        <f ca="1">OFFSET(Sheet2!V$2,(ROW(T65))*3,0)</f>
        <v>0</v>
      </c>
    </row>
    <row r="65" spans="1:20" x14ac:dyDescent="0.35">
      <c r="A65">
        <f ca="1">OFFSET(Sheet2!B$4,(ROW(A66))*3,0)</f>
        <v>43884</v>
      </c>
      <c r="B65">
        <f ca="1">OFFSET(Sheet2!C$4,(ROW(B66))*3,0)</f>
        <v>13</v>
      </c>
      <c r="C65" t="str">
        <f ca="1">OFFSET(Sheet2!D$4,(ROW(C66))*3,0)</f>
        <v>North</v>
      </c>
      <c r="D65" t="str">
        <f ca="1">OFFSET(Sheet2!F$4,(ROW(D66))*3,0)</f>
        <v>Mutenyo Alex</v>
      </c>
      <c r="E65" t="str">
        <f ca="1">OFFSET(Sheet2!G$4,(ROW(E66))*3,0)</f>
        <v>Control</v>
      </c>
      <c r="F65">
        <f ca="1">OFFSET(Sheet2!H$4,(ROW(F66))*3,0)</f>
        <v>0</v>
      </c>
      <c r="G65" t="str">
        <f ca="1">OFFSET(Sheet2!I$4,(ROW(G66))*3,0)</f>
        <v>WEEKLY</v>
      </c>
      <c r="H65">
        <f ca="1">OFFSET(Sheet2!J$4,(ROW(H66))*3,0)</f>
        <v>245</v>
      </c>
      <c r="I65" t="str">
        <f ca="1">OFFSET(Sheet2!K$4,(ROW(I66))*3,0)</f>
        <v>Actions</v>
      </c>
      <c r="J65" t="str">
        <f ca="1">OFFSET(Sheet2!L$4,(ROW(J66))*3,0)</f>
        <v>Chagned</v>
      </c>
      <c r="K65" t="str">
        <f ca="1">OFFSET(Sheet2!M$4,(ROW(K66))*3,0)</f>
        <v>Nothing done, despite recommendation</v>
      </c>
      <c r="L65" t="str">
        <f ca="1">OFFSET(Sheet2!N$4,(ROW(L66))*3,0)</f>
        <v>Nothing done, despite recommendation</v>
      </c>
      <c r="M65" t="str">
        <f ca="1">OFFSET(Sheet2!O$4,(ROW(M66))*3,0)</f>
        <v>Nothing done</v>
      </c>
      <c r="N65" t="str">
        <f ca="1">OFFSET(Sheet2!P$4,(ROW(N66))*3,0)</f>
        <v>Nothing done</v>
      </c>
      <c r="O65" t="str">
        <f ca="1">OFFSET(Sheet2!Q$4,(ROW(O66))*3,0)</f>
        <v>Nothing Done</v>
      </c>
      <c r="P65">
        <f ca="1">OFFSET(Sheet2!R$4,(ROW(P66))*3,0)</f>
        <v>0</v>
      </c>
      <c r="Q65">
        <f ca="1">OFFSET(Sheet2!S$4,(ROW(Q66))*3,0)</f>
        <v>0</v>
      </c>
      <c r="R65">
        <f ca="1">OFFSET(Sheet2!T$4,(ROW(R66))*3,0)</f>
        <v>0</v>
      </c>
      <c r="S65">
        <f ca="1">OFFSET(Sheet2!U$2,(ROW(S66))*3,0)</f>
        <v>0</v>
      </c>
      <c r="T65">
        <f ca="1">OFFSET(Sheet2!V$2,(ROW(T66))*3,0)</f>
        <v>0</v>
      </c>
    </row>
    <row r="66" spans="1:20" x14ac:dyDescent="0.35">
      <c r="A66">
        <f ca="1">OFFSET(Sheet2!B$4,(ROW(A67))*3,0)</f>
        <v>43892</v>
      </c>
      <c r="B66">
        <f ca="1">OFFSET(Sheet2!C$4,(ROW(B67))*3,0)</f>
        <v>13</v>
      </c>
      <c r="C66" t="str">
        <f ca="1">OFFSET(Sheet2!D$4,(ROW(C67))*3,0)</f>
        <v>North</v>
      </c>
      <c r="D66" t="str">
        <f ca="1">OFFSET(Sheet2!F$4,(ROW(D67))*3,0)</f>
        <v>Mutenyo Alex</v>
      </c>
      <c r="E66" t="str">
        <f ca="1">OFFSET(Sheet2!G$4,(ROW(E67))*3,0)</f>
        <v>Control</v>
      </c>
      <c r="F66">
        <f ca="1">OFFSET(Sheet2!H$4,(ROW(F67))*3,0)</f>
        <v>0</v>
      </c>
      <c r="G66" t="str">
        <f ca="1">OFFSET(Sheet2!I$4,(ROW(G67))*3,0)</f>
        <v>WEEKLY</v>
      </c>
      <c r="H66">
        <f ca="1">OFFSET(Sheet2!J$4,(ROW(H67))*3,0)</f>
        <v>253</v>
      </c>
      <c r="I66" t="str">
        <f ca="1">OFFSET(Sheet2!K$4,(ROW(I67))*3,0)</f>
        <v>Actions</v>
      </c>
      <c r="J66" t="str">
        <f ca="1">OFFSET(Sheet2!L$4,(ROW(J67))*3,0)</f>
        <v>Chagned</v>
      </c>
      <c r="K66" t="str">
        <f ca="1">OFFSET(Sheet2!M$4,(ROW(K67))*3,0)</f>
        <v>Nothing done</v>
      </c>
      <c r="L66" t="str">
        <f ca="1">OFFSET(Sheet2!N$4,(ROW(L67))*3,0)</f>
        <v>Nothing done</v>
      </c>
      <c r="M66" t="str">
        <f ca="1">OFFSET(Sheet2!O$4,(ROW(M67))*3,0)</f>
        <v>Cleaned Filter</v>
      </c>
      <c r="N66" t="str">
        <f ca="1">OFFSET(Sheet2!P$4,(ROW(N67))*3,0)</f>
        <v>Nothing done</v>
      </c>
      <c r="O66" t="str">
        <f ca="1">OFFSET(Sheet2!Q$4,(ROW(O67))*3,0)</f>
        <v>Nothing Done</v>
      </c>
      <c r="P66">
        <f ca="1">OFFSET(Sheet2!R$4,(ROW(P67))*3,0)</f>
        <v>0</v>
      </c>
      <c r="Q66">
        <f ca="1">OFFSET(Sheet2!S$4,(ROW(Q67))*3,0)</f>
        <v>0</v>
      </c>
      <c r="R66">
        <f ca="1">OFFSET(Sheet2!T$4,(ROW(R67))*3,0)</f>
        <v>0</v>
      </c>
      <c r="S66">
        <f ca="1">OFFSET(Sheet2!U$2,(ROW(S67))*3,0)</f>
        <v>0</v>
      </c>
      <c r="T66">
        <f ca="1">OFFSET(Sheet2!V$2,(ROW(T67))*3,0)</f>
        <v>0</v>
      </c>
    </row>
    <row r="67" spans="1:20" x14ac:dyDescent="0.35">
      <c r="A67">
        <f ca="1">OFFSET(Sheet2!B$4,(ROW(A68))*3,0)</f>
        <v>43898</v>
      </c>
      <c r="B67">
        <f ca="1">OFFSET(Sheet2!C$4,(ROW(B68))*3,0)</f>
        <v>13</v>
      </c>
      <c r="C67" t="str">
        <f ca="1">OFFSET(Sheet2!D$4,(ROW(C68))*3,0)</f>
        <v>North</v>
      </c>
      <c r="D67" t="str">
        <f ca="1">OFFSET(Sheet2!F$4,(ROW(D68))*3,0)</f>
        <v>Mutenyo Alex</v>
      </c>
      <c r="E67" t="str">
        <f ca="1">OFFSET(Sheet2!G$4,(ROW(E68))*3,0)</f>
        <v>Control</v>
      </c>
      <c r="F67">
        <f ca="1">OFFSET(Sheet2!H$4,(ROW(F68))*3,0)</f>
        <v>0</v>
      </c>
      <c r="G67" t="str">
        <f ca="1">OFFSET(Sheet2!I$4,(ROW(G68))*3,0)</f>
        <v>WEEKLY</v>
      </c>
      <c r="H67">
        <f ca="1">OFFSET(Sheet2!J$4,(ROW(H68))*3,0)</f>
        <v>259</v>
      </c>
      <c r="I67" t="str">
        <f ca="1">OFFSET(Sheet2!K$4,(ROW(I68))*3,0)</f>
        <v>Actions</v>
      </c>
      <c r="J67" t="str">
        <f ca="1">OFFSET(Sheet2!L$4,(ROW(J68))*3,0)</f>
        <v>Chagned</v>
      </c>
      <c r="K67" t="str">
        <f ca="1">OFFSET(Sheet2!M$4,(ROW(K68))*3,0)</f>
        <v>Carberator was cleaned</v>
      </c>
      <c r="L67" t="str">
        <f ca="1">OFFSET(Sheet2!N$4,(ROW(L68))*3,0)</f>
        <v>Aligned/adjusted</v>
      </c>
      <c r="M67" t="str">
        <f ca="1">OFFSET(Sheet2!O$4,(ROW(M68))*3,0)</f>
        <v>Cleaned Filter</v>
      </c>
      <c r="N67" t="str">
        <f ca="1">OFFSET(Sheet2!P$4,(ROW(N68))*3,0)</f>
        <v>Nothing done</v>
      </c>
      <c r="O67" t="str">
        <f ca="1">OFFSET(Sheet2!Q$4,(ROW(O68))*3,0)</f>
        <v>Nothing Done</v>
      </c>
      <c r="P67">
        <f ca="1">OFFSET(Sheet2!R$4,(ROW(P68))*3,0)</f>
        <v>0</v>
      </c>
      <c r="Q67">
        <f ca="1">OFFSET(Sheet2!S$4,(ROW(Q68))*3,0)</f>
        <v>0</v>
      </c>
      <c r="R67">
        <f ca="1">OFFSET(Sheet2!T$4,(ROW(R68))*3,0)</f>
        <v>0</v>
      </c>
      <c r="S67">
        <f ca="1">OFFSET(Sheet2!U$2,(ROW(S68))*3,0)</f>
        <v>0</v>
      </c>
      <c r="T67">
        <f ca="1">OFFSET(Sheet2!V$2,(ROW(T68))*3,0)</f>
        <v>0</v>
      </c>
    </row>
    <row r="68" spans="1:20" x14ac:dyDescent="0.35">
      <c r="A68">
        <f ca="1">OFFSET(Sheet2!B$4,(ROW(A69))*3,0)</f>
        <v>43841</v>
      </c>
      <c r="B68">
        <f ca="1">OFFSET(Sheet2!C$4,(ROW(B69))*3,0)</f>
        <v>14</v>
      </c>
      <c r="C68" t="str">
        <f ca="1">OFFSET(Sheet2!D$4,(ROW(C69))*3,0)</f>
        <v>North</v>
      </c>
      <c r="D68" t="str">
        <f ca="1">OFFSET(Sheet2!F$4,(ROW(D69))*3,0)</f>
        <v>Nashimolo Fred</v>
      </c>
      <c r="E68" t="str">
        <f ca="1">OFFSET(Sheet2!G$4,(ROW(E69))*3,0)</f>
        <v>Control</v>
      </c>
      <c r="F68">
        <f ca="1">OFFSET(Sheet2!H$4,(ROW(F69))*3,0)</f>
        <v>0</v>
      </c>
      <c r="G68" t="str">
        <f ca="1">OFFSET(Sheet2!I$4,(ROW(G69))*3,0)</f>
        <v>Comprehensive</v>
      </c>
      <c r="H68">
        <f ca="1">OFFSET(Sheet2!J$4,(ROW(H69))*3,0)</f>
        <v>26</v>
      </c>
      <c r="I68" t="str">
        <f ca="1">OFFSET(Sheet2!K$4,(ROW(I69))*3,0)</f>
        <v>Actions</v>
      </c>
      <c r="J68" t="str">
        <f ca="1">OFFSET(Sheet2!L$4,(ROW(J69))*3,0)</f>
        <v>Changed</v>
      </c>
      <c r="K68" t="str">
        <f ca="1">OFFSET(Sheet2!M$4,(ROW(K69))*3,0)</f>
        <v>Nothing done</v>
      </c>
      <c r="L68" t="str">
        <f ca="1">OFFSET(Sheet2!N$4,(ROW(L69))*3,0)</f>
        <v>Nothing done</v>
      </c>
      <c r="M68" t="str">
        <f ca="1">OFFSET(Sheet2!O$4,(ROW(M69))*3,0)</f>
        <v>Nothing done</v>
      </c>
      <c r="N68" t="str">
        <f ca="1">OFFSET(Sheet2!P$4,(ROW(N69))*3,0)</f>
        <v>Nothing done</v>
      </c>
      <c r="O68" t="str">
        <f ca="1">OFFSET(Sheet2!Q$4,(ROW(O69))*3,0)</f>
        <v>Nothing done</v>
      </c>
      <c r="P68" t="str">
        <f ca="1">OFFSET(Sheet2!R$4,(ROW(P69))*3,0)</f>
        <v>Nothing done</v>
      </c>
      <c r="Q68" t="str">
        <f ca="1">OFFSET(Sheet2!S$4,(ROW(Q69))*3,0)</f>
        <v>Nothing done</v>
      </c>
      <c r="R68" t="str">
        <f ca="1">OFFSET(Sheet2!T$4,(ROW(R69))*3,0)</f>
        <v>Cleaned</v>
      </c>
      <c r="S68">
        <f ca="1">OFFSET(Sheet2!U$2,(ROW(S69))*3,0)</f>
        <v>0</v>
      </c>
      <c r="T68">
        <f ca="1">OFFSET(Sheet2!V$2,(ROW(T69))*3,0)</f>
        <v>0</v>
      </c>
    </row>
    <row r="69" spans="1:20" x14ac:dyDescent="0.35">
      <c r="A69" t="str">
        <f ca="1">OFFSET(Sheet2!B$4,(ROW(A70))*3,0)</f>
        <v>24/1/2020</v>
      </c>
      <c r="B69">
        <f ca="1">OFFSET(Sheet2!C$4,(ROW(B70))*3,0)</f>
        <v>14</v>
      </c>
      <c r="C69" t="str">
        <f ca="1">OFFSET(Sheet2!D$4,(ROW(C70))*3,0)</f>
        <v>North</v>
      </c>
      <c r="D69" t="str">
        <f ca="1">OFFSET(Sheet2!F$4,(ROW(D70))*3,0)</f>
        <v>Nashimolo Fred</v>
      </c>
      <c r="E69" t="str">
        <f ca="1">OFFSET(Sheet2!G$4,(ROW(E70))*3,0)</f>
        <v>Control</v>
      </c>
      <c r="F69">
        <f ca="1">OFFSET(Sheet2!H$4,(ROW(F70))*3,0)</f>
        <v>0</v>
      </c>
      <c r="G69" t="str">
        <f ca="1">OFFSET(Sheet2!I$4,(ROW(G70))*3,0)</f>
        <v>weekly</v>
      </c>
      <c r="H69">
        <f ca="1">OFFSET(Sheet2!J$4,(ROW(H70))*3,0)</f>
        <v>18</v>
      </c>
      <c r="I69" t="str">
        <f ca="1">OFFSET(Sheet2!K$4,(ROW(I70))*3,0)</f>
        <v>Actions</v>
      </c>
      <c r="J69" t="str">
        <f ca="1">OFFSET(Sheet2!L$4,(ROW(J70))*3,0)</f>
        <v>Changed</v>
      </c>
      <c r="K69" t="str">
        <f ca="1">OFFSET(Sheet2!M$4,(ROW(K70))*3,0)</f>
        <v>Nothing done</v>
      </c>
      <c r="L69" t="str">
        <f ca="1">OFFSET(Sheet2!N$4,(ROW(L70))*3,0)</f>
        <v>Nothing done</v>
      </c>
      <c r="M69" t="str">
        <f ca="1">OFFSET(Sheet2!O$4,(ROW(M70))*3,0)</f>
        <v>Nothing done</v>
      </c>
      <c r="N69" t="str">
        <f ca="1">OFFSET(Sheet2!P$4,(ROW(N70))*3,0)</f>
        <v>Nothing done</v>
      </c>
      <c r="O69" t="str">
        <f ca="1">OFFSET(Sheet2!Q$4,(ROW(O70))*3,0)</f>
        <v>Nothing done</v>
      </c>
      <c r="P69">
        <f ca="1">OFFSET(Sheet2!R$4,(ROW(P70))*3,0)</f>
        <v>0</v>
      </c>
      <c r="Q69">
        <f ca="1">OFFSET(Sheet2!S$4,(ROW(Q70))*3,0)</f>
        <v>0</v>
      </c>
      <c r="R69">
        <f ca="1">OFFSET(Sheet2!T$4,(ROW(R70))*3,0)</f>
        <v>0</v>
      </c>
      <c r="S69">
        <f ca="1">OFFSET(Sheet2!U$2,(ROW(S70))*3,0)</f>
        <v>0</v>
      </c>
      <c r="T69">
        <f ca="1">OFFSET(Sheet2!V$2,(ROW(T70))*3,0)</f>
        <v>0</v>
      </c>
    </row>
    <row r="70" spans="1:20" x14ac:dyDescent="0.35">
      <c r="A70" t="str">
        <f ca="1">OFFSET(Sheet2!B$4,(ROW(A71))*3,0)</f>
        <v>31/1/2020</v>
      </c>
      <c r="B70">
        <f ca="1">OFFSET(Sheet2!C$4,(ROW(B71))*3,0)</f>
        <v>14</v>
      </c>
      <c r="C70" t="str">
        <f ca="1">OFFSET(Sheet2!D$4,(ROW(C71))*3,0)</f>
        <v>North</v>
      </c>
      <c r="D70" t="str">
        <f ca="1">OFFSET(Sheet2!F$4,(ROW(D71))*3,0)</f>
        <v>Nashimolo Fred</v>
      </c>
      <c r="E70" t="str">
        <f ca="1">OFFSET(Sheet2!G$4,(ROW(E71))*3,0)</f>
        <v>Control</v>
      </c>
      <c r="F70">
        <f ca="1">OFFSET(Sheet2!H$4,(ROW(F71))*3,0)</f>
        <v>0</v>
      </c>
      <c r="G70" t="str">
        <f ca="1">OFFSET(Sheet2!I$4,(ROW(G71))*3,0)</f>
        <v>weekly</v>
      </c>
      <c r="H70">
        <f ca="1">OFFSET(Sheet2!J$4,(ROW(H71))*3,0)</f>
        <v>60</v>
      </c>
      <c r="I70" t="str">
        <f ca="1">OFFSET(Sheet2!K$4,(ROW(I71))*3,0)</f>
        <v>Actions</v>
      </c>
      <c r="J70" t="str">
        <f ca="1">OFFSET(Sheet2!L$4,(ROW(J71))*3,0)</f>
        <v>Changed</v>
      </c>
      <c r="K70" t="str">
        <f ca="1">OFFSET(Sheet2!M$4,(ROW(K71))*3,0)</f>
        <v>Nothing done</v>
      </c>
      <c r="L70" t="str">
        <f ca="1">OFFSET(Sheet2!N$4,(ROW(L71))*3,0)</f>
        <v>Nothing done</v>
      </c>
      <c r="M70" t="str">
        <f ca="1">OFFSET(Sheet2!O$4,(ROW(M71))*3,0)</f>
        <v>Cleaned</v>
      </c>
      <c r="N70" t="str">
        <f ca="1">OFFSET(Sheet2!P$4,(ROW(N71))*3,0)</f>
        <v>Nothing done</v>
      </c>
      <c r="O70" t="str">
        <f ca="1">OFFSET(Sheet2!Q$4,(ROW(O71))*3,0)</f>
        <v>Nothing done</v>
      </c>
      <c r="P70" t="str">
        <f ca="1">OFFSET(Sheet2!R$4,(ROW(P71))*3,0)</f>
        <v>Nothing done</v>
      </c>
      <c r="Q70" t="str">
        <f ca="1">OFFSET(Sheet2!S$4,(ROW(Q71))*3,0)</f>
        <v>Nothing done</v>
      </c>
      <c r="R70" t="str">
        <f ca="1">OFFSET(Sheet2!T$4,(ROW(R71))*3,0)</f>
        <v>Nothing done</v>
      </c>
      <c r="S70">
        <f ca="1">OFFSET(Sheet2!U$2,(ROW(S71))*3,0)</f>
        <v>0</v>
      </c>
      <c r="T70">
        <f ca="1">OFFSET(Sheet2!V$2,(ROW(T71))*3,0)</f>
        <v>0</v>
      </c>
    </row>
    <row r="71" spans="1:20" x14ac:dyDescent="0.35">
      <c r="A71" t="str">
        <f ca="1">OFFSET(Sheet2!B$4,(ROW(A72))*3,0)</f>
        <v>16/01/2020</v>
      </c>
      <c r="B71">
        <f ca="1">OFFSET(Sheet2!C$4,(ROW(B72))*3,0)</f>
        <v>15</v>
      </c>
      <c r="C71" t="str">
        <f ca="1">OFFSET(Sheet2!D$4,(ROW(C72))*3,0)</f>
        <v>North</v>
      </c>
      <c r="D71" t="str">
        <f ca="1">OFFSET(Sheet2!F$4,(ROW(D72))*3,0)</f>
        <v>NABWAMBI MICHEAL</v>
      </c>
      <c r="E71" t="str">
        <f ca="1">OFFSET(Sheet2!G$4,(ROW(E72))*3,0)</f>
        <v>H2Go</v>
      </c>
      <c r="F71">
        <f ca="1">OFFSET(Sheet2!H$4,(ROW(F72))*3,0)</f>
        <v>0</v>
      </c>
      <c r="G71" t="str">
        <f ca="1">OFFSET(Sheet2!I$4,(ROW(G72))*3,0)</f>
        <v>Comprehensive</v>
      </c>
      <c r="H71">
        <f ca="1">OFFSET(Sheet2!J$4,(ROW(H72))*3,0)</f>
        <v>22</v>
      </c>
      <c r="I71" t="str">
        <f ca="1">OFFSET(Sheet2!K$4,(ROW(I72))*3,0)</f>
        <v>Actions</v>
      </c>
      <c r="J71" t="str">
        <f ca="1">OFFSET(Sheet2!L$4,(ROW(J72))*3,0)</f>
        <v>Changed</v>
      </c>
      <c r="K71" t="str">
        <f ca="1">OFFSET(Sheet2!M$4,(ROW(K72))*3,0)</f>
        <v>Cleaned</v>
      </c>
      <c r="L71" t="str">
        <f ca="1">OFFSET(Sheet2!N$4,(ROW(L72))*3,0)</f>
        <v>Aligned</v>
      </c>
      <c r="M71" t="str">
        <f ca="1">OFFSET(Sheet2!O$4,(ROW(M72))*3,0)</f>
        <v>Cleaned</v>
      </c>
      <c r="N71" t="str">
        <f ca="1">OFFSET(Sheet2!P$4,(ROW(N72))*3,0)</f>
        <v>Nothing done</v>
      </c>
      <c r="O71" t="str">
        <f ca="1">OFFSET(Sheet2!Q$4,(ROW(O72))*3,0)</f>
        <v>Nothing done</v>
      </c>
      <c r="P71" t="str">
        <f ca="1">OFFSET(Sheet2!R$4,(ROW(P72))*3,0)</f>
        <v>Nothing done</v>
      </c>
      <c r="Q71" t="str">
        <f ca="1">OFFSET(Sheet2!S$4,(ROW(Q72))*3,0)</f>
        <v>Nothing done</v>
      </c>
      <c r="R71" t="str">
        <f ca="1">OFFSET(Sheet2!T$4,(ROW(R72))*3,0)</f>
        <v>Nothing done</v>
      </c>
      <c r="S71">
        <f ca="1">OFFSET(Sheet2!U$2,(ROW(S72))*3,0)</f>
        <v>0</v>
      </c>
      <c r="T71">
        <f ca="1">OFFSET(Sheet2!V$2,(ROW(T72))*3,0)</f>
        <v>0</v>
      </c>
    </row>
    <row r="72" spans="1:20" x14ac:dyDescent="0.35">
      <c r="A72" t="str">
        <f ca="1">OFFSET(Sheet2!B$4,(ROW(A73))*3,0)</f>
        <v>24/1/2020</v>
      </c>
      <c r="B72">
        <f ca="1">OFFSET(Sheet2!C$4,(ROW(B73))*3,0)</f>
        <v>15</v>
      </c>
      <c r="C72" t="str">
        <f ca="1">OFFSET(Sheet2!D$4,(ROW(C73))*3,0)</f>
        <v>North</v>
      </c>
      <c r="D72" t="str">
        <f ca="1">OFFSET(Sheet2!F$4,(ROW(D73))*3,0)</f>
        <v>NABWAMBI MICHEAL</v>
      </c>
      <c r="E72" t="str">
        <f ca="1">OFFSET(Sheet2!G$4,(ROW(E73))*3,0)</f>
        <v>H2Go</v>
      </c>
      <c r="F72">
        <f ca="1">OFFSET(Sheet2!H$4,(ROW(F73))*3,0)</f>
        <v>0</v>
      </c>
      <c r="G72" t="str">
        <f ca="1">OFFSET(Sheet2!I$4,(ROW(G73))*3,0)</f>
        <v>weekly</v>
      </c>
      <c r="H72">
        <f ca="1">OFFSET(Sheet2!J$4,(ROW(H73))*3,0)</f>
        <v>15</v>
      </c>
      <c r="I72" t="str">
        <f ca="1">OFFSET(Sheet2!K$4,(ROW(I73))*3,0)</f>
        <v>Actions</v>
      </c>
      <c r="J72" t="str">
        <f ca="1">OFFSET(Sheet2!L$4,(ROW(J73))*3,0)</f>
        <v>Changed</v>
      </c>
      <c r="K72" t="str">
        <f ca="1">OFFSET(Sheet2!M$4,(ROW(K73))*3,0)</f>
        <v>Nothing done</v>
      </c>
      <c r="L72" t="str">
        <f ca="1">OFFSET(Sheet2!N$4,(ROW(L73))*3,0)</f>
        <v>Nothing done</v>
      </c>
      <c r="M72" t="str">
        <f ca="1">OFFSET(Sheet2!O$4,(ROW(M73))*3,0)</f>
        <v>Nothing done</v>
      </c>
      <c r="N72" t="str">
        <f ca="1">OFFSET(Sheet2!P$4,(ROW(N73))*3,0)</f>
        <v>Nothing done</v>
      </c>
      <c r="O72" t="str">
        <f ca="1">OFFSET(Sheet2!Q$4,(ROW(O73))*3,0)</f>
        <v>Nothing done</v>
      </c>
      <c r="P72">
        <f ca="1">OFFSET(Sheet2!R$4,(ROW(P73))*3,0)</f>
        <v>0</v>
      </c>
      <c r="Q72">
        <f ca="1">OFFSET(Sheet2!S$4,(ROW(Q73))*3,0)</f>
        <v>0</v>
      </c>
      <c r="R72">
        <f ca="1">OFFSET(Sheet2!T$4,(ROW(R73))*3,0)</f>
        <v>0</v>
      </c>
      <c r="S72">
        <f ca="1">OFFSET(Sheet2!U$2,(ROW(S73))*3,0)</f>
        <v>0</v>
      </c>
      <c r="T72">
        <f ca="1">OFFSET(Sheet2!V$2,(ROW(T73))*3,0)</f>
        <v>0</v>
      </c>
    </row>
    <row r="73" spans="1:20" x14ac:dyDescent="0.35">
      <c r="A73">
        <f ca="1">OFFSET(Sheet2!B$4,(ROW(A74))*3,0)</f>
        <v>43868</v>
      </c>
      <c r="B73">
        <f ca="1">OFFSET(Sheet2!C$4,(ROW(B74))*3,0)</f>
        <v>15</v>
      </c>
      <c r="C73" t="str">
        <f ca="1">OFFSET(Sheet2!D$4,(ROW(C74))*3,0)</f>
        <v>North</v>
      </c>
      <c r="D73" t="str">
        <f ca="1">OFFSET(Sheet2!F$4,(ROW(D74))*3,0)</f>
        <v>NABWAMBI MICHEAL</v>
      </c>
      <c r="E73" t="str">
        <f ca="1">OFFSET(Sheet2!G$4,(ROW(E74))*3,0)</f>
        <v>Control</v>
      </c>
      <c r="F73">
        <f ca="1">OFFSET(Sheet2!H$4,(ROW(F74))*3,0)</f>
        <v>0</v>
      </c>
      <c r="G73" t="str">
        <f ca="1">OFFSET(Sheet2!I$4,(ROW(G74))*3,0)</f>
        <v>WEEKLY</v>
      </c>
      <c r="H73">
        <f ca="1">OFFSET(Sheet2!J$4,(ROW(H74))*3,0)</f>
        <v>265</v>
      </c>
      <c r="I73" t="str">
        <f ca="1">OFFSET(Sheet2!K$4,(ROW(I74))*3,0)</f>
        <v>Actions</v>
      </c>
      <c r="J73" t="str">
        <f ca="1">OFFSET(Sheet2!L$4,(ROW(J74))*3,0)</f>
        <v>Changed</v>
      </c>
      <c r="K73" t="str">
        <f ca="1">OFFSET(Sheet2!M$4,(ROW(K74))*3,0)</f>
        <v>Checked</v>
      </c>
      <c r="L73" t="str">
        <f ca="1">OFFSET(Sheet2!N$4,(ROW(L74))*3,0)</f>
        <v>Tightened</v>
      </c>
      <c r="M73" t="str">
        <f ca="1">OFFSET(Sheet2!O$4,(ROW(M74))*3,0)</f>
        <v>Checked</v>
      </c>
      <c r="N73" t="str">
        <f ca="1">OFFSET(Sheet2!P$4,(ROW(N74))*3,0)</f>
        <v>Checked</v>
      </c>
      <c r="O73" t="str">
        <f ca="1">OFFSET(Sheet2!Q$4,(ROW(O74))*3,0)</f>
        <v>Checked</v>
      </c>
      <c r="P73" t="str">
        <f ca="1">OFFSET(Sheet2!R$4,(ROW(P74))*3,0)</f>
        <v>Nothing done</v>
      </c>
      <c r="Q73" t="str">
        <f ca="1">OFFSET(Sheet2!S$4,(ROW(Q74))*3,0)</f>
        <v>Checked</v>
      </c>
      <c r="R73" t="str">
        <f ca="1">OFFSET(Sheet2!T$4,(ROW(R74))*3,0)</f>
        <v>Checked</v>
      </c>
      <c r="S73">
        <f ca="1">OFFSET(Sheet2!U$2,(ROW(S74))*3,0)</f>
        <v>0</v>
      </c>
      <c r="T73">
        <f ca="1">OFFSET(Sheet2!V$2,(ROW(T74))*3,0)</f>
        <v>0</v>
      </c>
    </row>
    <row r="74" spans="1:20" x14ac:dyDescent="0.35">
      <c r="A74">
        <f ca="1">OFFSET(Sheet2!B$4,(ROW(A75))*3,0)</f>
        <v>43878</v>
      </c>
      <c r="B74">
        <f ca="1">OFFSET(Sheet2!C$4,(ROW(B75))*3,0)</f>
        <v>15</v>
      </c>
      <c r="C74" t="str">
        <f ca="1">OFFSET(Sheet2!D$4,(ROW(C75))*3,0)</f>
        <v>North</v>
      </c>
      <c r="D74" t="str">
        <f ca="1">OFFSET(Sheet2!F$4,(ROW(D75))*3,0)</f>
        <v>NABWAMBI MICHEAL</v>
      </c>
      <c r="E74" t="str">
        <f ca="1">OFFSET(Sheet2!G$4,(ROW(E75))*3,0)</f>
        <v>Control</v>
      </c>
      <c r="F74">
        <f ca="1">OFFSET(Sheet2!H$4,(ROW(F75))*3,0)</f>
        <v>0</v>
      </c>
      <c r="G74" t="str">
        <f ca="1">OFFSET(Sheet2!I$4,(ROW(G75))*3,0)</f>
        <v>WEEKLY</v>
      </c>
      <c r="H74">
        <f ca="1">OFFSET(Sheet2!J$4,(ROW(H75))*3,0)</f>
        <v>224</v>
      </c>
      <c r="I74" t="str">
        <f ca="1">OFFSET(Sheet2!K$4,(ROW(I75))*3,0)</f>
        <v>Actions</v>
      </c>
      <c r="J74" t="str">
        <f ca="1">OFFSET(Sheet2!L$4,(ROW(J75))*3,0)</f>
        <v>Chagned</v>
      </c>
      <c r="K74" t="str">
        <f ca="1">OFFSET(Sheet2!M$4,(ROW(K75))*3,0)</f>
        <v>Nothing done</v>
      </c>
      <c r="L74" t="str">
        <f ca="1">OFFSET(Sheet2!N$4,(ROW(L75))*3,0)</f>
        <v>Nothing done</v>
      </c>
      <c r="M74" t="str">
        <f ca="1">OFFSET(Sheet2!O$4,(ROW(M75))*3,0)</f>
        <v>Nothing done</v>
      </c>
      <c r="N74" t="str">
        <f ca="1">OFFSET(Sheet2!P$4,(ROW(N75))*3,0)</f>
        <v>Nothing done</v>
      </c>
      <c r="O74" t="str">
        <f ca="1">OFFSET(Sheet2!Q$4,(ROW(O75))*3,0)</f>
        <v>Nothing Done</v>
      </c>
      <c r="P74">
        <f ca="1">OFFSET(Sheet2!R$4,(ROW(P75))*3,0)</f>
        <v>0</v>
      </c>
      <c r="Q74">
        <f ca="1">OFFSET(Sheet2!S$4,(ROW(Q75))*3,0)</f>
        <v>0</v>
      </c>
      <c r="R74">
        <f ca="1">OFFSET(Sheet2!T$4,(ROW(R75))*3,0)</f>
        <v>0</v>
      </c>
      <c r="S74">
        <f ca="1">OFFSET(Sheet2!U$2,(ROW(S75))*3,0)</f>
        <v>0</v>
      </c>
      <c r="T74">
        <f ca="1">OFFSET(Sheet2!V$2,(ROW(T75))*3,0)</f>
        <v>0</v>
      </c>
    </row>
    <row r="75" spans="1:20" x14ac:dyDescent="0.35">
      <c r="A75">
        <f ca="1">OFFSET(Sheet2!B$4,(ROW(A76))*3,0)</f>
        <v>43841</v>
      </c>
      <c r="B75">
        <f ca="1">OFFSET(Sheet2!C$4,(ROW(B76))*3,0)</f>
        <v>16</v>
      </c>
      <c r="C75" t="str">
        <f ca="1">OFFSET(Sheet2!D$4,(ROW(C76))*3,0)</f>
        <v>South</v>
      </c>
      <c r="D75" t="str">
        <f ca="1">OFFSET(Sheet2!F$4,(ROW(D76))*3,0)</f>
        <v>MASINDE SULAITI</v>
      </c>
      <c r="E75" t="str">
        <f ca="1">OFFSET(Sheet2!G$4,(ROW(E76))*3,0)</f>
        <v>H2Go</v>
      </c>
      <c r="F75">
        <f ca="1">OFFSET(Sheet2!H$4,(ROW(F76))*3,0)</f>
        <v>0</v>
      </c>
      <c r="G75" t="str">
        <f ca="1">OFFSET(Sheet2!I$4,(ROW(G76))*3,0)</f>
        <v>Comprehensive</v>
      </c>
      <c r="H75">
        <f ca="1">OFFSET(Sheet2!J$4,(ROW(H76))*3,0)</f>
        <v>93</v>
      </c>
      <c r="I75" t="str">
        <f ca="1">OFFSET(Sheet2!K$4,(ROW(I76))*3,0)</f>
        <v>Actions</v>
      </c>
      <c r="J75" t="str">
        <f ca="1">OFFSET(Sheet2!L$4,(ROW(J76))*3,0)</f>
        <v>changed</v>
      </c>
      <c r="K75" t="str">
        <f ca="1">OFFSET(Sheet2!M$4,(ROW(K76))*3,0)</f>
        <v>keep it up</v>
      </c>
      <c r="L75" t="str">
        <f ca="1">OFFSET(Sheet2!N$4,(ROW(L76))*3,0)</f>
        <v>keep it up</v>
      </c>
      <c r="M75" t="str">
        <f ca="1">OFFSET(Sheet2!O$4,(ROW(M76))*3,0)</f>
        <v>keep it on</v>
      </c>
      <c r="N75" t="str">
        <f ca="1">OFFSET(Sheet2!P$4,(ROW(N76))*3,0)</f>
        <v>keep it on</v>
      </c>
      <c r="O75" t="str">
        <f ca="1">OFFSET(Sheet2!Q$4,(ROW(O76))*3,0)</f>
        <v>keep it up</v>
      </c>
      <c r="P75" t="str">
        <f ca="1">OFFSET(Sheet2!R$4,(ROW(P76))*3,0)</f>
        <v>keep it up</v>
      </c>
      <c r="Q75" t="str">
        <f ca="1">OFFSET(Sheet2!S$4,(ROW(Q76))*3,0)</f>
        <v>good</v>
      </c>
      <c r="R75" t="str">
        <f ca="1">OFFSET(Sheet2!T$4,(ROW(R76))*3,0)</f>
        <v>well done</v>
      </c>
      <c r="S75">
        <f ca="1">OFFSET(Sheet2!U$2,(ROW(S76))*3,0)</f>
        <v>0</v>
      </c>
      <c r="T75">
        <f ca="1">OFFSET(Sheet2!V$2,(ROW(T76))*3,0)</f>
        <v>0</v>
      </c>
    </row>
    <row r="76" spans="1:20" x14ac:dyDescent="0.35">
      <c r="A76">
        <f ca="1">OFFSET(Sheet2!B$4,(ROW(A77))*3,0)</f>
        <v>43855</v>
      </c>
      <c r="B76">
        <f ca="1">OFFSET(Sheet2!C$4,(ROW(B77))*3,0)</f>
        <v>16</v>
      </c>
      <c r="C76" t="str">
        <f ca="1">OFFSET(Sheet2!D$4,(ROW(C77))*3,0)</f>
        <v>South</v>
      </c>
      <c r="D76" t="str">
        <f ca="1">OFFSET(Sheet2!F$4,(ROW(D77))*3,0)</f>
        <v>MASINDE SULAITI</v>
      </c>
      <c r="E76" t="str">
        <f ca="1">OFFSET(Sheet2!G$4,(ROW(E77))*3,0)</f>
        <v>H2Go</v>
      </c>
      <c r="F76">
        <f ca="1">OFFSET(Sheet2!H$4,(ROW(F77))*3,0)</f>
        <v>0</v>
      </c>
      <c r="G76" t="str">
        <f ca="1">OFFSET(Sheet2!I$4,(ROW(G77))*3,0)</f>
        <v>WEEKLY</v>
      </c>
      <c r="H76">
        <f ca="1">OFFSET(Sheet2!J$4,(ROW(H77))*3,0)</f>
        <v>63</v>
      </c>
      <c r="I76" t="str">
        <f ca="1">OFFSET(Sheet2!K$4,(ROW(I77))*3,0)</f>
        <v>Actions</v>
      </c>
      <c r="J76" t="str">
        <f ca="1">OFFSET(Sheet2!L$4,(ROW(J77))*3,0)</f>
        <v>CHANGED</v>
      </c>
      <c r="K76" t="str">
        <f ca="1">OFFSET(Sheet2!M$4,(ROW(K77))*3,0)</f>
        <v>DONE</v>
      </c>
      <c r="L76" t="str">
        <f ca="1">OFFSET(Sheet2!N$4,(ROW(L77))*3,0)</f>
        <v>KEEP IT ON</v>
      </c>
      <c r="M76" t="str">
        <f ca="1">OFFSET(Sheet2!O$4,(ROW(M77))*3,0)</f>
        <v>KEEP IT ON</v>
      </c>
      <c r="N76" t="str">
        <f ca="1">OFFSET(Sheet2!P$4,(ROW(N77))*3,0)</f>
        <v>KEEP IT UP</v>
      </c>
      <c r="O76" t="str">
        <f ca="1">OFFSET(Sheet2!Q$4,(ROW(O77))*3,0)</f>
        <v>DONE AND CHECKED</v>
      </c>
      <c r="P76">
        <f ca="1">OFFSET(Sheet2!R$4,(ROW(P77))*3,0)</f>
        <v>0</v>
      </c>
      <c r="Q76">
        <f ca="1">OFFSET(Sheet2!S$4,(ROW(Q77))*3,0)</f>
        <v>0</v>
      </c>
      <c r="R76">
        <f ca="1">OFFSET(Sheet2!T$4,(ROW(R77))*3,0)</f>
        <v>0</v>
      </c>
      <c r="S76">
        <f ca="1">OFFSET(Sheet2!U$2,(ROW(S77))*3,0)</f>
        <v>0</v>
      </c>
      <c r="T76">
        <f ca="1">OFFSET(Sheet2!V$2,(ROW(T77))*3,0)</f>
        <v>0</v>
      </c>
    </row>
    <row r="77" spans="1:20" x14ac:dyDescent="0.35">
      <c r="A77">
        <f ca="1">OFFSET(Sheet2!B$4,(ROW(A78))*3,0)</f>
        <v>43862</v>
      </c>
      <c r="B77">
        <f ca="1">OFFSET(Sheet2!C$4,(ROW(B78))*3,0)</f>
        <v>16</v>
      </c>
      <c r="C77" t="str">
        <f ca="1">OFFSET(Sheet2!D$4,(ROW(C78))*3,0)</f>
        <v>South</v>
      </c>
      <c r="D77" t="str">
        <f ca="1">OFFSET(Sheet2!F$4,(ROW(D78))*3,0)</f>
        <v>MASINDE SULAITI</v>
      </c>
      <c r="E77" t="str">
        <f ca="1">OFFSET(Sheet2!G$4,(ROW(E78))*3,0)</f>
        <v>H2Go</v>
      </c>
      <c r="F77">
        <f ca="1">OFFSET(Sheet2!H$4,(ROW(F78))*3,0)</f>
        <v>0</v>
      </c>
      <c r="G77" t="str">
        <f ca="1">OFFSET(Sheet2!I$4,(ROW(G78))*3,0)</f>
        <v>WEEKLY</v>
      </c>
      <c r="H77">
        <f ca="1">OFFSET(Sheet2!J$4,(ROW(H78))*3,0)</f>
        <v>89</v>
      </c>
      <c r="I77" t="str">
        <f ca="1">OFFSET(Sheet2!K$4,(ROW(I78))*3,0)</f>
        <v>Actions</v>
      </c>
      <c r="J77" t="str">
        <f ca="1">OFFSET(Sheet2!L$4,(ROW(J78))*3,0)</f>
        <v>DONE</v>
      </c>
      <c r="K77" t="str">
        <f ca="1">OFFSET(Sheet2!M$4,(ROW(K78))*3,0)</f>
        <v>KEEP IT UP</v>
      </c>
      <c r="L77" t="str">
        <f ca="1">OFFSET(Sheet2!N$4,(ROW(L78))*3,0)</f>
        <v>KEEP IT ON</v>
      </c>
      <c r="M77" t="str">
        <f ca="1">OFFSET(Sheet2!O$4,(ROW(M78))*3,0)</f>
        <v xml:space="preserve">KEEP IT </v>
      </c>
      <c r="N77" t="str">
        <f ca="1">OFFSET(Sheet2!P$4,(ROW(N78))*3,0)</f>
        <v>GO ON</v>
      </c>
      <c r="O77" t="str">
        <f ca="1">OFFSET(Sheet2!Q$4,(ROW(O78))*3,0)</f>
        <v>DONE</v>
      </c>
      <c r="P77">
        <f ca="1">OFFSET(Sheet2!R$4,(ROW(P78))*3,0)</f>
        <v>0</v>
      </c>
      <c r="Q77">
        <f ca="1">OFFSET(Sheet2!S$4,(ROW(Q78))*3,0)</f>
        <v>0</v>
      </c>
      <c r="R77">
        <f ca="1">OFFSET(Sheet2!T$4,(ROW(R78))*3,0)</f>
        <v>0</v>
      </c>
      <c r="S77">
        <f ca="1">OFFSET(Sheet2!U$2,(ROW(S78))*3,0)</f>
        <v>0</v>
      </c>
      <c r="T77">
        <f ca="1">OFFSET(Sheet2!V$2,(ROW(T78))*3,0)</f>
        <v>0</v>
      </c>
    </row>
    <row r="78" spans="1:20" x14ac:dyDescent="0.35">
      <c r="A78">
        <f ca="1">OFFSET(Sheet2!B$4,(ROW(A79))*3,0)</f>
        <v>43848</v>
      </c>
      <c r="B78">
        <f ca="1">OFFSET(Sheet2!C$4,(ROW(B79))*3,0)</f>
        <v>16</v>
      </c>
      <c r="C78" t="str">
        <f ca="1">OFFSET(Sheet2!D$4,(ROW(C79))*3,0)</f>
        <v>South</v>
      </c>
      <c r="D78" t="str">
        <f ca="1">OFFSET(Sheet2!F$4,(ROW(D79))*3,0)</f>
        <v>MASINDE SULAITI</v>
      </c>
      <c r="E78" t="str">
        <f ca="1">OFFSET(Sheet2!G$4,(ROW(E79))*3,0)</f>
        <v>H2Go</v>
      </c>
      <c r="F78">
        <f ca="1">OFFSET(Sheet2!H$4,(ROW(F79))*3,0)</f>
        <v>0</v>
      </c>
      <c r="G78" t="str">
        <f ca="1">OFFSET(Sheet2!I$4,(ROW(G79))*3,0)</f>
        <v>WEEKLY</v>
      </c>
      <c r="H78">
        <f ca="1">OFFSET(Sheet2!J$4,(ROW(H79))*3,0)</f>
        <v>34</v>
      </c>
      <c r="I78" t="str">
        <f ca="1">OFFSET(Sheet2!K$4,(ROW(I79))*3,0)</f>
        <v>Actions</v>
      </c>
      <c r="J78" t="str">
        <f ca="1">OFFSET(Sheet2!L$4,(ROW(J79))*3,0)</f>
        <v>changed</v>
      </c>
      <c r="K78" t="str">
        <f ca="1">OFFSET(Sheet2!M$4,(ROW(K79))*3,0)</f>
        <v>keep it up</v>
      </c>
      <c r="L78" t="str">
        <f ca="1">OFFSET(Sheet2!N$4,(ROW(L79))*3,0)</f>
        <v>keep it on</v>
      </c>
      <c r="M78" t="str">
        <f ca="1">OFFSET(Sheet2!O$4,(ROW(M79))*3,0)</f>
        <v>keep it up</v>
      </c>
      <c r="N78" t="str">
        <f ca="1">OFFSET(Sheet2!P$4,(ROW(N79))*3,0)</f>
        <v>not yet changed</v>
      </c>
      <c r="O78" t="str">
        <f ca="1">OFFSET(Sheet2!Q$4,(ROW(O79))*3,0)</f>
        <v>keep it up</v>
      </c>
      <c r="P78">
        <f ca="1">OFFSET(Sheet2!R$4,(ROW(P79))*3,0)</f>
        <v>0</v>
      </c>
      <c r="Q78">
        <f ca="1">OFFSET(Sheet2!S$4,(ROW(Q79))*3,0)</f>
        <v>0</v>
      </c>
      <c r="R78">
        <f ca="1">OFFSET(Sheet2!T$4,(ROW(R79))*3,0)</f>
        <v>0</v>
      </c>
      <c r="S78">
        <f ca="1">OFFSET(Sheet2!U$2,(ROW(S79))*3,0)</f>
        <v>0</v>
      </c>
      <c r="T78">
        <f ca="1">OFFSET(Sheet2!V$2,(ROW(T79))*3,0)</f>
        <v>0</v>
      </c>
    </row>
    <row r="79" spans="1:20" x14ac:dyDescent="0.35">
      <c r="A79">
        <f ca="1">OFFSET(Sheet2!B$4,(ROW(A80))*3,0)</f>
        <v>43869</v>
      </c>
      <c r="B79">
        <f ca="1">OFFSET(Sheet2!C$4,(ROW(B80))*3,0)</f>
        <v>16</v>
      </c>
      <c r="C79" t="str">
        <f ca="1">OFFSET(Sheet2!D$4,(ROW(C80))*3,0)</f>
        <v>South</v>
      </c>
      <c r="D79" t="str">
        <f ca="1">OFFSET(Sheet2!F$4,(ROW(D80))*3,0)</f>
        <v>MASINDE SULAITI</v>
      </c>
      <c r="E79" t="str">
        <f ca="1">OFFSET(Sheet2!G$4,(ROW(E80))*3,0)</f>
        <v>H2Go</v>
      </c>
      <c r="F79">
        <f ca="1">OFFSET(Sheet2!H$4,(ROW(F80))*3,0)</f>
        <v>0</v>
      </c>
      <c r="G79" t="str">
        <f ca="1">OFFSET(Sheet2!I$4,(ROW(G80))*3,0)</f>
        <v>WEEKLY</v>
      </c>
      <c r="H79">
        <f ca="1">OFFSET(Sheet2!J$4,(ROW(H80))*3,0)</f>
        <v>191</v>
      </c>
      <c r="I79" t="str">
        <f ca="1">OFFSET(Sheet2!K$4,(ROW(I80))*3,0)</f>
        <v>Actions</v>
      </c>
      <c r="J79" t="str">
        <f ca="1">OFFSET(Sheet2!L$4,(ROW(J80))*3,0)</f>
        <v>CHANGED</v>
      </c>
      <c r="K79" t="str">
        <f ca="1">OFFSET(Sheet2!M$4,(ROW(K80))*3,0)</f>
        <v>CHECKED</v>
      </c>
      <c r="L79" t="str">
        <f ca="1">OFFSET(Sheet2!N$4,(ROW(L80))*3,0)</f>
        <v>GOOD</v>
      </c>
      <c r="M79" t="str">
        <f ca="1">OFFSET(Sheet2!O$4,(ROW(M80))*3,0)</f>
        <v>GOOD</v>
      </c>
      <c r="N79" t="str">
        <f ca="1">OFFSET(Sheet2!P$4,(ROW(N80))*3,0)</f>
        <v>GOOD</v>
      </c>
      <c r="O79" t="str">
        <f ca="1">OFFSET(Sheet2!Q$4,(ROW(O80))*3,0)</f>
        <v>SERVICED</v>
      </c>
      <c r="P79">
        <f ca="1">OFFSET(Sheet2!R$4,(ROW(P80))*3,0)</f>
        <v>0</v>
      </c>
      <c r="Q79">
        <f ca="1">OFFSET(Sheet2!S$4,(ROW(Q80))*3,0)</f>
        <v>0</v>
      </c>
      <c r="R79">
        <f ca="1">OFFSET(Sheet2!T$4,(ROW(R80))*3,0)</f>
        <v>0</v>
      </c>
      <c r="S79">
        <f ca="1">OFFSET(Sheet2!U$2,(ROW(S80))*3,0)</f>
        <v>0</v>
      </c>
      <c r="T79">
        <f ca="1">OFFSET(Sheet2!V$2,(ROW(T80))*3,0)</f>
        <v>0</v>
      </c>
    </row>
    <row r="80" spans="1:20" x14ac:dyDescent="0.35">
      <c r="A80">
        <f ca="1">OFFSET(Sheet2!B$4,(ROW(A81))*3,0)</f>
        <v>43876</v>
      </c>
      <c r="B80">
        <f ca="1">OFFSET(Sheet2!C$4,(ROW(B81))*3,0)</f>
        <v>16</v>
      </c>
      <c r="C80" t="str">
        <f ca="1">OFFSET(Sheet2!D$4,(ROW(C81))*3,0)</f>
        <v>South</v>
      </c>
      <c r="D80" t="str">
        <f ca="1">OFFSET(Sheet2!F$4,(ROW(D81))*3,0)</f>
        <v>MASINDE SULAITI</v>
      </c>
      <c r="E80" t="str">
        <f ca="1">OFFSET(Sheet2!G$4,(ROW(E81))*3,0)</f>
        <v>H2Go</v>
      </c>
      <c r="F80">
        <f ca="1">OFFSET(Sheet2!H$4,(ROW(F81))*3,0)</f>
        <v>0</v>
      </c>
      <c r="G80" t="str">
        <f ca="1">OFFSET(Sheet2!I$4,(ROW(G81))*3,0)</f>
        <v>WEEKLY</v>
      </c>
      <c r="H80">
        <f ca="1">OFFSET(Sheet2!J$4,(ROW(H81))*3,0)</f>
        <v>128</v>
      </c>
      <c r="I80" t="str">
        <f ca="1">OFFSET(Sheet2!K$4,(ROW(I81))*3,0)</f>
        <v>Actions</v>
      </c>
      <c r="J80" t="str">
        <f ca="1">OFFSET(Sheet2!L$4,(ROW(J81))*3,0)</f>
        <v>CHANGED</v>
      </c>
      <c r="K80" t="str">
        <f ca="1">OFFSET(Sheet2!M$4,(ROW(K81))*3,0)</f>
        <v>CHECKED</v>
      </c>
      <c r="L80" t="str">
        <f ca="1">OFFSET(Sheet2!N$4,(ROW(L81))*3,0)</f>
        <v>REPLACED</v>
      </c>
      <c r="M80" t="str">
        <f ca="1">OFFSET(Sheet2!O$4,(ROW(M81))*3,0)</f>
        <v>CHECKED</v>
      </c>
      <c r="N80" t="str">
        <f ca="1">OFFSET(Sheet2!P$4,(ROW(N81))*3,0)</f>
        <v>CHECKED</v>
      </c>
      <c r="O80" t="str">
        <f ca="1">OFFSET(Sheet2!Q$4,(ROW(O81))*3,0)</f>
        <v>CHECKED</v>
      </c>
      <c r="P80">
        <f ca="1">OFFSET(Sheet2!R$4,(ROW(P81))*3,0)</f>
        <v>0</v>
      </c>
      <c r="Q80">
        <f ca="1">OFFSET(Sheet2!S$4,(ROW(Q81))*3,0)</f>
        <v>0</v>
      </c>
      <c r="R80">
        <f ca="1">OFFSET(Sheet2!T$4,(ROW(R81))*3,0)</f>
        <v>0</v>
      </c>
      <c r="S80">
        <f ca="1">OFFSET(Sheet2!U$2,(ROW(S81))*3,0)</f>
        <v>0</v>
      </c>
      <c r="T80">
        <f ca="1">OFFSET(Sheet2!V$2,(ROW(T81))*3,0)</f>
        <v>0</v>
      </c>
    </row>
    <row r="81" spans="1:20" x14ac:dyDescent="0.35">
      <c r="A81">
        <f ca="1">OFFSET(Sheet2!B$4,(ROW(A82))*3,0)</f>
        <v>43885</v>
      </c>
      <c r="B81">
        <f ca="1">OFFSET(Sheet2!C$4,(ROW(B82))*3,0)</f>
        <v>16</v>
      </c>
      <c r="C81" t="str">
        <f ca="1">OFFSET(Sheet2!D$4,(ROW(C82))*3,0)</f>
        <v>South</v>
      </c>
      <c r="D81" t="str">
        <f ca="1">OFFSET(Sheet2!F$4,(ROW(D82))*3,0)</f>
        <v>MASINDE SULAITI</v>
      </c>
      <c r="E81" t="str">
        <f ca="1">OFFSET(Sheet2!G$4,(ROW(E82))*3,0)</f>
        <v>H2GO</v>
      </c>
      <c r="F81">
        <f ca="1">OFFSET(Sheet2!H$4,(ROW(F82))*3,0)</f>
        <v>0</v>
      </c>
      <c r="G81" t="str">
        <f ca="1">OFFSET(Sheet2!I$4,(ROW(G82))*3,0)</f>
        <v>WEEKLY</v>
      </c>
      <c r="H81">
        <f ca="1">OFFSET(Sheet2!J$4,(ROW(H82))*3,0)</f>
        <v>149</v>
      </c>
      <c r="I81" t="str">
        <f ca="1">OFFSET(Sheet2!K$4,(ROW(I82))*3,0)</f>
        <v>Actions</v>
      </c>
      <c r="J81" t="str">
        <f ca="1">OFFSET(Sheet2!L$4,(ROW(J82))*3,0)</f>
        <v>Chagned</v>
      </c>
      <c r="K81" t="str">
        <f ca="1">OFFSET(Sheet2!M$4,(ROW(K82))*3,0)</f>
        <v>Carberator was cleaned</v>
      </c>
      <c r="L81" t="str">
        <f ca="1">OFFSET(Sheet2!N$4,(ROW(L82))*3,0)</f>
        <v>Aligned/adjusted</v>
      </c>
      <c r="M81" t="str">
        <f ca="1">OFFSET(Sheet2!O$4,(ROW(M82))*3,0)</f>
        <v>Nothing done</v>
      </c>
      <c r="N81" t="str">
        <f ca="1">OFFSET(Sheet2!P$4,(ROW(N82))*3,0)</f>
        <v>Replaced Spark Plug</v>
      </c>
      <c r="O81" t="str">
        <f ca="1">OFFSET(Sheet2!Q$4,(ROW(O82))*3,0)</f>
        <v>Nothing Done</v>
      </c>
      <c r="P81">
        <f ca="1">OFFSET(Sheet2!R$4,(ROW(P82))*3,0)</f>
        <v>0</v>
      </c>
      <c r="Q81">
        <f ca="1">OFFSET(Sheet2!S$4,(ROW(Q82))*3,0)</f>
        <v>0</v>
      </c>
      <c r="R81">
        <f ca="1">OFFSET(Sheet2!T$4,(ROW(R82))*3,0)</f>
        <v>0</v>
      </c>
      <c r="S81">
        <f ca="1">OFFSET(Sheet2!U$2,(ROW(S82))*3,0)</f>
        <v>0</v>
      </c>
      <c r="T81">
        <f ca="1">OFFSET(Sheet2!V$2,(ROW(T82))*3,0)</f>
        <v>0</v>
      </c>
    </row>
    <row r="82" spans="1:20" x14ac:dyDescent="0.35">
      <c r="A82">
        <f ca="1">OFFSET(Sheet2!B$4,(ROW(A83))*3,0)</f>
        <v>43892</v>
      </c>
      <c r="B82">
        <f ca="1">OFFSET(Sheet2!C$4,(ROW(B83))*3,0)</f>
        <v>16</v>
      </c>
      <c r="C82" t="str">
        <f ca="1">OFFSET(Sheet2!D$4,(ROW(C83))*3,0)</f>
        <v>South</v>
      </c>
      <c r="D82" t="str">
        <f ca="1">OFFSET(Sheet2!F$4,(ROW(D83))*3,0)</f>
        <v>MASINDE SULAITI</v>
      </c>
      <c r="E82" t="str">
        <f ca="1">OFFSET(Sheet2!G$4,(ROW(E83))*3,0)</f>
        <v>H2GO</v>
      </c>
      <c r="F82">
        <f ca="1">OFFSET(Sheet2!H$4,(ROW(F83))*3,0)</f>
        <v>0</v>
      </c>
      <c r="G82" t="str">
        <f ca="1">OFFSET(Sheet2!I$4,(ROW(G83))*3,0)</f>
        <v>WEEKLY</v>
      </c>
      <c r="H82">
        <f ca="1">OFFSET(Sheet2!J$4,(ROW(H83))*3,0)</f>
        <v>110</v>
      </c>
      <c r="I82" t="str">
        <f ca="1">OFFSET(Sheet2!K$4,(ROW(I83))*3,0)</f>
        <v>Actions</v>
      </c>
      <c r="J82" t="str">
        <f ca="1">OFFSET(Sheet2!L$4,(ROW(J83))*3,0)</f>
        <v>Chagned</v>
      </c>
      <c r="K82" t="str">
        <f ca="1">OFFSET(Sheet2!M$4,(ROW(K83))*3,0)</f>
        <v>Carberator was cleaned</v>
      </c>
      <c r="L82" t="str">
        <f ca="1">OFFSET(Sheet2!N$4,(ROW(L83))*3,0)</f>
        <v>Aligned/adjusted</v>
      </c>
      <c r="M82" t="str">
        <f ca="1">OFFSET(Sheet2!O$4,(ROW(M83))*3,0)</f>
        <v>Cleaned Filter</v>
      </c>
      <c r="N82" t="str">
        <f ca="1">OFFSET(Sheet2!P$4,(ROW(N83))*3,0)</f>
        <v>Replaced Spark Plug</v>
      </c>
      <c r="O82" t="str">
        <f ca="1">OFFSET(Sheet2!Q$4,(ROW(O83))*3,0)</f>
        <v>Nothing done, despite recommendation</v>
      </c>
      <c r="P82">
        <f ca="1">OFFSET(Sheet2!R$4,(ROW(P83))*3,0)</f>
        <v>0</v>
      </c>
      <c r="Q82">
        <f ca="1">OFFSET(Sheet2!S$4,(ROW(Q83))*3,0)</f>
        <v>0</v>
      </c>
      <c r="R82">
        <f ca="1">OFFSET(Sheet2!T$4,(ROW(R83))*3,0)</f>
        <v>0</v>
      </c>
      <c r="S82">
        <f ca="1">OFFSET(Sheet2!U$2,(ROW(S83))*3,0)</f>
        <v>0</v>
      </c>
      <c r="T82">
        <f ca="1">OFFSET(Sheet2!V$2,(ROW(T83))*3,0)</f>
        <v>0</v>
      </c>
    </row>
    <row r="83" spans="1:20" x14ac:dyDescent="0.35">
      <c r="A83">
        <f ca="1">OFFSET(Sheet2!B$4,(ROW(A84))*3,0)</f>
        <v>43899</v>
      </c>
      <c r="B83">
        <f ca="1">OFFSET(Sheet2!C$4,(ROW(B84))*3,0)</f>
        <v>16</v>
      </c>
      <c r="C83" t="str">
        <f ca="1">OFFSET(Sheet2!D$4,(ROW(C84))*3,0)</f>
        <v>South</v>
      </c>
      <c r="D83" t="str">
        <f ca="1">OFFSET(Sheet2!F$4,(ROW(D84))*3,0)</f>
        <v>MASINDE SULAITI</v>
      </c>
      <c r="E83" t="str">
        <f ca="1">OFFSET(Sheet2!G$4,(ROW(E84))*3,0)</f>
        <v>H2GO</v>
      </c>
      <c r="F83">
        <f ca="1">OFFSET(Sheet2!H$4,(ROW(F84))*3,0)</f>
        <v>0</v>
      </c>
      <c r="G83" t="str">
        <f ca="1">OFFSET(Sheet2!I$4,(ROW(G84))*3,0)</f>
        <v>WEEKLY</v>
      </c>
      <c r="H83">
        <f ca="1">OFFSET(Sheet2!J$4,(ROW(H84))*3,0)</f>
        <v>155</v>
      </c>
      <c r="I83" t="str">
        <f ca="1">OFFSET(Sheet2!K$4,(ROW(I84))*3,0)</f>
        <v>Actions</v>
      </c>
      <c r="J83" t="str">
        <f ca="1">OFFSET(Sheet2!L$4,(ROW(J84))*3,0)</f>
        <v>Chagned</v>
      </c>
      <c r="K83" t="str">
        <f ca="1">OFFSET(Sheet2!M$4,(ROW(K84))*3,0)</f>
        <v>Nothing done</v>
      </c>
      <c r="L83" t="str">
        <f ca="1">OFFSET(Sheet2!N$4,(ROW(L84))*3,0)</f>
        <v>Aligned/adjusted</v>
      </c>
      <c r="M83" t="str">
        <f ca="1">OFFSET(Sheet2!O$4,(ROW(M84))*3,0)</f>
        <v>Nothing done</v>
      </c>
      <c r="N83" t="str">
        <f ca="1">OFFSET(Sheet2!P$4,(ROW(N84))*3,0)</f>
        <v>Nothing done, despite recommendation</v>
      </c>
      <c r="O83" t="str">
        <f ca="1">OFFSET(Sheet2!Q$4,(ROW(O84))*3,0)</f>
        <v>Nothing Done</v>
      </c>
      <c r="P83">
        <f ca="1">OFFSET(Sheet2!R$4,(ROW(P84))*3,0)</f>
        <v>0</v>
      </c>
      <c r="Q83">
        <f ca="1">OFFSET(Sheet2!S$4,(ROW(Q84))*3,0)</f>
        <v>0</v>
      </c>
      <c r="R83">
        <f ca="1">OFFSET(Sheet2!T$4,(ROW(R84))*3,0)</f>
        <v>0</v>
      </c>
      <c r="S83">
        <f ca="1">OFFSET(Sheet2!U$2,(ROW(S84))*3,0)</f>
        <v>0</v>
      </c>
      <c r="T83">
        <f ca="1">OFFSET(Sheet2!V$2,(ROW(T84))*3,0)</f>
        <v>0</v>
      </c>
    </row>
    <row r="84" spans="1:20" x14ac:dyDescent="0.35">
      <c r="A84">
        <f ca="1">OFFSET(Sheet2!B$4,(ROW(A85))*3,0)</f>
        <v>43841</v>
      </c>
      <c r="B84">
        <f ca="1">OFFSET(Sheet2!C$4,(ROW(B85))*3,0)</f>
        <v>17</v>
      </c>
      <c r="C84" t="str">
        <f ca="1">OFFSET(Sheet2!D$4,(ROW(C85))*3,0)</f>
        <v>South</v>
      </c>
      <c r="D84" t="str">
        <f ca="1">OFFSET(Sheet2!F$4,(ROW(D85))*3,0)</f>
        <v>MAJEME GEORGE</v>
      </c>
      <c r="E84" t="str">
        <f ca="1">OFFSET(Sheet2!G$4,(ROW(E85))*3,0)</f>
        <v>H2Go</v>
      </c>
      <c r="F84">
        <f ca="1">OFFSET(Sheet2!H$4,(ROW(F85))*3,0)</f>
        <v>0</v>
      </c>
      <c r="G84" t="str">
        <f ca="1">OFFSET(Sheet2!I$4,(ROW(G85))*3,0)</f>
        <v>Comprehensive</v>
      </c>
      <c r="H84">
        <f ca="1">OFFSET(Sheet2!J$4,(ROW(H85))*3,0)</f>
        <v>96</v>
      </c>
      <c r="I84" t="str">
        <f ca="1">OFFSET(Sheet2!K$4,(ROW(I85))*3,0)</f>
        <v>Actions</v>
      </c>
      <c r="J84" t="str">
        <f ca="1">OFFSET(Sheet2!L$4,(ROW(J85))*3,0)</f>
        <v xml:space="preserve">changed </v>
      </c>
      <c r="K84" t="str">
        <f ca="1">OFFSET(Sheet2!M$4,(ROW(K85))*3,0)</f>
        <v>Keep it up</v>
      </c>
      <c r="L84" t="str">
        <f ca="1">OFFSET(Sheet2!N$4,(ROW(L85))*3,0)</f>
        <v>done</v>
      </c>
      <c r="M84" t="str">
        <f ca="1">OFFSET(Sheet2!O$4,(ROW(M85))*3,0)</f>
        <v>well done</v>
      </c>
      <c r="N84" t="str">
        <f ca="1">OFFSET(Sheet2!P$4,(ROW(N85))*3,0)</f>
        <v>keep it up</v>
      </c>
      <c r="O84" t="str">
        <f ca="1">OFFSET(Sheet2!Q$4,(ROW(O85))*3,0)</f>
        <v>keep it up</v>
      </c>
      <c r="P84" t="str">
        <f ca="1">OFFSET(Sheet2!R$4,(ROW(P85))*3,0)</f>
        <v>keep it up</v>
      </c>
      <c r="Q84" t="str">
        <f ca="1">OFFSET(Sheet2!S$4,(ROW(Q85))*3,0)</f>
        <v>keep it on</v>
      </c>
      <c r="R84" t="str">
        <f ca="1">OFFSET(Sheet2!T$4,(ROW(R85))*3,0)</f>
        <v>well done</v>
      </c>
      <c r="S84">
        <f ca="1">OFFSET(Sheet2!U$2,(ROW(S85))*3,0)</f>
        <v>0</v>
      </c>
      <c r="T84">
        <f ca="1">OFFSET(Sheet2!V$2,(ROW(T85))*3,0)</f>
        <v>0</v>
      </c>
    </row>
    <row r="85" spans="1:20" x14ac:dyDescent="0.35">
      <c r="A85">
        <f ca="1">OFFSET(Sheet2!B$4,(ROW(A86))*3,0)</f>
        <v>43848</v>
      </c>
      <c r="B85">
        <f ca="1">OFFSET(Sheet2!C$4,(ROW(B86))*3,0)</f>
        <v>17</v>
      </c>
      <c r="C85" t="str">
        <f ca="1">OFFSET(Sheet2!D$4,(ROW(C86))*3,0)</f>
        <v>South</v>
      </c>
      <c r="D85" t="str">
        <f ca="1">OFFSET(Sheet2!F$4,(ROW(D86))*3,0)</f>
        <v>MAJEME GEORGE</v>
      </c>
      <c r="E85" t="str">
        <f ca="1">OFFSET(Sheet2!G$4,(ROW(E86))*3,0)</f>
        <v>H2Go</v>
      </c>
      <c r="F85">
        <f ca="1">OFFSET(Sheet2!H$4,(ROW(F86))*3,0)</f>
        <v>0</v>
      </c>
      <c r="G85" t="str">
        <f ca="1">OFFSET(Sheet2!I$4,(ROW(G86))*3,0)</f>
        <v>WEEKLY</v>
      </c>
      <c r="H85">
        <f ca="1">OFFSET(Sheet2!J$4,(ROW(H86))*3,0)</f>
        <v>67</v>
      </c>
      <c r="I85" t="str">
        <f ca="1">OFFSET(Sheet2!K$4,(ROW(I86))*3,0)</f>
        <v>Actions</v>
      </c>
      <c r="J85" t="str">
        <f ca="1">OFFSET(Sheet2!L$4,(ROW(J86))*3,0)</f>
        <v>changed</v>
      </c>
      <c r="K85" t="str">
        <f ca="1">OFFSET(Sheet2!M$4,(ROW(K86))*3,0)</f>
        <v>done</v>
      </c>
      <c r="L85" t="str">
        <f ca="1">OFFSET(Sheet2!N$4,(ROW(L86))*3,0)</f>
        <v>keep it on</v>
      </c>
      <c r="M85" t="str">
        <f ca="1">OFFSET(Sheet2!O$4,(ROW(M86))*3,0)</f>
        <v>keep it on</v>
      </c>
      <c r="N85" t="str">
        <f ca="1">OFFSET(Sheet2!P$4,(ROW(N86))*3,0)</f>
        <v>keep it up</v>
      </c>
      <c r="O85" t="str">
        <f ca="1">OFFSET(Sheet2!Q$4,(ROW(O86))*3,0)</f>
        <v>done( nut and washer replaced)</v>
      </c>
      <c r="P85">
        <f ca="1">OFFSET(Sheet2!R$4,(ROW(P86))*3,0)</f>
        <v>0</v>
      </c>
      <c r="Q85">
        <f ca="1">OFFSET(Sheet2!S$4,(ROW(Q86))*3,0)</f>
        <v>0</v>
      </c>
      <c r="R85">
        <f ca="1">OFFSET(Sheet2!T$4,(ROW(R86))*3,0)</f>
        <v>0</v>
      </c>
      <c r="S85">
        <f ca="1">OFFSET(Sheet2!U$2,(ROW(S86))*3,0)</f>
        <v>0</v>
      </c>
      <c r="T85">
        <f ca="1">OFFSET(Sheet2!V$2,(ROW(T86))*3,0)</f>
        <v>0</v>
      </c>
    </row>
    <row r="86" spans="1:20" x14ac:dyDescent="0.35">
      <c r="A86">
        <f ca="1">OFFSET(Sheet2!B$4,(ROW(A87))*3,0)</f>
        <v>43855</v>
      </c>
      <c r="B86">
        <f ca="1">OFFSET(Sheet2!C$4,(ROW(B87))*3,0)</f>
        <v>17</v>
      </c>
      <c r="C86" t="str">
        <f ca="1">OFFSET(Sheet2!D$4,(ROW(C87))*3,0)</f>
        <v>South</v>
      </c>
      <c r="D86" t="str">
        <f ca="1">OFFSET(Sheet2!F$4,(ROW(D87))*3,0)</f>
        <v>MAJEME GEORGE</v>
      </c>
      <c r="E86" t="str">
        <f ca="1">OFFSET(Sheet2!G$4,(ROW(E87))*3,0)</f>
        <v>H2Go</v>
      </c>
      <c r="F86">
        <f ca="1">OFFSET(Sheet2!H$4,(ROW(F87))*3,0)</f>
        <v>0</v>
      </c>
      <c r="G86" t="str">
        <f ca="1">OFFSET(Sheet2!I$4,(ROW(G87))*3,0)</f>
        <v>WEEKLY</v>
      </c>
      <c r="H86">
        <f ca="1">OFFSET(Sheet2!J$4,(ROW(H87))*3,0)</f>
        <v>68</v>
      </c>
      <c r="I86" t="str">
        <f ca="1">OFFSET(Sheet2!K$4,(ROW(I87))*3,0)</f>
        <v>Actions</v>
      </c>
      <c r="J86" t="str">
        <f ca="1">OFFSET(Sheet2!L$4,(ROW(J87))*3,0)</f>
        <v>OIL CHANGED</v>
      </c>
      <c r="K86" t="str">
        <f ca="1">OFFSET(Sheet2!M$4,(ROW(K87))*3,0)</f>
        <v>KEEP IT ON</v>
      </c>
      <c r="L86" t="str">
        <f ca="1">OFFSET(Sheet2!N$4,(ROW(L87))*3,0)</f>
        <v>KEEP IT ON</v>
      </c>
      <c r="M86" t="str">
        <f ca="1">OFFSET(Sheet2!O$4,(ROW(M87))*3,0)</f>
        <v>KEEP IT ON</v>
      </c>
      <c r="N86" t="str">
        <f ca="1">OFFSET(Sheet2!P$4,(ROW(N87))*3,0)</f>
        <v>KEEP IT ON</v>
      </c>
      <c r="O86" t="str">
        <f ca="1">OFFSET(Sheet2!Q$4,(ROW(O87))*3,0)</f>
        <v>NUT REPLACED</v>
      </c>
      <c r="P86">
        <f ca="1">OFFSET(Sheet2!R$4,(ROW(P87))*3,0)</f>
        <v>0</v>
      </c>
      <c r="Q86">
        <f ca="1">OFFSET(Sheet2!S$4,(ROW(Q87))*3,0)</f>
        <v>0</v>
      </c>
      <c r="R86">
        <f ca="1">OFFSET(Sheet2!T$4,(ROW(R87))*3,0)</f>
        <v>0</v>
      </c>
      <c r="S86">
        <f ca="1">OFFSET(Sheet2!U$2,(ROW(S87))*3,0)</f>
        <v>0</v>
      </c>
      <c r="T86">
        <f ca="1">OFFSET(Sheet2!V$2,(ROW(T87))*3,0)</f>
        <v>0</v>
      </c>
    </row>
    <row r="87" spans="1:20" x14ac:dyDescent="0.35">
      <c r="A87">
        <f ca="1">OFFSET(Sheet2!B$4,(ROW(A88))*3,0)</f>
        <v>43862</v>
      </c>
      <c r="B87">
        <f ca="1">OFFSET(Sheet2!C$4,(ROW(B88))*3,0)</f>
        <v>17</v>
      </c>
      <c r="C87" t="str">
        <f ca="1">OFFSET(Sheet2!D$4,(ROW(C88))*3,0)</f>
        <v>South</v>
      </c>
      <c r="D87" t="str">
        <f ca="1">OFFSET(Sheet2!F$4,(ROW(D88))*3,0)</f>
        <v>MAJEME GEORGE</v>
      </c>
      <c r="E87" t="str">
        <f ca="1">OFFSET(Sheet2!G$4,(ROW(E88))*3,0)</f>
        <v>H2Go</v>
      </c>
      <c r="F87">
        <f ca="1">OFFSET(Sheet2!H$4,(ROW(F88))*3,0)</f>
        <v>0</v>
      </c>
      <c r="G87" t="str">
        <f ca="1">OFFSET(Sheet2!I$4,(ROW(G88))*3,0)</f>
        <v>WEEKLY</v>
      </c>
      <c r="H87">
        <f ca="1">OFFSET(Sheet2!J$4,(ROW(H88))*3,0)</f>
        <v>82</v>
      </c>
      <c r="I87" t="str">
        <f ca="1">OFFSET(Sheet2!K$4,(ROW(I88))*3,0)</f>
        <v>Actions</v>
      </c>
      <c r="J87" t="str">
        <f ca="1">OFFSET(Sheet2!L$4,(ROW(J88))*3,0)</f>
        <v>DONE</v>
      </c>
      <c r="K87" t="str">
        <f ca="1">OFFSET(Sheet2!M$4,(ROW(K88))*3,0)</f>
        <v>KEEP IT UP</v>
      </c>
      <c r="L87" t="str">
        <f ca="1">OFFSET(Sheet2!N$4,(ROW(L88))*3,0)</f>
        <v>KEEP IT ON</v>
      </c>
      <c r="M87" t="str">
        <f ca="1">OFFSET(Sheet2!O$4,(ROW(M88))*3,0)</f>
        <v>GO ON</v>
      </c>
      <c r="N87" t="str">
        <f ca="1">OFFSET(Sheet2!P$4,(ROW(N88))*3,0)</f>
        <v>GO ON</v>
      </c>
      <c r="O87" t="str">
        <f ca="1">OFFSET(Sheet2!Q$4,(ROW(O88))*3,0)</f>
        <v>DONE</v>
      </c>
      <c r="P87">
        <f ca="1">OFFSET(Sheet2!R$4,(ROW(P88))*3,0)</f>
        <v>0</v>
      </c>
      <c r="Q87">
        <f ca="1">OFFSET(Sheet2!S$4,(ROW(Q88))*3,0)</f>
        <v>0</v>
      </c>
      <c r="R87">
        <f ca="1">OFFSET(Sheet2!T$4,(ROW(R88))*3,0)</f>
        <v>0</v>
      </c>
      <c r="S87">
        <f ca="1">OFFSET(Sheet2!U$2,(ROW(S88))*3,0)</f>
        <v>0</v>
      </c>
      <c r="T87">
        <f ca="1">OFFSET(Sheet2!V$2,(ROW(T88))*3,0)</f>
        <v>0</v>
      </c>
    </row>
    <row r="88" spans="1:20" x14ac:dyDescent="0.35">
      <c r="A88">
        <f ca="1">OFFSET(Sheet2!B$4,(ROW(A89))*3,0)</f>
        <v>43869</v>
      </c>
      <c r="B88">
        <f ca="1">OFFSET(Sheet2!C$4,(ROW(B89))*3,0)</f>
        <v>17</v>
      </c>
      <c r="C88" t="str">
        <f ca="1">OFFSET(Sheet2!D$4,(ROW(C89))*3,0)</f>
        <v>South</v>
      </c>
      <c r="D88" t="str">
        <f ca="1">OFFSET(Sheet2!F$4,(ROW(D89))*3,0)</f>
        <v>MAJEME GEORGE</v>
      </c>
      <c r="E88" t="str">
        <f ca="1">OFFSET(Sheet2!G$4,(ROW(E89))*3,0)</f>
        <v>H2Go</v>
      </c>
      <c r="F88">
        <f ca="1">OFFSET(Sheet2!H$4,(ROW(F89))*3,0)</f>
        <v>0</v>
      </c>
      <c r="G88" t="str">
        <f ca="1">OFFSET(Sheet2!I$4,(ROW(G89))*3,0)</f>
        <v>WEEKLY</v>
      </c>
      <c r="H88">
        <f ca="1">OFFSET(Sheet2!J$4,(ROW(H89))*3,0)</f>
        <v>200</v>
      </c>
      <c r="I88" t="str">
        <f ca="1">OFFSET(Sheet2!K$4,(ROW(I89))*3,0)</f>
        <v>Actions</v>
      </c>
      <c r="J88" t="str">
        <f ca="1">OFFSET(Sheet2!L$4,(ROW(J89))*3,0)</f>
        <v>CHANGED</v>
      </c>
      <c r="K88" t="str">
        <f ca="1">OFFSET(Sheet2!M$4,(ROW(K89))*3,0)</f>
        <v>KEEP IT SERVICED</v>
      </c>
      <c r="L88" t="str">
        <f ca="1">OFFSET(Sheet2!N$4,(ROW(L89))*3,0)</f>
        <v>keep it up</v>
      </c>
      <c r="M88" t="str">
        <f ca="1">OFFSET(Sheet2!O$4,(ROW(M89))*3,0)</f>
        <v>keep it up</v>
      </c>
      <c r="N88" t="str">
        <f ca="1">OFFSET(Sheet2!P$4,(ROW(N89))*3,0)</f>
        <v>Keep it clean</v>
      </c>
      <c r="O88" t="str">
        <f ca="1">OFFSET(Sheet2!Q$4,(ROW(O89))*3,0)</f>
        <v>checked</v>
      </c>
      <c r="P88">
        <f ca="1">OFFSET(Sheet2!R$4,(ROW(P89))*3,0)</f>
        <v>0</v>
      </c>
      <c r="Q88">
        <f ca="1">OFFSET(Sheet2!S$4,(ROW(Q89))*3,0)</f>
        <v>0</v>
      </c>
      <c r="R88">
        <f ca="1">OFFSET(Sheet2!T$4,(ROW(R89))*3,0)</f>
        <v>0</v>
      </c>
      <c r="S88">
        <f ca="1">OFFSET(Sheet2!U$2,(ROW(S89))*3,0)</f>
        <v>0</v>
      </c>
      <c r="T88">
        <f ca="1">OFFSET(Sheet2!V$2,(ROW(T89))*3,0)</f>
        <v>0</v>
      </c>
    </row>
    <row r="89" spans="1:20" x14ac:dyDescent="0.35">
      <c r="A89">
        <f ca="1">OFFSET(Sheet2!B$4,(ROW(A90))*3,0)</f>
        <v>43885</v>
      </c>
      <c r="B89">
        <f ca="1">OFFSET(Sheet2!C$4,(ROW(B90))*3,0)</f>
        <v>17</v>
      </c>
      <c r="C89" t="str">
        <f ca="1">OFFSET(Sheet2!D$4,(ROW(C90))*3,0)</f>
        <v>South</v>
      </c>
      <c r="D89" t="str">
        <f ca="1">OFFSET(Sheet2!F$4,(ROW(D90))*3,0)</f>
        <v>MAJEME GEORGE</v>
      </c>
      <c r="E89" t="str">
        <f ca="1">OFFSET(Sheet2!G$4,(ROW(E90))*3,0)</f>
        <v>H2Go</v>
      </c>
      <c r="F89">
        <f ca="1">OFFSET(Sheet2!H$4,(ROW(F90))*3,0)</f>
        <v>0</v>
      </c>
      <c r="G89" t="str">
        <f ca="1">OFFSET(Sheet2!I$4,(ROW(G90))*3,0)</f>
        <v>WEEKLY</v>
      </c>
      <c r="H89">
        <f ca="1">OFFSET(Sheet2!J$4,(ROW(H90))*3,0)</f>
        <v>150</v>
      </c>
      <c r="I89" t="str">
        <f ca="1">OFFSET(Sheet2!K$4,(ROW(I90))*3,0)</f>
        <v>Actions</v>
      </c>
      <c r="J89" t="str">
        <f ca="1">OFFSET(Sheet2!L$4,(ROW(J90))*3,0)</f>
        <v>Chagned</v>
      </c>
      <c r="K89" t="str">
        <f ca="1">OFFSET(Sheet2!M$4,(ROW(K90))*3,0)</f>
        <v>Nothing done</v>
      </c>
      <c r="L89" t="str">
        <f ca="1">OFFSET(Sheet2!N$4,(ROW(L90))*3,0)</f>
        <v>Aligned/adjusted</v>
      </c>
      <c r="M89" t="str">
        <f ca="1">OFFSET(Sheet2!O$4,(ROW(M90))*3,0)</f>
        <v>Cleaned Filter</v>
      </c>
      <c r="N89" t="str">
        <f ca="1">OFFSET(Sheet2!P$4,(ROW(N90))*3,0)</f>
        <v>Nothing done</v>
      </c>
      <c r="O89" t="str">
        <f ca="1">OFFSET(Sheet2!Q$4,(ROW(O90))*3,0)</f>
        <v>Nothing Done</v>
      </c>
      <c r="P89">
        <f ca="1">OFFSET(Sheet2!R$4,(ROW(P90))*3,0)</f>
        <v>0</v>
      </c>
      <c r="Q89">
        <f ca="1">OFFSET(Sheet2!S$4,(ROW(Q90))*3,0)</f>
        <v>0</v>
      </c>
      <c r="R89">
        <f ca="1">OFFSET(Sheet2!T$4,(ROW(R90))*3,0)</f>
        <v>0</v>
      </c>
      <c r="S89">
        <f ca="1">OFFSET(Sheet2!U$2,(ROW(S90))*3,0)</f>
        <v>0</v>
      </c>
      <c r="T89">
        <f ca="1">OFFSET(Sheet2!V$2,(ROW(T90))*3,0)</f>
        <v>0</v>
      </c>
    </row>
    <row r="90" spans="1:20" x14ac:dyDescent="0.35">
      <c r="A90">
        <f ca="1">OFFSET(Sheet2!B$4,(ROW(A91))*3,0)</f>
        <v>43876</v>
      </c>
      <c r="B90">
        <f ca="1">OFFSET(Sheet2!C$4,(ROW(B91))*3,0)</f>
        <v>17</v>
      </c>
      <c r="C90" t="str">
        <f ca="1">OFFSET(Sheet2!D$4,(ROW(C91))*3,0)</f>
        <v>South</v>
      </c>
      <c r="D90" t="str">
        <f ca="1">OFFSET(Sheet2!F$4,(ROW(D91))*3,0)</f>
        <v>MAJEME GEORGE</v>
      </c>
      <c r="E90" t="str">
        <f ca="1">OFFSET(Sheet2!G$4,(ROW(E91))*3,0)</f>
        <v>H2GO</v>
      </c>
      <c r="F90">
        <f ca="1">OFFSET(Sheet2!H$4,(ROW(F91))*3,0)</f>
        <v>0</v>
      </c>
      <c r="G90" t="str">
        <f ca="1">OFFSET(Sheet2!I$4,(ROW(G91))*3,0)</f>
        <v>WEEKLY</v>
      </c>
      <c r="H90">
        <f ca="1">OFFSET(Sheet2!J$4,(ROW(H91))*3,0)</f>
        <v>158</v>
      </c>
      <c r="I90" t="str">
        <f ca="1">OFFSET(Sheet2!K$4,(ROW(I91))*3,0)</f>
        <v>Actions</v>
      </c>
      <c r="J90" t="str">
        <f ca="1">OFFSET(Sheet2!L$4,(ROW(J91))*3,0)</f>
        <v>CHANGED</v>
      </c>
      <c r="K90" t="str">
        <f ca="1">OFFSET(Sheet2!M$4,(ROW(K91))*3,0)</f>
        <v>CLEANED</v>
      </c>
      <c r="L90" t="str">
        <f ca="1">OFFSET(Sheet2!N$4,(ROW(L91))*3,0)</f>
        <v>TAPPETS WERE SET</v>
      </c>
      <c r="M90" t="str">
        <f ca="1">OFFSET(Sheet2!O$4,(ROW(M91))*3,0)</f>
        <v>CLEANED</v>
      </c>
      <c r="N90" t="str">
        <f ca="1">OFFSET(Sheet2!P$4,(ROW(N91))*3,0)</f>
        <v>IT WAS CHANGED</v>
      </c>
      <c r="O90" t="str">
        <f ca="1">OFFSET(Sheet2!Q$4,(ROW(O91))*3,0)</f>
        <v>NOTHING DONE</v>
      </c>
      <c r="P90">
        <f ca="1">OFFSET(Sheet2!R$4,(ROW(P91))*3,0)</f>
        <v>0</v>
      </c>
      <c r="Q90">
        <f ca="1">OFFSET(Sheet2!S$4,(ROW(Q91))*3,0)</f>
        <v>0</v>
      </c>
      <c r="R90">
        <f ca="1">OFFSET(Sheet2!T$4,(ROW(R91))*3,0)</f>
        <v>0</v>
      </c>
      <c r="S90">
        <f ca="1">OFFSET(Sheet2!U$2,(ROW(S91))*3,0)</f>
        <v>0</v>
      </c>
      <c r="T90">
        <f ca="1">OFFSET(Sheet2!V$2,(ROW(T91))*3,0)</f>
        <v>0</v>
      </c>
    </row>
    <row r="91" spans="1:20" x14ac:dyDescent="0.35">
      <c r="A91">
        <f ca="1">OFFSET(Sheet2!B$4,(ROW(A92))*3,0)</f>
        <v>43892</v>
      </c>
      <c r="B91">
        <f ca="1">OFFSET(Sheet2!C$4,(ROW(B92))*3,0)</f>
        <v>17</v>
      </c>
      <c r="C91" t="str">
        <f ca="1">OFFSET(Sheet2!D$4,(ROW(C92))*3,0)</f>
        <v>South</v>
      </c>
      <c r="D91" t="str">
        <f ca="1">OFFSET(Sheet2!F$4,(ROW(D92))*3,0)</f>
        <v>MAJEME GEORGE</v>
      </c>
      <c r="E91" t="str">
        <f ca="1">OFFSET(Sheet2!G$4,(ROW(E92))*3,0)</f>
        <v>H2GO</v>
      </c>
      <c r="F91">
        <f ca="1">OFFSET(Sheet2!H$4,(ROW(F92))*3,0)</f>
        <v>0</v>
      </c>
      <c r="G91" t="str">
        <f ca="1">OFFSET(Sheet2!I$4,(ROW(G92))*3,0)</f>
        <v>WEEKLY</v>
      </c>
      <c r="H91">
        <f ca="1">OFFSET(Sheet2!J$4,(ROW(H92))*3,0)</f>
        <v>101</v>
      </c>
      <c r="I91" t="str">
        <f ca="1">OFFSET(Sheet2!K$4,(ROW(I92))*3,0)</f>
        <v>Actions</v>
      </c>
      <c r="J91" t="str">
        <f ca="1">OFFSET(Sheet2!L$4,(ROW(J92))*3,0)</f>
        <v>Chagned</v>
      </c>
      <c r="K91" t="str">
        <f ca="1">OFFSET(Sheet2!M$4,(ROW(K92))*3,0)</f>
        <v>Nothing done, despite recommendation</v>
      </c>
      <c r="L91" t="str">
        <f ca="1">OFFSET(Sheet2!N$4,(ROW(L92))*3,0)</f>
        <v>Nothing done, despite recommendation</v>
      </c>
      <c r="M91" t="str">
        <f ca="1">OFFSET(Sheet2!O$4,(ROW(M92))*3,0)</f>
        <v>Cleaned Filter</v>
      </c>
      <c r="N91" t="str">
        <f ca="1">OFFSET(Sheet2!P$4,(ROW(N92))*3,0)</f>
        <v>Nothing done, despite recommendation</v>
      </c>
      <c r="O91" t="str">
        <f ca="1">OFFSET(Sheet2!Q$4,(ROW(O92))*3,0)</f>
        <v>Nothing Done</v>
      </c>
      <c r="P91">
        <f ca="1">OFFSET(Sheet2!R$4,(ROW(P92))*3,0)</f>
        <v>0</v>
      </c>
      <c r="Q91">
        <f ca="1">OFFSET(Sheet2!S$4,(ROW(Q92))*3,0)</f>
        <v>0</v>
      </c>
      <c r="R91">
        <f ca="1">OFFSET(Sheet2!T$4,(ROW(R92))*3,0)</f>
        <v>0</v>
      </c>
      <c r="S91">
        <f ca="1">OFFSET(Sheet2!U$2,(ROW(S92))*3,0)</f>
        <v>0</v>
      </c>
      <c r="T91">
        <f ca="1">OFFSET(Sheet2!V$2,(ROW(T92))*3,0)</f>
        <v>0</v>
      </c>
    </row>
    <row r="92" spans="1:20" x14ac:dyDescent="0.35">
      <c r="A92">
        <f ca="1">OFFSET(Sheet2!B$4,(ROW(A93))*3,0)</f>
        <v>43841</v>
      </c>
      <c r="B92">
        <f ca="1">OFFSET(Sheet2!C$4,(ROW(B93))*3,0)</f>
        <v>18</v>
      </c>
      <c r="C92" t="str">
        <f ca="1">OFFSET(Sheet2!D$4,(ROW(C93))*3,0)</f>
        <v>South</v>
      </c>
      <c r="D92" t="str">
        <f ca="1">OFFSET(Sheet2!F$4,(ROW(D93))*3,0)</f>
        <v>MUSAMALI FRED</v>
      </c>
      <c r="E92" t="str">
        <f ca="1">OFFSET(Sheet2!G$4,(ROW(E93))*3,0)</f>
        <v>H2Go</v>
      </c>
      <c r="F92">
        <f ca="1">OFFSET(Sheet2!H$4,(ROW(F93))*3,0)</f>
        <v>0</v>
      </c>
      <c r="G92" t="str">
        <f ca="1">OFFSET(Sheet2!I$4,(ROW(G93))*3,0)</f>
        <v>Comprehensive</v>
      </c>
      <c r="H92">
        <f ca="1">OFFSET(Sheet2!J$4,(ROW(H93))*3,0)</f>
        <v>98</v>
      </c>
      <c r="I92" t="str">
        <f ca="1">OFFSET(Sheet2!K$4,(ROW(I93))*3,0)</f>
        <v>Actions</v>
      </c>
      <c r="J92" t="str">
        <f ca="1">OFFSET(Sheet2!L$4,(ROW(J93))*3,0)</f>
        <v>changed</v>
      </c>
      <c r="K92" t="str">
        <f ca="1">OFFSET(Sheet2!M$4,(ROW(K93))*3,0)</f>
        <v>Keep it up</v>
      </c>
      <c r="L92" t="str">
        <f ca="1">OFFSET(Sheet2!N$4,(ROW(L93))*3,0)</f>
        <v>done</v>
      </c>
      <c r="M92" t="str">
        <f ca="1">OFFSET(Sheet2!O$4,(ROW(M93))*3,0)</f>
        <v>keep it up</v>
      </c>
      <c r="N92" t="str">
        <f ca="1">OFFSET(Sheet2!P$4,(ROW(N93))*3,0)</f>
        <v>well done</v>
      </c>
      <c r="O92" t="str">
        <f ca="1">OFFSET(Sheet2!Q$4,(ROW(O93))*3,0)</f>
        <v>keep it on</v>
      </c>
      <c r="P92" t="str">
        <f ca="1">OFFSET(Sheet2!R$4,(ROW(P93))*3,0)</f>
        <v>not changed</v>
      </c>
      <c r="Q92" t="str">
        <f ca="1">OFFSET(Sheet2!S$4,(ROW(Q93))*3,0)</f>
        <v>keep it up</v>
      </c>
      <c r="R92" t="str">
        <f ca="1">OFFSET(Sheet2!T$4,(ROW(R93))*3,0)</f>
        <v>well done</v>
      </c>
      <c r="S92">
        <f ca="1">OFFSET(Sheet2!U$2,(ROW(S93))*3,0)</f>
        <v>0</v>
      </c>
      <c r="T92">
        <f ca="1">OFFSET(Sheet2!V$2,(ROW(T93))*3,0)</f>
        <v>0</v>
      </c>
    </row>
    <row r="93" spans="1:20" x14ac:dyDescent="0.35">
      <c r="A93">
        <f ca="1">OFFSET(Sheet2!B$4,(ROW(A94))*3,0)</f>
        <v>43855</v>
      </c>
      <c r="B93">
        <f ca="1">OFFSET(Sheet2!C$4,(ROW(B94))*3,0)</f>
        <v>18</v>
      </c>
      <c r="C93" t="str">
        <f ca="1">OFFSET(Sheet2!D$4,(ROW(C94))*3,0)</f>
        <v>South</v>
      </c>
      <c r="D93" t="str">
        <f ca="1">OFFSET(Sheet2!F$4,(ROW(D94))*3,0)</f>
        <v>MUSAMALI FRED</v>
      </c>
      <c r="E93" t="str">
        <f ca="1">OFFSET(Sheet2!G$4,(ROW(E94))*3,0)</f>
        <v>H2Go</v>
      </c>
      <c r="F93">
        <f ca="1">OFFSET(Sheet2!H$4,(ROW(F94))*3,0)</f>
        <v>0</v>
      </c>
      <c r="G93" t="str">
        <f ca="1">OFFSET(Sheet2!I$4,(ROW(G94))*3,0)</f>
        <v>WEEKLY</v>
      </c>
      <c r="H93">
        <f ca="1">OFFSET(Sheet2!J$4,(ROW(H94))*3,0)</f>
        <v>83</v>
      </c>
      <c r="I93" t="str">
        <f ca="1">OFFSET(Sheet2!K$4,(ROW(I94))*3,0)</f>
        <v>Actions</v>
      </c>
      <c r="J93" t="str">
        <f ca="1">OFFSET(Sheet2!L$4,(ROW(J94))*3,0)</f>
        <v>done</v>
      </c>
      <c r="K93" t="str">
        <f ca="1">OFFSET(Sheet2!M$4,(ROW(K94))*3,0)</f>
        <v>keep it up</v>
      </c>
      <c r="L93" t="str">
        <f ca="1">OFFSET(Sheet2!N$4,(ROW(L94))*3,0)</f>
        <v>keep it on</v>
      </c>
      <c r="M93" t="str">
        <f ca="1">OFFSET(Sheet2!O$4,(ROW(M94))*3,0)</f>
        <v>keep it up</v>
      </c>
      <c r="N93" t="str">
        <f ca="1">OFFSET(Sheet2!P$4,(ROW(N94))*3,0)</f>
        <v>keep it on</v>
      </c>
      <c r="O93" t="str">
        <f ca="1">OFFSET(Sheet2!Q$4,(ROW(O94))*3,0)</f>
        <v>nut replacement done</v>
      </c>
      <c r="P93">
        <f ca="1">OFFSET(Sheet2!R$4,(ROW(P94))*3,0)</f>
        <v>0</v>
      </c>
      <c r="Q93">
        <f ca="1">OFFSET(Sheet2!S$4,(ROW(Q94))*3,0)</f>
        <v>0</v>
      </c>
      <c r="R93">
        <f ca="1">OFFSET(Sheet2!T$4,(ROW(R94))*3,0)</f>
        <v>0</v>
      </c>
      <c r="S93">
        <f ca="1">OFFSET(Sheet2!U$2,(ROW(S94))*3,0)</f>
        <v>0</v>
      </c>
      <c r="T93">
        <f ca="1">OFFSET(Sheet2!V$2,(ROW(T94))*3,0)</f>
        <v>0</v>
      </c>
    </row>
    <row r="94" spans="1:20" x14ac:dyDescent="0.35">
      <c r="A94">
        <f ca="1">OFFSET(Sheet2!B$4,(ROW(A95))*3,0)</f>
        <v>43862</v>
      </c>
      <c r="B94">
        <f ca="1">OFFSET(Sheet2!C$4,(ROW(B95))*3,0)</f>
        <v>18</v>
      </c>
      <c r="C94" t="str">
        <f ca="1">OFFSET(Sheet2!D$4,(ROW(C95))*3,0)</f>
        <v>South</v>
      </c>
      <c r="D94" t="str">
        <f ca="1">OFFSET(Sheet2!F$4,(ROW(D95))*3,0)</f>
        <v>MUSAMALI FRED</v>
      </c>
      <c r="E94" t="str">
        <f ca="1">OFFSET(Sheet2!G$4,(ROW(E95))*3,0)</f>
        <v>H2GO</v>
      </c>
      <c r="F94">
        <f ca="1">OFFSET(Sheet2!H$4,(ROW(F95))*3,0)</f>
        <v>0</v>
      </c>
      <c r="G94" t="str">
        <f ca="1">OFFSET(Sheet2!I$4,(ROW(G95))*3,0)</f>
        <v>WEEKLY</v>
      </c>
      <c r="H94">
        <f ca="1">OFFSET(Sheet2!J$4,(ROW(H95))*3,0)</f>
        <v>76</v>
      </c>
      <c r="I94" t="str">
        <f ca="1">OFFSET(Sheet2!K$4,(ROW(I95))*3,0)</f>
        <v>Actions</v>
      </c>
      <c r="J94" t="str">
        <f ca="1">OFFSET(Sheet2!L$4,(ROW(J95))*3,0)</f>
        <v>CHANGED</v>
      </c>
      <c r="K94" t="str">
        <f ca="1">OFFSET(Sheet2!M$4,(ROW(K95))*3,0)</f>
        <v>KEEP IT UP</v>
      </c>
      <c r="L94" t="str">
        <f ca="1">OFFSET(Sheet2!N$4,(ROW(L95))*3,0)</f>
        <v>KEEP IT UP</v>
      </c>
      <c r="M94" t="str">
        <f ca="1">OFFSET(Sheet2!O$4,(ROW(M95))*3,0)</f>
        <v>KEEP IT UP</v>
      </c>
      <c r="N94" t="str">
        <f ca="1">OFFSET(Sheet2!P$4,(ROW(N95))*3,0)</f>
        <v>KEEP IT UP</v>
      </c>
      <c r="O94" t="str">
        <f ca="1">OFFSET(Sheet2!Q$4,(ROW(O95))*3,0)</f>
        <v>DONE</v>
      </c>
      <c r="P94">
        <f ca="1">OFFSET(Sheet2!R$4,(ROW(P95))*3,0)</f>
        <v>0</v>
      </c>
      <c r="Q94">
        <f ca="1">OFFSET(Sheet2!S$4,(ROW(Q95))*3,0)</f>
        <v>0</v>
      </c>
      <c r="R94">
        <f ca="1">OFFSET(Sheet2!T$4,(ROW(R95))*3,0)</f>
        <v>0</v>
      </c>
      <c r="S94">
        <f ca="1">OFFSET(Sheet2!U$2,(ROW(S95))*3,0)</f>
        <v>0</v>
      </c>
      <c r="T94">
        <f ca="1">OFFSET(Sheet2!V$2,(ROW(T95))*3,0)</f>
        <v>0</v>
      </c>
    </row>
    <row r="95" spans="1:20" x14ac:dyDescent="0.35">
      <c r="A95">
        <f ca="1">OFFSET(Sheet2!B$4,(ROW(A96))*3,0)</f>
        <v>43869</v>
      </c>
      <c r="B95">
        <f ca="1">OFFSET(Sheet2!C$4,(ROW(B96))*3,0)</f>
        <v>18</v>
      </c>
      <c r="C95" t="str">
        <f ca="1">OFFSET(Sheet2!D$4,(ROW(C96))*3,0)</f>
        <v>South</v>
      </c>
      <c r="D95" t="str">
        <f ca="1">OFFSET(Sheet2!F$4,(ROW(D96))*3,0)</f>
        <v>MUSAMALI FRED</v>
      </c>
      <c r="E95" t="str">
        <f ca="1">OFFSET(Sheet2!G$4,(ROW(E96))*3,0)</f>
        <v>H2Go</v>
      </c>
      <c r="F95">
        <f ca="1">OFFSET(Sheet2!H$4,(ROW(F96))*3,0)</f>
        <v>0</v>
      </c>
      <c r="G95" t="str">
        <f ca="1">OFFSET(Sheet2!I$4,(ROW(G96))*3,0)</f>
        <v>WEEKLY</v>
      </c>
      <c r="H95">
        <f ca="1">OFFSET(Sheet2!J$4,(ROW(H96))*3,0)</f>
        <v>118</v>
      </c>
      <c r="I95" t="str">
        <f ca="1">OFFSET(Sheet2!K$4,(ROW(I96))*3,0)</f>
        <v>Actions</v>
      </c>
      <c r="J95" t="str">
        <f ca="1">OFFSET(Sheet2!L$4,(ROW(J96))*3,0)</f>
        <v>Changed oil &amp; replaced pistons</v>
      </c>
      <c r="K95" t="str">
        <f ca="1">OFFSET(Sheet2!M$4,(ROW(K96))*3,0)</f>
        <v>KEEP IT ON</v>
      </c>
      <c r="L95" t="str">
        <f ca="1">OFFSET(Sheet2!N$4,(ROW(L96))*3,0)</f>
        <v>Set</v>
      </c>
      <c r="M95" t="str">
        <f ca="1">OFFSET(Sheet2!O$4,(ROW(M96))*3,0)</f>
        <v>Nothing done</v>
      </c>
      <c r="N95" t="str">
        <f ca="1">OFFSET(Sheet2!P$4,(ROW(N96))*3,0)</f>
        <v>Maintained</v>
      </c>
      <c r="O95" t="str">
        <f ca="1">OFFSET(Sheet2!Q$4,(ROW(O96))*3,0)</f>
        <v>checked</v>
      </c>
      <c r="P95">
        <f ca="1">OFFSET(Sheet2!R$4,(ROW(P96))*3,0)</f>
        <v>0</v>
      </c>
      <c r="Q95">
        <f ca="1">OFFSET(Sheet2!S$4,(ROW(Q96))*3,0)</f>
        <v>0</v>
      </c>
      <c r="R95">
        <f ca="1">OFFSET(Sheet2!T$4,(ROW(R96))*3,0)</f>
        <v>0</v>
      </c>
      <c r="S95">
        <f ca="1">OFFSET(Sheet2!U$2,(ROW(S96))*3,0)</f>
        <v>0</v>
      </c>
      <c r="T95">
        <f ca="1">OFFSET(Sheet2!V$2,(ROW(T96))*3,0)</f>
        <v>0</v>
      </c>
    </row>
    <row r="96" spans="1:20" x14ac:dyDescent="0.35">
      <c r="A96">
        <f ca="1">OFFSET(Sheet2!B$4,(ROW(A97))*3,0)</f>
        <v>43885</v>
      </c>
      <c r="B96">
        <f ca="1">OFFSET(Sheet2!C$4,(ROW(B97))*3,0)</f>
        <v>18</v>
      </c>
      <c r="C96" t="str">
        <f ca="1">OFFSET(Sheet2!D$4,(ROW(C97))*3,0)</f>
        <v>South</v>
      </c>
      <c r="D96" t="str">
        <f ca="1">OFFSET(Sheet2!F$4,(ROW(D97))*3,0)</f>
        <v>MUSAMALI FRED</v>
      </c>
      <c r="E96" t="str">
        <f ca="1">OFFSET(Sheet2!G$4,(ROW(E97))*3,0)</f>
        <v>H2Go</v>
      </c>
      <c r="F96">
        <f ca="1">OFFSET(Sheet2!H$4,(ROW(F97))*3,0)</f>
        <v>0</v>
      </c>
      <c r="G96" t="str">
        <f ca="1">OFFSET(Sheet2!I$4,(ROW(G97))*3,0)</f>
        <v>WEEKLY</v>
      </c>
      <c r="H96">
        <f ca="1">OFFSET(Sheet2!J$4,(ROW(H97))*3,0)</f>
        <v>146</v>
      </c>
      <c r="I96" t="str">
        <f ca="1">OFFSET(Sheet2!K$4,(ROW(I97))*3,0)</f>
        <v>Actions</v>
      </c>
      <c r="J96" t="str">
        <f ca="1">OFFSET(Sheet2!L$4,(ROW(J97))*3,0)</f>
        <v>Chagned</v>
      </c>
      <c r="K96" t="str">
        <f ca="1">OFFSET(Sheet2!M$4,(ROW(K97))*3,0)</f>
        <v>Nothing done</v>
      </c>
      <c r="L96" t="str">
        <f ca="1">OFFSET(Sheet2!N$4,(ROW(L97))*3,0)</f>
        <v>Nothing done</v>
      </c>
      <c r="M96" t="str">
        <f ca="1">OFFSET(Sheet2!O$4,(ROW(M97))*3,0)</f>
        <v>Cleaned Filter</v>
      </c>
      <c r="N96" t="str">
        <f ca="1">OFFSET(Sheet2!P$4,(ROW(N97))*3,0)</f>
        <v>Nothing done</v>
      </c>
      <c r="O96" t="str">
        <f ca="1">OFFSET(Sheet2!Q$4,(ROW(O97))*3,0)</f>
        <v>Nothing Done</v>
      </c>
      <c r="P96">
        <f ca="1">OFFSET(Sheet2!R$4,(ROW(P97))*3,0)</f>
        <v>0</v>
      </c>
      <c r="Q96">
        <f ca="1">OFFSET(Sheet2!S$4,(ROW(Q97))*3,0)</f>
        <v>0</v>
      </c>
      <c r="R96">
        <f ca="1">OFFSET(Sheet2!T$4,(ROW(R97))*3,0)</f>
        <v>0</v>
      </c>
      <c r="S96">
        <f ca="1">OFFSET(Sheet2!U$2,(ROW(S97))*3,0)</f>
        <v>0</v>
      </c>
      <c r="T96">
        <f ca="1">OFFSET(Sheet2!V$2,(ROW(T97))*3,0)</f>
        <v>0</v>
      </c>
    </row>
    <row r="97" spans="1:20" x14ac:dyDescent="0.35">
      <c r="A97">
        <f ca="1">OFFSET(Sheet2!B$4,(ROW(A98))*3,0)</f>
        <v>43876</v>
      </c>
      <c r="B97">
        <f ca="1">OFFSET(Sheet2!C$4,(ROW(B98))*3,0)</f>
        <v>18</v>
      </c>
      <c r="C97" t="str">
        <f ca="1">OFFSET(Sheet2!D$4,(ROW(C98))*3,0)</f>
        <v>South</v>
      </c>
      <c r="D97" t="str">
        <f ca="1">OFFSET(Sheet2!F$4,(ROW(D98))*3,0)</f>
        <v>MUSAMALI FRED</v>
      </c>
      <c r="E97" t="str">
        <f ca="1">OFFSET(Sheet2!G$4,(ROW(E98))*3,0)</f>
        <v>H2GO</v>
      </c>
      <c r="F97">
        <f ca="1">OFFSET(Sheet2!H$4,(ROW(F98))*3,0)</f>
        <v>0</v>
      </c>
      <c r="G97" t="str">
        <f ca="1">OFFSET(Sheet2!I$4,(ROW(G98))*3,0)</f>
        <v>WEEKLY</v>
      </c>
      <c r="H97">
        <f ca="1">OFFSET(Sheet2!J$4,(ROW(H98))*3,0)</f>
        <v>108</v>
      </c>
      <c r="I97" t="str">
        <f ca="1">OFFSET(Sheet2!K$4,(ROW(I98))*3,0)</f>
        <v>Actions</v>
      </c>
      <c r="J97" t="str">
        <f ca="1">OFFSET(Sheet2!L$4,(ROW(J98))*3,0)</f>
        <v>CHANGED</v>
      </c>
      <c r="K97" t="str">
        <f ca="1">OFFSET(Sheet2!M$4,(ROW(K98))*3,0)</f>
        <v>NOTHOING DONE</v>
      </c>
      <c r="L97" t="str">
        <f ca="1">OFFSET(Sheet2!N$4,(ROW(L98))*3,0)</f>
        <v>SET</v>
      </c>
      <c r="M97" t="str">
        <f ca="1">OFFSET(Sheet2!O$4,(ROW(M98))*3,0)</f>
        <v>NOTHING DONE</v>
      </c>
      <c r="N97" t="str">
        <f ca="1">OFFSET(Sheet2!P$4,(ROW(N98))*3,0)</f>
        <v>NOTHING DONE</v>
      </c>
      <c r="O97" t="str">
        <f ca="1">OFFSET(Sheet2!Q$4,(ROW(O98))*3,0)</f>
        <v>NOT DONE</v>
      </c>
      <c r="P97">
        <f ca="1">OFFSET(Sheet2!R$4,(ROW(P98))*3,0)</f>
        <v>0</v>
      </c>
      <c r="Q97">
        <f ca="1">OFFSET(Sheet2!S$4,(ROW(Q98))*3,0)</f>
        <v>0</v>
      </c>
      <c r="R97">
        <f ca="1">OFFSET(Sheet2!T$4,(ROW(R98))*3,0)</f>
        <v>0</v>
      </c>
      <c r="S97">
        <f ca="1">OFFSET(Sheet2!U$2,(ROW(S98))*3,0)</f>
        <v>0</v>
      </c>
      <c r="T97">
        <f ca="1">OFFSET(Sheet2!V$2,(ROW(T98))*3,0)</f>
        <v>0</v>
      </c>
    </row>
    <row r="98" spans="1:20" x14ac:dyDescent="0.35">
      <c r="A98">
        <f ca="1">OFFSET(Sheet2!B$4,(ROW(A99))*3,0)</f>
        <v>43892</v>
      </c>
      <c r="B98">
        <f ca="1">OFFSET(Sheet2!C$4,(ROW(B99))*3,0)</f>
        <v>18</v>
      </c>
      <c r="C98" t="str">
        <f ca="1">OFFSET(Sheet2!D$4,(ROW(C99))*3,0)</f>
        <v>South</v>
      </c>
      <c r="D98" t="str">
        <f ca="1">OFFSET(Sheet2!F$4,(ROW(D99))*3,0)</f>
        <v>MUSAMALI FRED</v>
      </c>
      <c r="E98" t="str">
        <f ca="1">OFFSET(Sheet2!G$4,(ROW(E99))*3,0)</f>
        <v>H2GO</v>
      </c>
      <c r="F98">
        <f ca="1">OFFSET(Sheet2!H$4,(ROW(F99))*3,0)</f>
        <v>0</v>
      </c>
      <c r="G98" t="str">
        <f ca="1">OFFSET(Sheet2!I$4,(ROW(G99))*3,0)</f>
        <v>WEEKLY</v>
      </c>
      <c r="H98">
        <f ca="1">OFFSET(Sheet2!J$4,(ROW(H99))*3,0)</f>
        <v>136</v>
      </c>
      <c r="I98" t="str">
        <f ca="1">OFFSET(Sheet2!K$4,(ROW(I99))*3,0)</f>
        <v>Actions</v>
      </c>
      <c r="J98" t="str">
        <f ca="1">OFFSET(Sheet2!L$4,(ROW(J99))*3,0)</f>
        <v>Chagned</v>
      </c>
      <c r="K98" t="str">
        <f ca="1">OFFSET(Sheet2!M$4,(ROW(K99))*3,0)</f>
        <v>Carberator was cleaned</v>
      </c>
      <c r="L98" t="str">
        <f ca="1">OFFSET(Sheet2!N$4,(ROW(L99))*3,0)</f>
        <v>Aligned/adjusted</v>
      </c>
      <c r="M98" t="str">
        <f ca="1">OFFSET(Sheet2!O$4,(ROW(M99))*3,0)</f>
        <v>Cleaned Filter</v>
      </c>
      <c r="N98" t="str">
        <f ca="1">OFFSET(Sheet2!P$4,(ROW(N99))*3,0)</f>
        <v>Nothing done, despite recommendation</v>
      </c>
      <c r="O98" t="str">
        <f ca="1">OFFSET(Sheet2!Q$4,(ROW(O99))*3,0)</f>
        <v xml:space="preserve">Replaced Nut </v>
      </c>
      <c r="P98">
        <f ca="1">OFFSET(Sheet2!R$4,(ROW(P99))*3,0)</f>
        <v>0</v>
      </c>
      <c r="Q98">
        <f ca="1">OFFSET(Sheet2!S$4,(ROW(Q99))*3,0)</f>
        <v>0</v>
      </c>
      <c r="R98">
        <f ca="1">OFFSET(Sheet2!T$4,(ROW(R99))*3,0)</f>
        <v>0</v>
      </c>
      <c r="S98">
        <f ca="1">OFFSET(Sheet2!U$2,(ROW(S99))*3,0)</f>
        <v>0</v>
      </c>
      <c r="T98">
        <f ca="1">OFFSET(Sheet2!V$2,(ROW(T99))*3,0)</f>
        <v>0</v>
      </c>
    </row>
    <row r="99" spans="1:20" x14ac:dyDescent="0.35">
      <c r="A99">
        <f ca="1">OFFSET(Sheet2!B$4,(ROW(A100))*3,0)</f>
        <v>43899</v>
      </c>
      <c r="B99">
        <f ca="1">OFFSET(Sheet2!C$4,(ROW(B100))*3,0)</f>
        <v>18</v>
      </c>
      <c r="C99" t="str">
        <f ca="1">OFFSET(Sheet2!D$4,(ROW(C100))*3,0)</f>
        <v>South</v>
      </c>
      <c r="D99" t="str">
        <f ca="1">OFFSET(Sheet2!F$4,(ROW(D100))*3,0)</f>
        <v>MUSAMALI FRED</v>
      </c>
      <c r="E99" t="str">
        <f ca="1">OFFSET(Sheet2!G$4,(ROW(E100))*3,0)</f>
        <v>H2GO</v>
      </c>
      <c r="F99">
        <f ca="1">OFFSET(Sheet2!H$4,(ROW(F100))*3,0)</f>
        <v>0</v>
      </c>
      <c r="G99" t="str">
        <f ca="1">OFFSET(Sheet2!I$4,(ROW(G100))*3,0)</f>
        <v>WEEKLY</v>
      </c>
      <c r="H99">
        <f ca="1">OFFSET(Sheet2!J$4,(ROW(H100))*3,0)</f>
        <v>151</v>
      </c>
      <c r="I99" t="str">
        <f ca="1">OFFSET(Sheet2!K$4,(ROW(I100))*3,0)</f>
        <v>Actions</v>
      </c>
      <c r="J99" t="str">
        <f ca="1">OFFSET(Sheet2!L$4,(ROW(J100))*3,0)</f>
        <v>Chagned</v>
      </c>
      <c r="K99" t="str">
        <f ca="1">OFFSET(Sheet2!M$4,(ROW(K100))*3,0)</f>
        <v>Nothing done</v>
      </c>
      <c r="L99" t="str">
        <f ca="1">OFFSET(Sheet2!N$4,(ROW(L100))*3,0)</f>
        <v>Nothing done</v>
      </c>
      <c r="M99" t="str">
        <f ca="1">OFFSET(Sheet2!O$4,(ROW(M100))*3,0)</f>
        <v>Cleaned Filter</v>
      </c>
      <c r="N99" t="str">
        <f ca="1">OFFSET(Sheet2!P$4,(ROW(N100))*3,0)</f>
        <v>Nothing done</v>
      </c>
      <c r="O99" t="str">
        <f ca="1">OFFSET(Sheet2!Q$4,(ROW(O100))*3,0)</f>
        <v>Nothing Done</v>
      </c>
      <c r="P99">
        <f ca="1">OFFSET(Sheet2!R$4,(ROW(P100))*3,0)</f>
        <v>0</v>
      </c>
      <c r="Q99">
        <f ca="1">OFFSET(Sheet2!S$4,(ROW(Q100))*3,0)</f>
        <v>0</v>
      </c>
      <c r="R99">
        <f ca="1">OFFSET(Sheet2!T$4,(ROW(R100))*3,0)</f>
        <v>0</v>
      </c>
      <c r="S99">
        <f ca="1">OFFSET(Sheet2!U$2,(ROW(S100))*3,0)</f>
        <v>0</v>
      </c>
      <c r="T99">
        <f ca="1">OFFSET(Sheet2!V$2,(ROW(T100))*3,0)</f>
        <v>0</v>
      </c>
    </row>
    <row r="100" spans="1:20" x14ac:dyDescent="0.35">
      <c r="A100">
        <f ca="1">OFFSET(Sheet2!B$4,(ROW(A101))*3,0)</f>
        <v>43841</v>
      </c>
      <c r="B100">
        <f ca="1">OFFSET(Sheet2!C$4,(ROW(B101))*3,0)</f>
        <v>19</v>
      </c>
      <c r="C100" t="str">
        <f ca="1">OFFSET(Sheet2!D$4,(ROW(C101))*3,0)</f>
        <v>South</v>
      </c>
      <c r="D100" t="str">
        <f ca="1">OFFSET(Sheet2!F$4,(ROW(D101))*3,0)</f>
        <v>MULONDO SULAITI</v>
      </c>
      <c r="E100" t="str">
        <f ca="1">OFFSET(Sheet2!G$4,(ROW(E101))*3,0)</f>
        <v>H2Go</v>
      </c>
      <c r="F100">
        <f ca="1">OFFSET(Sheet2!H$4,(ROW(F101))*3,0)</f>
        <v>0</v>
      </c>
      <c r="G100" t="str">
        <f ca="1">OFFSET(Sheet2!I$4,(ROW(G101))*3,0)</f>
        <v>Comprehensive</v>
      </c>
      <c r="H100">
        <f ca="1">OFFSET(Sheet2!J$4,(ROW(H101))*3,0)</f>
        <v>92</v>
      </c>
      <c r="I100" t="str">
        <f ca="1">OFFSET(Sheet2!K$4,(ROW(I101))*3,0)</f>
        <v>Actions</v>
      </c>
      <c r="J100" t="str">
        <f ca="1">OFFSET(Sheet2!L$4,(ROW(J101))*3,0)</f>
        <v>changed</v>
      </c>
      <c r="K100" t="str">
        <f ca="1">OFFSET(Sheet2!M$4,(ROW(K101))*3,0)</f>
        <v>done</v>
      </c>
      <c r="L100" t="str">
        <f ca="1">OFFSET(Sheet2!N$4,(ROW(L101))*3,0)</f>
        <v>done</v>
      </c>
      <c r="M100" t="str">
        <f ca="1">OFFSET(Sheet2!O$4,(ROW(M101))*3,0)</f>
        <v>keep it up</v>
      </c>
      <c r="N100" t="str">
        <f ca="1">OFFSET(Sheet2!P$4,(ROW(N101))*3,0)</f>
        <v>not done</v>
      </c>
      <c r="O100" t="str">
        <f ca="1">OFFSET(Sheet2!Q$4,(ROW(O101))*3,0)</f>
        <v>keep it up</v>
      </c>
      <c r="P100" t="str">
        <f ca="1">OFFSET(Sheet2!R$4,(ROW(P101))*3,0)</f>
        <v>Replaced</v>
      </c>
      <c r="Q100" t="str">
        <f ca="1">OFFSET(Sheet2!S$4,(ROW(Q101))*3,0)</f>
        <v>nothing done</v>
      </c>
      <c r="R100" t="str">
        <f ca="1">OFFSET(Sheet2!T$4,(ROW(R101))*3,0)</f>
        <v>keep it up</v>
      </c>
      <c r="S100">
        <f ca="1">OFFSET(Sheet2!U$2,(ROW(S101))*3,0)</f>
        <v>0</v>
      </c>
      <c r="T100">
        <f ca="1">OFFSET(Sheet2!V$2,(ROW(T101))*3,0)</f>
        <v>0</v>
      </c>
    </row>
    <row r="101" spans="1:20" x14ac:dyDescent="0.35">
      <c r="A101">
        <f ca="1">OFFSET(Sheet2!B$4,(ROW(A102))*3,0)</f>
        <v>43848</v>
      </c>
      <c r="B101">
        <f ca="1">OFFSET(Sheet2!C$4,(ROW(B102))*3,0)</f>
        <v>19</v>
      </c>
      <c r="C101" t="str">
        <f ca="1">OFFSET(Sheet2!D$4,(ROW(C102))*3,0)</f>
        <v>South</v>
      </c>
      <c r="D101" t="str">
        <f ca="1">OFFSET(Sheet2!F$4,(ROW(D102))*3,0)</f>
        <v>MULONDO SULAITI</v>
      </c>
      <c r="E101" t="str">
        <f ca="1">OFFSET(Sheet2!G$4,(ROW(E102))*3,0)</f>
        <v>H2Go</v>
      </c>
      <c r="F101">
        <f ca="1">OFFSET(Sheet2!H$4,(ROW(F102))*3,0)</f>
        <v>0</v>
      </c>
      <c r="G101" t="str">
        <f ca="1">OFFSET(Sheet2!I$4,(ROW(G102))*3,0)</f>
        <v>WEEKLY</v>
      </c>
      <c r="H101">
        <f ca="1">OFFSET(Sheet2!J$4,(ROW(H102))*3,0)</f>
        <v>38</v>
      </c>
      <c r="I101" t="str">
        <f ca="1">OFFSET(Sheet2!K$4,(ROW(I102))*3,0)</f>
        <v>Actions</v>
      </c>
      <c r="J101" t="str">
        <f ca="1">OFFSET(Sheet2!L$4,(ROW(J102))*3,0)</f>
        <v>changed</v>
      </c>
      <c r="K101" t="str">
        <f ca="1">OFFSET(Sheet2!M$4,(ROW(K102))*3,0)</f>
        <v>Keep it up</v>
      </c>
      <c r="L101" t="str">
        <f ca="1">OFFSET(Sheet2!N$4,(ROW(L102))*3,0)</f>
        <v>keep it on</v>
      </c>
      <c r="M101" t="str">
        <f ca="1">OFFSET(Sheet2!O$4,(ROW(M102))*3,0)</f>
        <v>keep it up</v>
      </c>
      <c r="N101" t="str">
        <f ca="1">OFFSET(Sheet2!P$4,(ROW(N102))*3,0)</f>
        <v>keep it up</v>
      </c>
      <c r="O101" t="str">
        <f ca="1">OFFSET(Sheet2!Q$4,(ROW(O102))*3,0)</f>
        <v>keep it on</v>
      </c>
      <c r="P101">
        <f ca="1">OFFSET(Sheet2!R$4,(ROW(P102))*3,0)</f>
        <v>0</v>
      </c>
      <c r="Q101">
        <f ca="1">OFFSET(Sheet2!S$4,(ROW(Q102))*3,0)</f>
        <v>0</v>
      </c>
      <c r="R101">
        <f ca="1">OFFSET(Sheet2!T$4,(ROW(R102))*3,0)</f>
        <v>0</v>
      </c>
      <c r="S101">
        <f ca="1">OFFSET(Sheet2!U$2,(ROW(S102))*3,0)</f>
        <v>0</v>
      </c>
      <c r="T101">
        <f ca="1">OFFSET(Sheet2!V$2,(ROW(T102))*3,0)</f>
        <v>0</v>
      </c>
    </row>
    <row r="102" spans="1:20" x14ac:dyDescent="0.35">
      <c r="A102">
        <f ca="1">OFFSET(Sheet2!B$4,(ROW(A103))*3,0)</f>
        <v>43855</v>
      </c>
      <c r="B102">
        <f ca="1">OFFSET(Sheet2!C$4,(ROW(B103))*3,0)</f>
        <v>19</v>
      </c>
      <c r="C102" t="str">
        <f ca="1">OFFSET(Sheet2!D$4,(ROW(C103))*3,0)</f>
        <v>South</v>
      </c>
      <c r="D102" t="str">
        <f ca="1">OFFSET(Sheet2!F$4,(ROW(D103))*3,0)</f>
        <v>MULONDO SULAITI</v>
      </c>
      <c r="E102" t="str">
        <f ca="1">OFFSET(Sheet2!G$4,(ROW(E103))*3,0)</f>
        <v>H2Go</v>
      </c>
      <c r="F102">
        <f ca="1">OFFSET(Sheet2!H$4,(ROW(F103))*3,0)</f>
        <v>0</v>
      </c>
      <c r="G102" t="str">
        <f ca="1">OFFSET(Sheet2!I$4,(ROW(G103))*3,0)</f>
        <v>WEEKLY</v>
      </c>
      <c r="H102">
        <f ca="1">OFFSET(Sheet2!J$4,(ROW(H103))*3,0)</f>
        <v>62</v>
      </c>
      <c r="I102" t="str">
        <f ca="1">OFFSET(Sheet2!K$4,(ROW(I103))*3,0)</f>
        <v>Actions</v>
      </c>
      <c r="J102" t="str">
        <f ca="1">OFFSET(Sheet2!L$4,(ROW(J103))*3,0)</f>
        <v>CHANGE</v>
      </c>
      <c r="K102" t="str">
        <f ca="1">OFFSET(Sheet2!M$4,(ROW(K103))*3,0)</f>
        <v>KEEP IT ON</v>
      </c>
      <c r="L102" t="str">
        <f ca="1">OFFSET(Sheet2!N$4,(ROW(L103))*3,0)</f>
        <v>DONE</v>
      </c>
      <c r="M102" t="str">
        <f ca="1">OFFSET(Sheet2!O$4,(ROW(M103))*3,0)</f>
        <v>KEEP IT ON</v>
      </c>
      <c r="N102" t="str">
        <f ca="1">OFFSET(Sheet2!P$4,(ROW(N103))*3,0)</f>
        <v>KEEP IT UP</v>
      </c>
      <c r="O102" t="str">
        <f ca="1">OFFSET(Sheet2!Q$4,(ROW(O103))*3,0)</f>
        <v>REPLACEMENT DONE</v>
      </c>
      <c r="P102">
        <f ca="1">OFFSET(Sheet2!R$4,(ROW(P103))*3,0)</f>
        <v>0</v>
      </c>
      <c r="Q102">
        <f ca="1">OFFSET(Sheet2!S$4,(ROW(Q103))*3,0)</f>
        <v>0</v>
      </c>
      <c r="R102">
        <f ca="1">OFFSET(Sheet2!T$4,(ROW(R103))*3,0)</f>
        <v>0</v>
      </c>
      <c r="S102">
        <f ca="1">OFFSET(Sheet2!U$2,(ROW(S103))*3,0)</f>
        <v>0</v>
      </c>
      <c r="T102">
        <f ca="1">OFFSET(Sheet2!V$2,(ROW(T103))*3,0)</f>
        <v>0</v>
      </c>
    </row>
    <row r="103" spans="1:20" x14ac:dyDescent="0.35">
      <c r="A103">
        <f ca="1">OFFSET(Sheet2!B$4,(ROW(A104))*3,0)</f>
        <v>43862</v>
      </c>
      <c r="B103">
        <f ca="1">OFFSET(Sheet2!C$4,(ROW(B104))*3,0)</f>
        <v>19</v>
      </c>
      <c r="C103" t="str">
        <f ca="1">OFFSET(Sheet2!D$4,(ROW(C104))*3,0)</f>
        <v>South</v>
      </c>
      <c r="D103" t="str">
        <f ca="1">OFFSET(Sheet2!F$4,(ROW(D104))*3,0)</f>
        <v>MULONDO SULAITI</v>
      </c>
      <c r="E103" t="str">
        <f ca="1">OFFSET(Sheet2!G$4,(ROW(E104))*3,0)</f>
        <v>H2GO</v>
      </c>
      <c r="F103">
        <f ca="1">OFFSET(Sheet2!H$4,(ROW(F104))*3,0)</f>
        <v>0</v>
      </c>
      <c r="G103" t="str">
        <f ca="1">OFFSET(Sheet2!I$4,(ROW(G104))*3,0)</f>
        <v>WEEKLY</v>
      </c>
      <c r="H103">
        <f ca="1">OFFSET(Sheet2!J$4,(ROW(H104))*3,0)</f>
        <v>88</v>
      </c>
      <c r="I103" t="str">
        <f ca="1">OFFSET(Sheet2!K$4,(ROW(I104))*3,0)</f>
        <v>Actions</v>
      </c>
      <c r="J103" t="str">
        <f ca="1">OFFSET(Sheet2!L$4,(ROW(J104))*3,0)</f>
        <v>CHANGED</v>
      </c>
      <c r="K103" t="str">
        <f ca="1">OFFSET(Sheet2!M$4,(ROW(K104))*3,0)</f>
        <v>MAINTAINED</v>
      </c>
      <c r="L103" t="str">
        <f ca="1">OFFSET(Sheet2!N$4,(ROW(L104))*3,0)</f>
        <v>MAINTAINED</v>
      </c>
      <c r="M103" t="str">
        <f ca="1">OFFSET(Sheet2!O$4,(ROW(M104))*3,0)</f>
        <v>KEEP IT UP</v>
      </c>
      <c r="N103" t="str">
        <f ca="1">OFFSET(Sheet2!P$4,(ROW(N104))*3,0)</f>
        <v>KEEP IT UP</v>
      </c>
      <c r="O103" t="str">
        <f ca="1">OFFSET(Sheet2!Q$4,(ROW(O104))*3,0)</f>
        <v>KEEP IT UP</v>
      </c>
      <c r="P103">
        <f ca="1">OFFSET(Sheet2!R$4,(ROW(P104))*3,0)</f>
        <v>0</v>
      </c>
      <c r="Q103">
        <f ca="1">OFFSET(Sheet2!S$4,(ROW(Q104))*3,0)</f>
        <v>0</v>
      </c>
      <c r="R103">
        <f ca="1">OFFSET(Sheet2!T$4,(ROW(R104))*3,0)</f>
        <v>0</v>
      </c>
      <c r="S103">
        <f ca="1">OFFSET(Sheet2!U$2,(ROW(S104))*3,0)</f>
        <v>0</v>
      </c>
      <c r="T103">
        <f ca="1">OFFSET(Sheet2!V$2,(ROW(T104))*3,0)</f>
        <v>0</v>
      </c>
    </row>
    <row r="104" spans="1:20" x14ac:dyDescent="0.35">
      <c r="A104">
        <f ca="1">OFFSET(Sheet2!B$4,(ROW(A105))*3,0)</f>
        <v>43869</v>
      </c>
      <c r="B104">
        <f ca="1">OFFSET(Sheet2!C$4,(ROW(B105))*3,0)</f>
        <v>19</v>
      </c>
      <c r="C104" t="str">
        <f ca="1">OFFSET(Sheet2!D$4,(ROW(C105))*3,0)</f>
        <v>South</v>
      </c>
      <c r="D104" t="str">
        <f ca="1">OFFSET(Sheet2!F$4,(ROW(D105))*3,0)</f>
        <v>MULONDO SULAITI</v>
      </c>
      <c r="E104" t="str">
        <f ca="1">OFFSET(Sheet2!G$4,(ROW(E105))*3,0)</f>
        <v>H2Go</v>
      </c>
      <c r="F104">
        <f ca="1">OFFSET(Sheet2!H$4,(ROW(F105))*3,0)</f>
        <v>0</v>
      </c>
      <c r="G104" t="str">
        <f ca="1">OFFSET(Sheet2!I$4,(ROW(G105))*3,0)</f>
        <v>WEEKLY</v>
      </c>
      <c r="H104">
        <f ca="1">OFFSET(Sheet2!J$4,(ROW(H105))*3,0)</f>
        <v>193</v>
      </c>
      <c r="I104" t="str">
        <f ca="1">OFFSET(Sheet2!K$4,(ROW(I105))*3,0)</f>
        <v>Actions</v>
      </c>
      <c r="J104" t="str">
        <f ca="1">OFFSET(Sheet2!L$4,(ROW(J105))*3,0)</f>
        <v>CHANGED</v>
      </c>
      <c r="K104" t="str">
        <f ca="1">OFFSET(Sheet2!M$4,(ROW(K105))*3,0)</f>
        <v>CHECKED</v>
      </c>
      <c r="L104" t="str">
        <f ca="1">OFFSET(Sheet2!N$4,(ROW(L105))*3,0)</f>
        <v>GOOD</v>
      </c>
      <c r="M104" t="str">
        <f ca="1">OFFSET(Sheet2!O$4,(ROW(M105))*3,0)</f>
        <v>GOOD</v>
      </c>
      <c r="N104" t="str">
        <f ca="1">OFFSET(Sheet2!P$4,(ROW(N105))*3,0)</f>
        <v>GOOD</v>
      </c>
      <c r="O104" t="str">
        <f ca="1">OFFSET(Sheet2!Q$4,(ROW(O105))*3,0)</f>
        <v>GOOD</v>
      </c>
      <c r="P104">
        <f ca="1">OFFSET(Sheet2!R$4,(ROW(P105))*3,0)</f>
        <v>0</v>
      </c>
      <c r="Q104">
        <f ca="1">OFFSET(Sheet2!S$4,(ROW(Q105))*3,0)</f>
        <v>0</v>
      </c>
      <c r="R104">
        <f ca="1">OFFSET(Sheet2!T$4,(ROW(R105))*3,0)</f>
        <v>0</v>
      </c>
      <c r="S104">
        <f ca="1">OFFSET(Sheet2!U$2,(ROW(S105))*3,0)</f>
        <v>0</v>
      </c>
      <c r="T104">
        <f ca="1">OFFSET(Sheet2!V$2,(ROW(T105))*3,0)</f>
        <v>0</v>
      </c>
    </row>
    <row r="105" spans="1:20" x14ac:dyDescent="0.35">
      <c r="A105">
        <f ca="1">OFFSET(Sheet2!B$4,(ROW(A106))*3,0)</f>
        <v>43876</v>
      </c>
      <c r="B105">
        <f ca="1">OFFSET(Sheet2!C$4,(ROW(B106))*3,0)</f>
        <v>19</v>
      </c>
      <c r="C105" t="str">
        <f ca="1">OFFSET(Sheet2!D$4,(ROW(C106))*3,0)</f>
        <v>South</v>
      </c>
      <c r="D105" t="str">
        <f ca="1">OFFSET(Sheet2!F$4,(ROW(D106))*3,0)</f>
        <v>MULONDO SULAITI</v>
      </c>
      <c r="E105" t="str">
        <f ca="1">OFFSET(Sheet2!G$4,(ROW(E106))*3,0)</f>
        <v>H2Go</v>
      </c>
      <c r="F105">
        <f ca="1">OFFSET(Sheet2!H$4,(ROW(F106))*3,0)</f>
        <v>0</v>
      </c>
      <c r="G105" t="str">
        <f ca="1">OFFSET(Sheet2!I$4,(ROW(G106))*3,0)</f>
        <v>WEEKLY</v>
      </c>
      <c r="H105">
        <f ca="1">OFFSET(Sheet2!J$4,(ROW(H106))*3,0)</f>
        <v>125</v>
      </c>
      <c r="I105" t="str">
        <f ca="1">OFFSET(Sheet2!K$4,(ROW(I106))*3,0)</f>
        <v>Actions</v>
      </c>
      <c r="J105" t="str">
        <f ca="1">OFFSET(Sheet2!L$4,(ROW(J106))*3,0)</f>
        <v>TO BE WORKED ON TOMORROW</v>
      </c>
      <c r="K105" t="str">
        <f ca="1">OFFSET(Sheet2!M$4,(ROW(K106))*3,0)</f>
        <v>CHECKED</v>
      </c>
      <c r="L105" t="str">
        <f ca="1">OFFSET(Sheet2!N$4,(ROW(L106))*3,0)</f>
        <v>TO BE WORKED ON TOMORROW</v>
      </c>
      <c r="M105" t="str">
        <f ca="1">OFFSET(Sheet2!O$4,(ROW(M106))*3,0)</f>
        <v>CHECKED</v>
      </c>
      <c r="N105" t="str">
        <f ca="1">OFFSET(Sheet2!P$4,(ROW(N106))*3,0)</f>
        <v>CHECKED</v>
      </c>
      <c r="O105" t="str">
        <f ca="1">OFFSET(Sheet2!Q$4,(ROW(O106))*3,0)</f>
        <v>CHECKED</v>
      </c>
      <c r="P105">
        <f ca="1">OFFSET(Sheet2!R$4,(ROW(P106))*3,0)</f>
        <v>0</v>
      </c>
      <c r="Q105">
        <f ca="1">OFFSET(Sheet2!S$4,(ROW(Q106))*3,0)</f>
        <v>0</v>
      </c>
      <c r="R105">
        <f ca="1">OFFSET(Sheet2!T$4,(ROW(R106))*3,0)</f>
        <v>0</v>
      </c>
      <c r="S105">
        <f ca="1">OFFSET(Sheet2!U$2,(ROW(S106))*3,0)</f>
        <v>0</v>
      </c>
      <c r="T105">
        <f ca="1">OFFSET(Sheet2!V$2,(ROW(T106))*3,0)</f>
        <v>0</v>
      </c>
    </row>
    <row r="106" spans="1:20" x14ac:dyDescent="0.35">
      <c r="A106">
        <f ca="1">OFFSET(Sheet2!B$4,(ROW(A107))*3,0)</f>
        <v>43885</v>
      </c>
      <c r="B106">
        <f ca="1">OFFSET(Sheet2!C$4,(ROW(B107))*3,0)</f>
        <v>19</v>
      </c>
      <c r="C106" t="str">
        <f ca="1">OFFSET(Sheet2!D$4,(ROW(C107))*3,0)</f>
        <v>South</v>
      </c>
      <c r="D106" t="str">
        <f ca="1">OFFSET(Sheet2!F$4,(ROW(D107))*3,0)</f>
        <v>MULONDO SULAITI</v>
      </c>
      <c r="E106" t="str">
        <f ca="1">OFFSET(Sheet2!G$4,(ROW(E107))*3,0)</f>
        <v>H2Go</v>
      </c>
      <c r="F106">
        <f ca="1">OFFSET(Sheet2!H$4,(ROW(F107))*3,0)</f>
        <v>0</v>
      </c>
      <c r="G106" t="str">
        <f ca="1">OFFSET(Sheet2!I$4,(ROW(G107))*3,0)</f>
        <v>WEEKLY</v>
      </c>
      <c r="H106">
        <f ca="1">OFFSET(Sheet2!J$4,(ROW(H107))*3,0)</f>
        <v>112</v>
      </c>
      <c r="I106" t="str">
        <f ca="1">OFFSET(Sheet2!K$4,(ROW(I107))*3,0)</f>
        <v>Actions</v>
      </c>
      <c r="J106" t="str">
        <f ca="1">OFFSET(Sheet2!L$4,(ROW(J107))*3,0)</f>
        <v>Chagned</v>
      </c>
      <c r="K106" t="str">
        <f ca="1">OFFSET(Sheet2!M$4,(ROW(K107))*3,0)</f>
        <v>Nothing done</v>
      </c>
      <c r="L106" t="str">
        <f ca="1">OFFSET(Sheet2!N$4,(ROW(L107))*3,0)</f>
        <v>Aligned/adjusted</v>
      </c>
      <c r="M106" t="str">
        <f ca="1">OFFSET(Sheet2!O$4,(ROW(M107))*3,0)</f>
        <v>Nothing done</v>
      </c>
      <c r="N106" t="str">
        <f ca="1">OFFSET(Sheet2!P$4,(ROW(N107))*3,0)</f>
        <v>Nothing done</v>
      </c>
      <c r="O106" t="str">
        <f ca="1">OFFSET(Sheet2!Q$4,(ROW(O107))*3,0)</f>
        <v>Nothing Done</v>
      </c>
      <c r="P106">
        <f ca="1">OFFSET(Sheet2!R$4,(ROW(P107))*3,0)</f>
        <v>0</v>
      </c>
      <c r="Q106">
        <f ca="1">OFFSET(Sheet2!S$4,(ROW(Q107))*3,0)</f>
        <v>0</v>
      </c>
      <c r="R106">
        <f ca="1">OFFSET(Sheet2!T$4,(ROW(R107))*3,0)</f>
        <v>0</v>
      </c>
      <c r="S106">
        <f ca="1">OFFSET(Sheet2!U$2,(ROW(S107))*3,0)</f>
        <v>0</v>
      </c>
      <c r="T106">
        <f ca="1">OFFSET(Sheet2!V$2,(ROW(T107))*3,0)</f>
        <v>0</v>
      </c>
    </row>
    <row r="107" spans="1:20" x14ac:dyDescent="0.35">
      <c r="A107">
        <f ca="1">OFFSET(Sheet2!B$4,(ROW(A108))*3,0)</f>
        <v>43892</v>
      </c>
      <c r="B107">
        <f ca="1">OFFSET(Sheet2!C$4,(ROW(B108))*3,0)</f>
        <v>19</v>
      </c>
      <c r="C107" t="str">
        <f ca="1">OFFSET(Sheet2!D$4,(ROW(C108))*3,0)</f>
        <v>South</v>
      </c>
      <c r="D107" t="str">
        <f ca="1">OFFSET(Sheet2!F$4,(ROW(D108))*3,0)</f>
        <v>MULONDO SULAITI</v>
      </c>
      <c r="E107" t="str">
        <f ca="1">OFFSET(Sheet2!G$4,(ROW(E108))*3,0)</f>
        <v>H2GO</v>
      </c>
      <c r="F107">
        <f ca="1">OFFSET(Sheet2!H$4,(ROW(F108))*3,0)</f>
        <v>0</v>
      </c>
      <c r="G107" t="str">
        <f ca="1">OFFSET(Sheet2!I$4,(ROW(G108))*3,0)</f>
        <v>WEEKLY</v>
      </c>
      <c r="H107">
        <f ca="1">OFFSET(Sheet2!J$4,(ROW(H108))*3,0)</f>
        <v>102</v>
      </c>
      <c r="I107" t="str">
        <f ca="1">OFFSET(Sheet2!K$4,(ROW(I108))*3,0)</f>
        <v>Actions</v>
      </c>
      <c r="J107" t="str">
        <f ca="1">OFFSET(Sheet2!L$4,(ROW(J108))*3,0)</f>
        <v>Chagned</v>
      </c>
      <c r="K107" t="str">
        <f ca="1">OFFSET(Sheet2!M$4,(ROW(K108))*3,0)</f>
        <v>Carberator was cleaned</v>
      </c>
      <c r="L107" t="str">
        <f ca="1">OFFSET(Sheet2!N$4,(ROW(L108))*3,0)</f>
        <v>Aligned/adjusted</v>
      </c>
      <c r="M107" t="str">
        <f ca="1">OFFSET(Sheet2!O$4,(ROW(M108))*3,0)</f>
        <v>Nothing done, despite recommendation</v>
      </c>
      <c r="N107" t="str">
        <f ca="1">OFFSET(Sheet2!P$4,(ROW(N108))*3,0)</f>
        <v>Nothing done</v>
      </c>
      <c r="O107" t="str">
        <f ca="1">OFFSET(Sheet2!Q$4,(ROW(O108))*3,0)</f>
        <v xml:space="preserve">Replaced Nut </v>
      </c>
      <c r="P107">
        <f ca="1">OFFSET(Sheet2!R$4,(ROW(P108))*3,0)</f>
        <v>0</v>
      </c>
      <c r="Q107">
        <f ca="1">OFFSET(Sheet2!S$4,(ROW(Q108))*3,0)</f>
        <v>0</v>
      </c>
      <c r="R107">
        <f ca="1">OFFSET(Sheet2!T$4,(ROW(R108))*3,0)</f>
        <v>0</v>
      </c>
      <c r="S107">
        <f ca="1">OFFSET(Sheet2!U$2,(ROW(S108))*3,0)</f>
        <v>0</v>
      </c>
      <c r="T107">
        <f ca="1">OFFSET(Sheet2!V$2,(ROW(T108))*3,0)</f>
        <v>0</v>
      </c>
    </row>
    <row r="108" spans="1:20" x14ac:dyDescent="0.35">
      <c r="A108">
        <f ca="1">OFFSET(Sheet2!B$4,(ROW(A109))*3,0)</f>
        <v>43899</v>
      </c>
      <c r="B108">
        <f ca="1">OFFSET(Sheet2!C$4,(ROW(B109))*3,0)</f>
        <v>19</v>
      </c>
      <c r="C108" t="str">
        <f ca="1">OFFSET(Sheet2!D$4,(ROW(C109))*3,0)</f>
        <v>South</v>
      </c>
      <c r="D108" t="str">
        <f ca="1">OFFSET(Sheet2!F$4,(ROW(D109))*3,0)</f>
        <v>MULONDO SULAITI</v>
      </c>
      <c r="E108" t="str">
        <f ca="1">OFFSET(Sheet2!G$4,(ROW(E109))*3,0)</f>
        <v>H2GO</v>
      </c>
      <c r="F108">
        <f ca="1">OFFSET(Sheet2!H$4,(ROW(F109))*3,0)</f>
        <v>0</v>
      </c>
      <c r="G108" t="str">
        <f ca="1">OFFSET(Sheet2!I$4,(ROW(G109))*3,0)</f>
        <v>WEEKLY</v>
      </c>
      <c r="H108">
        <f ca="1">OFFSET(Sheet2!J$4,(ROW(H109))*3,0)</f>
        <v>159</v>
      </c>
      <c r="I108" t="str">
        <f ca="1">OFFSET(Sheet2!K$4,(ROW(I109))*3,0)</f>
        <v>Actions</v>
      </c>
      <c r="J108" t="str">
        <f ca="1">OFFSET(Sheet2!L$4,(ROW(J109))*3,0)</f>
        <v>Chagned</v>
      </c>
      <c r="K108" t="str">
        <f ca="1">OFFSET(Sheet2!M$4,(ROW(K109))*3,0)</f>
        <v>Carberator was cleaned</v>
      </c>
      <c r="L108" t="str">
        <f ca="1">OFFSET(Sheet2!N$4,(ROW(L109))*3,0)</f>
        <v>Aligned/adjusted</v>
      </c>
      <c r="M108" t="str">
        <f ca="1">OFFSET(Sheet2!O$4,(ROW(M109))*3,0)</f>
        <v>Nothing done</v>
      </c>
      <c r="N108" t="str">
        <f ca="1">OFFSET(Sheet2!P$4,(ROW(N109))*3,0)</f>
        <v>Nothing done, despite recommendation</v>
      </c>
      <c r="O108" t="str">
        <f ca="1">OFFSET(Sheet2!Q$4,(ROW(O109))*3,0)</f>
        <v>Nothing Done</v>
      </c>
      <c r="P108">
        <f ca="1">OFFSET(Sheet2!R$4,(ROW(P109))*3,0)</f>
        <v>0</v>
      </c>
      <c r="Q108">
        <f ca="1">OFFSET(Sheet2!S$4,(ROW(Q109))*3,0)</f>
        <v>0</v>
      </c>
      <c r="R108">
        <f ca="1">OFFSET(Sheet2!T$4,(ROW(R109))*3,0)</f>
        <v>0</v>
      </c>
      <c r="S108">
        <f ca="1">OFFSET(Sheet2!U$2,(ROW(S109))*3,0)</f>
        <v>0</v>
      </c>
      <c r="T108">
        <f ca="1">OFFSET(Sheet2!V$2,(ROW(T109))*3,0)</f>
        <v>0</v>
      </c>
    </row>
    <row r="109" spans="1:20" x14ac:dyDescent="0.35">
      <c r="A109">
        <f ca="1">OFFSET(Sheet2!B$4,(ROW(A110))*3,0)</f>
        <v>43841</v>
      </c>
      <c r="B109">
        <f ca="1">OFFSET(Sheet2!C$4,(ROW(B110))*3,0)</f>
        <v>20</v>
      </c>
      <c r="C109" t="str">
        <f ca="1">OFFSET(Sheet2!D$4,(ROW(C110))*3,0)</f>
        <v>South</v>
      </c>
      <c r="D109" t="str">
        <f ca="1">OFFSET(Sheet2!F$4,(ROW(D110))*3,0)</f>
        <v>MUKHWANA MOSES</v>
      </c>
      <c r="E109" t="str">
        <f ca="1">OFFSET(Sheet2!G$4,(ROW(E110))*3,0)</f>
        <v>H2Go</v>
      </c>
      <c r="F109">
        <f ca="1">OFFSET(Sheet2!H$4,(ROW(F110))*3,0)</f>
        <v>0</v>
      </c>
      <c r="G109" t="str">
        <f ca="1">OFFSET(Sheet2!I$4,(ROW(G110))*3,0)</f>
        <v>Comprehensive</v>
      </c>
      <c r="H109">
        <f ca="1">OFFSET(Sheet2!J$4,(ROW(H110))*3,0)</f>
        <v>95</v>
      </c>
      <c r="I109" t="str">
        <f ca="1">OFFSET(Sheet2!K$4,(ROW(I110))*3,0)</f>
        <v>Actions</v>
      </c>
      <c r="J109" t="str">
        <f ca="1">OFFSET(Sheet2!L$4,(ROW(J110))*3,0)</f>
        <v>changed</v>
      </c>
      <c r="K109" t="str">
        <f ca="1">OFFSET(Sheet2!M$4,(ROW(K110))*3,0)</f>
        <v>done</v>
      </c>
      <c r="L109" t="str">
        <f ca="1">OFFSET(Sheet2!N$4,(ROW(L110))*3,0)</f>
        <v>done</v>
      </c>
      <c r="M109" t="str">
        <f ca="1">OFFSET(Sheet2!O$4,(ROW(M110))*3,0)</f>
        <v>keep it up</v>
      </c>
      <c r="N109" t="str">
        <f ca="1">OFFSET(Sheet2!P$4,(ROW(N110))*3,0)</f>
        <v>keep it up</v>
      </c>
      <c r="O109" t="str">
        <f ca="1">OFFSET(Sheet2!Q$4,(ROW(O110))*3,0)</f>
        <v>keep it up</v>
      </c>
      <c r="P109" t="str">
        <f ca="1">OFFSET(Sheet2!R$4,(ROW(P110))*3,0)</f>
        <v>not done</v>
      </c>
      <c r="Q109" t="str">
        <f ca="1">OFFSET(Sheet2!S$4,(ROW(Q110))*3,0)</f>
        <v>good</v>
      </c>
      <c r="R109">
        <f ca="1">OFFSET(Sheet2!T$4,(ROW(R110))*3,0)</f>
        <v>0</v>
      </c>
      <c r="S109">
        <f ca="1">OFFSET(Sheet2!U$2,(ROW(S110))*3,0)</f>
        <v>0</v>
      </c>
      <c r="T109">
        <f ca="1">OFFSET(Sheet2!V$2,(ROW(T110))*3,0)</f>
        <v>0</v>
      </c>
    </row>
    <row r="110" spans="1:20" x14ac:dyDescent="0.35">
      <c r="A110">
        <f ca="1">OFFSET(Sheet2!B$4,(ROW(A111))*3,0)</f>
        <v>43848</v>
      </c>
      <c r="B110">
        <f ca="1">OFFSET(Sheet2!C$4,(ROW(B111))*3,0)</f>
        <v>20</v>
      </c>
      <c r="C110" t="str">
        <f ca="1">OFFSET(Sheet2!D$4,(ROW(C111))*3,0)</f>
        <v>South</v>
      </c>
      <c r="D110" t="str">
        <f ca="1">OFFSET(Sheet2!F$4,(ROW(D111))*3,0)</f>
        <v>MUKHWANA MOSES</v>
      </c>
      <c r="E110" t="str">
        <f ca="1">OFFSET(Sheet2!G$4,(ROW(E111))*3,0)</f>
        <v>H2Go</v>
      </c>
      <c r="F110">
        <f ca="1">OFFSET(Sheet2!H$4,(ROW(F111))*3,0)</f>
        <v>0</v>
      </c>
      <c r="G110" t="str">
        <f ca="1">OFFSET(Sheet2!I$4,(ROW(G111))*3,0)</f>
        <v>WEEKLY</v>
      </c>
      <c r="H110">
        <f ca="1">OFFSET(Sheet2!J$4,(ROW(H111))*3,0)</f>
        <v>33</v>
      </c>
      <c r="I110" t="str">
        <f ca="1">OFFSET(Sheet2!K$4,(ROW(I111))*3,0)</f>
        <v>Actions</v>
      </c>
      <c r="J110" t="str">
        <f ca="1">OFFSET(Sheet2!L$4,(ROW(J111))*3,0)</f>
        <v>changed</v>
      </c>
      <c r="K110" t="str">
        <f ca="1">OFFSET(Sheet2!M$4,(ROW(K111))*3,0)</f>
        <v>checked</v>
      </c>
      <c r="L110" t="str">
        <f ca="1">OFFSET(Sheet2!N$4,(ROW(L111))*3,0)</f>
        <v>keep it up</v>
      </c>
      <c r="M110" t="str">
        <f ca="1">OFFSET(Sheet2!O$4,(ROW(M111))*3,0)</f>
        <v>checked</v>
      </c>
      <c r="N110" t="str">
        <f ca="1">OFFSET(Sheet2!P$4,(ROW(N111))*3,0)</f>
        <v>keep it on</v>
      </c>
      <c r="O110" t="str">
        <f ca="1">OFFSET(Sheet2!Q$4,(ROW(O111))*3,0)</f>
        <v>keep it up</v>
      </c>
      <c r="P110">
        <f ca="1">OFFSET(Sheet2!R$4,(ROW(P111))*3,0)</f>
        <v>0</v>
      </c>
      <c r="Q110">
        <f ca="1">OFFSET(Sheet2!S$4,(ROW(Q111))*3,0)</f>
        <v>0</v>
      </c>
      <c r="R110">
        <f ca="1">OFFSET(Sheet2!T$4,(ROW(R111))*3,0)</f>
        <v>0</v>
      </c>
      <c r="S110">
        <f ca="1">OFFSET(Sheet2!U$2,(ROW(S111))*3,0)</f>
        <v>0</v>
      </c>
      <c r="T110">
        <f ca="1">OFFSET(Sheet2!V$2,(ROW(T111))*3,0)</f>
        <v>0</v>
      </c>
    </row>
    <row r="111" spans="1:20" x14ac:dyDescent="0.35">
      <c r="A111">
        <f ca="1">OFFSET(Sheet2!B$4,(ROW(A112))*3,0)</f>
        <v>43855</v>
      </c>
      <c r="B111">
        <f ca="1">OFFSET(Sheet2!C$4,(ROW(B112))*3,0)</f>
        <v>20</v>
      </c>
      <c r="C111" t="str">
        <f ca="1">OFFSET(Sheet2!D$4,(ROW(C112))*3,0)</f>
        <v>South</v>
      </c>
      <c r="D111" t="str">
        <f ca="1">OFFSET(Sheet2!F$4,(ROW(D112))*3,0)</f>
        <v>MUKHWANA MOSES</v>
      </c>
      <c r="E111" t="str">
        <f ca="1">OFFSET(Sheet2!G$4,(ROW(E112))*3,0)</f>
        <v>H2Go</v>
      </c>
      <c r="F111">
        <f ca="1">OFFSET(Sheet2!H$4,(ROW(F112))*3,0)</f>
        <v>0</v>
      </c>
      <c r="G111" t="str">
        <f ca="1">OFFSET(Sheet2!I$4,(ROW(G112))*3,0)</f>
        <v>WEEKLY</v>
      </c>
      <c r="H111">
        <f ca="1">OFFSET(Sheet2!J$4,(ROW(H112))*3,0)</f>
        <v>70</v>
      </c>
      <c r="I111" t="str">
        <f ca="1">OFFSET(Sheet2!K$4,(ROW(I112))*3,0)</f>
        <v>Actions</v>
      </c>
      <c r="J111" t="str">
        <f ca="1">OFFSET(Sheet2!L$4,(ROW(J112))*3,0)</f>
        <v>CHANGED</v>
      </c>
      <c r="K111" t="str">
        <f ca="1">OFFSET(Sheet2!M$4,(ROW(K112))*3,0)</f>
        <v>Keep it up</v>
      </c>
      <c r="L111" t="str">
        <f ca="1">OFFSET(Sheet2!N$4,(ROW(L112))*3,0)</f>
        <v>keep it up</v>
      </c>
      <c r="M111" t="str">
        <f ca="1">OFFSET(Sheet2!O$4,(ROW(M112))*3,0)</f>
        <v>DONE</v>
      </c>
      <c r="N111" t="str">
        <f ca="1">OFFSET(Sheet2!P$4,(ROW(N112))*3,0)</f>
        <v>keep it up</v>
      </c>
      <c r="O111" t="str">
        <f ca="1">OFFSET(Sheet2!Q$4,(ROW(O112))*3,0)</f>
        <v>DONE</v>
      </c>
      <c r="P111">
        <f ca="1">OFFSET(Sheet2!R$4,(ROW(P112))*3,0)</f>
        <v>0</v>
      </c>
      <c r="Q111">
        <f ca="1">OFFSET(Sheet2!S$4,(ROW(Q112))*3,0)</f>
        <v>0</v>
      </c>
      <c r="R111">
        <f ca="1">OFFSET(Sheet2!T$4,(ROW(R112))*3,0)</f>
        <v>0</v>
      </c>
      <c r="S111">
        <f ca="1">OFFSET(Sheet2!U$2,(ROW(S112))*3,0)</f>
        <v>0</v>
      </c>
      <c r="T111">
        <f ca="1">OFFSET(Sheet2!V$2,(ROW(T112))*3,0)</f>
        <v>0</v>
      </c>
    </row>
    <row r="112" spans="1:20" x14ac:dyDescent="0.35">
      <c r="A112">
        <f ca="1">OFFSET(Sheet2!B$4,(ROW(A113))*3,0)</f>
        <v>43862</v>
      </c>
      <c r="B112">
        <f ca="1">OFFSET(Sheet2!C$4,(ROW(B113))*3,0)</f>
        <v>20</v>
      </c>
      <c r="C112" t="str">
        <f ca="1">OFFSET(Sheet2!D$4,(ROW(C113))*3,0)</f>
        <v>South</v>
      </c>
      <c r="D112" t="str">
        <f ca="1">OFFSET(Sheet2!F$4,(ROW(D113))*3,0)</f>
        <v>MUKHWANA MOSES</v>
      </c>
      <c r="E112" t="str">
        <f ca="1">OFFSET(Sheet2!G$4,(ROW(E113))*3,0)</f>
        <v>H2Go</v>
      </c>
      <c r="F112">
        <f ca="1">OFFSET(Sheet2!H$4,(ROW(F113))*3,0)</f>
        <v>0</v>
      </c>
      <c r="G112" t="str">
        <f ca="1">OFFSET(Sheet2!I$4,(ROW(G113))*3,0)</f>
        <v>WEEKLY</v>
      </c>
      <c r="H112">
        <f ca="1">OFFSET(Sheet2!J$4,(ROW(H113))*3,0)</f>
        <v>80</v>
      </c>
      <c r="I112" t="str">
        <f ca="1">OFFSET(Sheet2!K$4,(ROW(I113))*3,0)</f>
        <v>Actions</v>
      </c>
      <c r="J112" t="str">
        <f ca="1">OFFSET(Sheet2!L$4,(ROW(J113))*3,0)</f>
        <v>DONE</v>
      </c>
      <c r="K112" t="str">
        <f ca="1">OFFSET(Sheet2!M$4,(ROW(K113))*3,0)</f>
        <v>KEEP IT UP</v>
      </c>
      <c r="L112" t="str">
        <f ca="1">OFFSET(Sheet2!N$4,(ROW(L113))*3,0)</f>
        <v>DONE</v>
      </c>
      <c r="M112" t="str">
        <f ca="1">OFFSET(Sheet2!O$4,(ROW(M113))*3,0)</f>
        <v>KEEP IT ON</v>
      </c>
      <c r="N112" t="str">
        <f ca="1">OFFSET(Sheet2!P$4,(ROW(N113))*3,0)</f>
        <v>KEEP IT UP</v>
      </c>
      <c r="O112" t="str">
        <f ca="1">OFFSET(Sheet2!Q$4,(ROW(O113))*3,0)</f>
        <v>KEEP IT UP</v>
      </c>
      <c r="P112">
        <f ca="1">OFFSET(Sheet2!R$4,(ROW(P113))*3,0)</f>
        <v>0</v>
      </c>
      <c r="Q112">
        <f ca="1">OFFSET(Sheet2!S$4,(ROW(Q113))*3,0)</f>
        <v>0</v>
      </c>
      <c r="R112">
        <f ca="1">OFFSET(Sheet2!T$4,(ROW(R113))*3,0)</f>
        <v>0</v>
      </c>
      <c r="S112">
        <f ca="1">OFFSET(Sheet2!U$2,(ROW(S113))*3,0)</f>
        <v>0</v>
      </c>
      <c r="T112">
        <f ca="1">OFFSET(Sheet2!V$2,(ROW(T113))*3,0)</f>
        <v>0</v>
      </c>
    </row>
    <row r="113" spans="1:20" x14ac:dyDescent="0.35">
      <c r="A113">
        <f ca="1">OFFSET(Sheet2!B$4,(ROW(A114))*3,0)</f>
        <v>43869</v>
      </c>
      <c r="B113">
        <f ca="1">OFFSET(Sheet2!C$4,(ROW(B114))*3,0)</f>
        <v>20</v>
      </c>
      <c r="C113" t="str">
        <f ca="1">OFFSET(Sheet2!D$4,(ROW(C114))*3,0)</f>
        <v>South</v>
      </c>
      <c r="D113" t="str">
        <f ca="1">OFFSET(Sheet2!F$4,(ROW(D114))*3,0)</f>
        <v>MUKHWANA MOSES</v>
      </c>
      <c r="E113" t="str">
        <f ca="1">OFFSET(Sheet2!G$4,(ROW(E114))*3,0)</f>
        <v>H2Go</v>
      </c>
      <c r="F113">
        <f ca="1">OFFSET(Sheet2!H$4,(ROW(F114))*3,0)</f>
        <v>0</v>
      </c>
      <c r="G113" t="str">
        <f ca="1">OFFSET(Sheet2!I$4,(ROW(G114))*3,0)</f>
        <v>WEEKLY</v>
      </c>
      <c r="H113">
        <f ca="1">OFFSET(Sheet2!J$4,(ROW(H114))*3,0)</f>
        <v>116</v>
      </c>
      <c r="I113" t="str">
        <f ca="1">OFFSET(Sheet2!K$4,(ROW(I114))*3,0)</f>
        <v>Actions</v>
      </c>
      <c r="J113" t="str">
        <f ca="1">OFFSET(Sheet2!L$4,(ROW(J114))*3,0)</f>
        <v>CHANGED</v>
      </c>
      <c r="K113" t="str">
        <f ca="1">OFFSET(Sheet2!M$4,(ROW(K114))*3,0)</f>
        <v>CHECKED</v>
      </c>
      <c r="L113" t="str">
        <f ca="1">OFFSET(Sheet2!N$4,(ROW(L114))*3,0)</f>
        <v>GOOD</v>
      </c>
      <c r="M113" t="str">
        <f ca="1">OFFSET(Sheet2!O$4,(ROW(M114))*3,0)</f>
        <v>GOOD</v>
      </c>
      <c r="N113" t="str">
        <f ca="1">OFFSET(Sheet2!P$4,(ROW(N114))*3,0)</f>
        <v>GOOD</v>
      </c>
      <c r="O113" t="str">
        <f ca="1">OFFSET(Sheet2!Q$4,(ROW(O114))*3,0)</f>
        <v>GOOD</v>
      </c>
      <c r="P113">
        <f ca="1">OFFSET(Sheet2!R$4,(ROW(P114))*3,0)</f>
        <v>0</v>
      </c>
      <c r="Q113">
        <f ca="1">OFFSET(Sheet2!S$4,(ROW(Q114))*3,0)</f>
        <v>0</v>
      </c>
      <c r="R113">
        <f ca="1">OFFSET(Sheet2!T$4,(ROW(R114))*3,0)</f>
        <v>0</v>
      </c>
      <c r="S113">
        <f ca="1">OFFSET(Sheet2!U$2,(ROW(S114))*3,0)</f>
        <v>0</v>
      </c>
      <c r="T113">
        <f ca="1">OFFSET(Sheet2!V$2,(ROW(T114))*3,0)</f>
        <v>0</v>
      </c>
    </row>
    <row r="114" spans="1:20" x14ac:dyDescent="0.35">
      <c r="A114">
        <f ca="1">OFFSET(Sheet2!B$4,(ROW(A115))*3,0)</f>
        <v>43876</v>
      </c>
      <c r="B114">
        <f ca="1">OFFSET(Sheet2!C$4,(ROW(B115))*3,0)</f>
        <v>20</v>
      </c>
      <c r="C114" t="str">
        <f ca="1">OFFSET(Sheet2!D$4,(ROW(C115))*3,0)</f>
        <v>South</v>
      </c>
      <c r="D114" t="str">
        <f ca="1">OFFSET(Sheet2!F$4,(ROW(D115))*3,0)</f>
        <v>MUKHWANA MOSES</v>
      </c>
      <c r="E114" t="str">
        <f ca="1">OFFSET(Sheet2!G$4,(ROW(E115))*3,0)</f>
        <v>H2Go</v>
      </c>
      <c r="F114">
        <f ca="1">OFFSET(Sheet2!H$4,(ROW(F115))*3,0)</f>
        <v>0</v>
      </c>
      <c r="G114" t="str">
        <f ca="1">OFFSET(Sheet2!I$4,(ROW(G115))*3,0)</f>
        <v>WEEKLY</v>
      </c>
      <c r="H114">
        <f ca="1">OFFSET(Sheet2!J$4,(ROW(H115))*3,0)</f>
        <v>127</v>
      </c>
      <c r="I114" t="str">
        <f ca="1">OFFSET(Sheet2!K$4,(ROW(I115))*3,0)</f>
        <v>Actions</v>
      </c>
      <c r="J114" t="str">
        <f ca="1">OFFSET(Sheet2!L$4,(ROW(J115))*3,0)</f>
        <v>CHANGED</v>
      </c>
      <c r="K114" t="str">
        <f ca="1">OFFSET(Sheet2!M$4,(ROW(K115))*3,0)</f>
        <v>CHECKED</v>
      </c>
      <c r="L114" t="str">
        <f ca="1">OFFSET(Sheet2!N$4,(ROW(L115))*3,0)</f>
        <v>CHECKED</v>
      </c>
      <c r="M114" t="str">
        <f ca="1">OFFSET(Sheet2!O$4,(ROW(M115))*3,0)</f>
        <v>CLEANED</v>
      </c>
      <c r="N114" t="str">
        <f ca="1">OFFSET(Sheet2!P$4,(ROW(N115))*3,0)</f>
        <v>CHECKED</v>
      </c>
      <c r="O114" t="str">
        <f ca="1">OFFSET(Sheet2!Q$4,(ROW(O115))*3,0)</f>
        <v>CHECKED</v>
      </c>
      <c r="P114">
        <f ca="1">OFFSET(Sheet2!R$4,(ROW(P115))*3,0)</f>
        <v>0</v>
      </c>
      <c r="Q114">
        <f ca="1">OFFSET(Sheet2!S$4,(ROW(Q115))*3,0)</f>
        <v>0</v>
      </c>
      <c r="R114">
        <f ca="1">OFFSET(Sheet2!T$4,(ROW(R115))*3,0)</f>
        <v>0</v>
      </c>
      <c r="S114">
        <f ca="1">OFFSET(Sheet2!U$2,(ROW(S115))*3,0)</f>
        <v>0</v>
      </c>
      <c r="T114">
        <f ca="1">OFFSET(Sheet2!V$2,(ROW(T115))*3,0)</f>
        <v>0</v>
      </c>
    </row>
    <row r="115" spans="1:20" x14ac:dyDescent="0.35">
      <c r="A115">
        <f ca="1">OFFSET(Sheet2!B$4,(ROW(A116))*3,0)</f>
        <v>43885</v>
      </c>
      <c r="B115">
        <f ca="1">OFFSET(Sheet2!C$4,(ROW(B116))*3,0)</f>
        <v>20</v>
      </c>
      <c r="C115" t="str">
        <f ca="1">OFFSET(Sheet2!D$4,(ROW(C116))*3,0)</f>
        <v>South</v>
      </c>
      <c r="D115" t="str">
        <f ca="1">OFFSET(Sheet2!F$4,(ROW(D116))*3,0)</f>
        <v>MUKHWANA MOSES</v>
      </c>
      <c r="E115" t="str">
        <f ca="1">OFFSET(Sheet2!G$4,(ROW(E116))*3,0)</f>
        <v>H2Go</v>
      </c>
      <c r="F115">
        <f ca="1">OFFSET(Sheet2!H$4,(ROW(F116))*3,0)</f>
        <v>0</v>
      </c>
      <c r="G115" t="str">
        <f ca="1">OFFSET(Sheet2!I$4,(ROW(G116))*3,0)</f>
        <v>WEEKLY</v>
      </c>
      <c r="H115">
        <f ca="1">OFFSET(Sheet2!J$4,(ROW(H116))*3,0)</f>
        <v>134</v>
      </c>
      <c r="I115" t="str">
        <f ca="1">OFFSET(Sheet2!K$4,(ROW(I116))*3,0)</f>
        <v>Actions</v>
      </c>
      <c r="J115" t="str">
        <f ca="1">OFFSET(Sheet2!L$4,(ROW(J116))*3,0)</f>
        <v>Chagned</v>
      </c>
      <c r="K115" t="str">
        <f ca="1">OFFSET(Sheet2!M$4,(ROW(K116))*3,0)</f>
        <v>Nothing done</v>
      </c>
      <c r="L115" t="str">
        <f ca="1">OFFSET(Sheet2!N$4,(ROW(L116))*3,0)</f>
        <v>Aligned/adjusted</v>
      </c>
      <c r="M115" t="str">
        <f ca="1">OFFSET(Sheet2!O$4,(ROW(M116))*3,0)</f>
        <v>Nothing done</v>
      </c>
      <c r="N115" t="str">
        <f ca="1">OFFSET(Sheet2!P$4,(ROW(N116))*3,0)</f>
        <v>Nothing done</v>
      </c>
      <c r="O115" t="str">
        <f ca="1">OFFSET(Sheet2!Q$4,(ROW(O116))*3,0)</f>
        <v>Nothing Done</v>
      </c>
      <c r="P115">
        <f ca="1">OFFSET(Sheet2!R$4,(ROW(P116))*3,0)</f>
        <v>0</v>
      </c>
      <c r="Q115">
        <f ca="1">OFFSET(Sheet2!S$4,(ROW(Q116))*3,0)</f>
        <v>0</v>
      </c>
      <c r="R115">
        <f ca="1">OFFSET(Sheet2!T$4,(ROW(R116))*3,0)</f>
        <v>0</v>
      </c>
      <c r="S115">
        <f ca="1">OFFSET(Sheet2!U$2,(ROW(S116))*3,0)</f>
        <v>0</v>
      </c>
      <c r="T115">
        <f ca="1">OFFSET(Sheet2!V$2,(ROW(T116))*3,0)</f>
        <v>0</v>
      </c>
    </row>
    <row r="116" spans="1:20" x14ac:dyDescent="0.35">
      <c r="A116">
        <f ca="1">OFFSET(Sheet2!B$4,(ROW(A117))*3,0)</f>
        <v>43892</v>
      </c>
      <c r="B116">
        <f ca="1">OFFSET(Sheet2!C$4,(ROW(B117))*3,0)</f>
        <v>20</v>
      </c>
      <c r="C116" t="str">
        <f ca="1">OFFSET(Sheet2!D$4,(ROW(C117))*3,0)</f>
        <v>South</v>
      </c>
      <c r="D116" t="str">
        <f ca="1">OFFSET(Sheet2!F$4,(ROW(D117))*3,0)</f>
        <v>MUKHWANA MOSES</v>
      </c>
      <c r="E116" t="str">
        <f ca="1">OFFSET(Sheet2!G$4,(ROW(E117))*3,0)</f>
        <v>H2GO</v>
      </c>
      <c r="F116">
        <f ca="1">OFFSET(Sheet2!H$4,(ROW(F117))*3,0)</f>
        <v>0</v>
      </c>
      <c r="G116" t="str">
        <f ca="1">OFFSET(Sheet2!I$4,(ROW(G117))*3,0)</f>
        <v>WEEKLY</v>
      </c>
      <c r="H116">
        <f ca="1">OFFSET(Sheet2!J$4,(ROW(H117))*3,0)</f>
        <v>139</v>
      </c>
      <c r="I116" t="str">
        <f ca="1">OFFSET(Sheet2!K$4,(ROW(I117))*3,0)</f>
        <v>Actions</v>
      </c>
      <c r="J116" t="str">
        <f ca="1">OFFSET(Sheet2!L$4,(ROW(J117))*3,0)</f>
        <v>Chagned</v>
      </c>
      <c r="K116" t="str">
        <f ca="1">OFFSET(Sheet2!M$4,(ROW(K117))*3,0)</f>
        <v>Carberator was cleaned</v>
      </c>
      <c r="L116" t="str">
        <f ca="1">OFFSET(Sheet2!N$4,(ROW(L117))*3,0)</f>
        <v>Aligned/adjusted</v>
      </c>
      <c r="M116" t="str">
        <f ca="1">OFFSET(Sheet2!O$4,(ROW(M117))*3,0)</f>
        <v>Nothing done</v>
      </c>
      <c r="N116" t="str">
        <f ca="1">OFFSET(Sheet2!P$4,(ROW(N117))*3,0)</f>
        <v>Nothing done</v>
      </c>
      <c r="O116" t="str">
        <f ca="1">OFFSET(Sheet2!Q$4,(ROW(O117))*3,0)</f>
        <v>Nothing done, despite recommendation</v>
      </c>
      <c r="P116">
        <f ca="1">OFFSET(Sheet2!R$4,(ROW(P117))*3,0)</f>
        <v>0</v>
      </c>
      <c r="Q116">
        <f ca="1">OFFSET(Sheet2!S$4,(ROW(Q117))*3,0)</f>
        <v>0</v>
      </c>
      <c r="R116">
        <f ca="1">OFFSET(Sheet2!T$4,(ROW(R117))*3,0)</f>
        <v>0</v>
      </c>
      <c r="S116">
        <f ca="1">OFFSET(Sheet2!U$2,(ROW(S117))*3,0)</f>
        <v>0</v>
      </c>
      <c r="T116">
        <f ca="1">OFFSET(Sheet2!V$2,(ROW(T117))*3,0)</f>
        <v>0</v>
      </c>
    </row>
    <row r="117" spans="1:20" x14ac:dyDescent="0.35">
      <c r="A117">
        <f ca="1">OFFSET(Sheet2!B$4,(ROW(A118))*3,0)</f>
        <v>43899</v>
      </c>
      <c r="B117">
        <f ca="1">OFFSET(Sheet2!C$4,(ROW(B118))*3,0)</f>
        <v>20</v>
      </c>
      <c r="C117" t="str">
        <f ca="1">OFFSET(Sheet2!D$4,(ROW(C118))*3,0)</f>
        <v>South</v>
      </c>
      <c r="D117" t="str">
        <f ca="1">OFFSET(Sheet2!F$4,(ROW(D118))*3,0)</f>
        <v>MUKHWANA MOSES</v>
      </c>
      <c r="E117" t="str">
        <f ca="1">OFFSET(Sheet2!G$4,(ROW(E118))*3,0)</f>
        <v>H2GO</v>
      </c>
      <c r="F117">
        <f ca="1">OFFSET(Sheet2!H$4,(ROW(F118))*3,0)</f>
        <v>0</v>
      </c>
      <c r="G117" t="str">
        <f ca="1">OFFSET(Sheet2!I$4,(ROW(G118))*3,0)</f>
        <v>WEEKLY</v>
      </c>
      <c r="H117">
        <f ca="1">OFFSET(Sheet2!J$4,(ROW(H118))*3,0)</f>
        <v>173</v>
      </c>
      <c r="I117" t="str">
        <f ca="1">OFFSET(Sheet2!K$4,(ROW(I118))*3,0)</f>
        <v>Actions</v>
      </c>
      <c r="J117" t="str">
        <f ca="1">OFFSET(Sheet2!L$4,(ROW(J118))*3,0)</f>
        <v>Chagned</v>
      </c>
      <c r="K117" t="str">
        <f ca="1">OFFSET(Sheet2!M$4,(ROW(K118))*3,0)</f>
        <v>Nothing done</v>
      </c>
      <c r="L117" t="str">
        <f ca="1">OFFSET(Sheet2!N$4,(ROW(L118))*3,0)</f>
        <v>Nothing done</v>
      </c>
      <c r="M117" t="str">
        <f ca="1">OFFSET(Sheet2!O$4,(ROW(M118))*3,0)</f>
        <v>Nothing done, despite recommendation</v>
      </c>
      <c r="N117" t="str">
        <f ca="1">OFFSET(Sheet2!P$4,(ROW(N118))*3,0)</f>
        <v>Nothing done, despite recommendation</v>
      </c>
      <c r="O117" t="str">
        <f ca="1">OFFSET(Sheet2!Q$4,(ROW(O118))*3,0)</f>
        <v>Nothing Done</v>
      </c>
      <c r="P117">
        <f ca="1">OFFSET(Sheet2!R$4,(ROW(P118))*3,0)</f>
        <v>0</v>
      </c>
      <c r="Q117">
        <f ca="1">OFFSET(Sheet2!S$4,(ROW(Q118))*3,0)</f>
        <v>0</v>
      </c>
      <c r="R117">
        <f ca="1">OFFSET(Sheet2!T$4,(ROW(R118))*3,0)</f>
        <v>0</v>
      </c>
      <c r="S117">
        <f ca="1">OFFSET(Sheet2!U$2,(ROW(S118))*3,0)</f>
        <v>0</v>
      </c>
      <c r="T117">
        <f ca="1">OFFSET(Sheet2!V$2,(ROW(T118))*3,0)</f>
        <v>0</v>
      </c>
    </row>
    <row r="118" spans="1:20" x14ac:dyDescent="0.35">
      <c r="A118">
        <f ca="1">OFFSET(Sheet2!B$4,(ROW(A119))*3,0)</f>
        <v>43841</v>
      </c>
      <c r="B118">
        <f ca="1">OFFSET(Sheet2!C$4,(ROW(B119))*3,0)</f>
        <v>21</v>
      </c>
      <c r="C118" t="str">
        <f ca="1">OFFSET(Sheet2!D$4,(ROW(C119))*3,0)</f>
        <v>South</v>
      </c>
      <c r="D118" t="str">
        <f ca="1">OFFSET(Sheet2!F$4,(ROW(D119))*3,0)</f>
        <v>WAMBEDE MUSA</v>
      </c>
      <c r="E118" t="str">
        <f ca="1">OFFSET(Sheet2!G$4,(ROW(E119))*3,0)</f>
        <v>H2Go</v>
      </c>
      <c r="F118">
        <f ca="1">OFFSET(Sheet2!H$4,(ROW(F119))*3,0)</f>
        <v>0</v>
      </c>
      <c r="G118" t="str">
        <f ca="1">OFFSET(Sheet2!I$4,(ROW(G119))*3,0)</f>
        <v>Comprehensive</v>
      </c>
      <c r="H118">
        <f ca="1">OFFSET(Sheet2!J$4,(ROW(H119))*3,0)</f>
        <v>91</v>
      </c>
      <c r="I118" t="str">
        <f ca="1">OFFSET(Sheet2!K$4,(ROW(I119))*3,0)</f>
        <v>Actions</v>
      </c>
      <c r="J118" t="str">
        <f ca="1">OFFSET(Sheet2!L$4,(ROW(J119))*3,0)</f>
        <v>changed</v>
      </c>
      <c r="K118" t="str">
        <f ca="1">OFFSET(Sheet2!M$4,(ROW(K119))*3,0)</f>
        <v>Keep it up</v>
      </c>
      <c r="L118" t="str">
        <f ca="1">OFFSET(Sheet2!N$4,(ROW(L119))*3,0)</f>
        <v>keep it up</v>
      </c>
      <c r="M118" t="str">
        <f ca="1">OFFSET(Sheet2!O$4,(ROW(M119))*3,0)</f>
        <v>keep it up</v>
      </c>
      <c r="N118" t="str">
        <f ca="1">OFFSET(Sheet2!P$4,(ROW(N119))*3,0)</f>
        <v>keep it up</v>
      </c>
      <c r="O118" t="str">
        <f ca="1">OFFSET(Sheet2!Q$4,(ROW(O119))*3,0)</f>
        <v>keep it up</v>
      </c>
      <c r="P118" t="str">
        <f ca="1">OFFSET(Sheet2!R$4,(ROW(P119))*3,0)</f>
        <v>continue like that</v>
      </c>
      <c r="Q118" t="str">
        <f ca="1">OFFSET(Sheet2!S$4,(ROW(Q119))*3,0)</f>
        <v>keep it up</v>
      </c>
      <c r="R118" t="str">
        <f ca="1">OFFSET(Sheet2!T$4,(ROW(R119))*3,0)</f>
        <v>keep it on</v>
      </c>
      <c r="S118">
        <f ca="1">OFFSET(Sheet2!U$2,(ROW(S119))*3,0)</f>
        <v>0</v>
      </c>
      <c r="T118">
        <f ca="1">OFFSET(Sheet2!V$2,(ROW(T119))*3,0)</f>
        <v>0</v>
      </c>
    </row>
    <row r="119" spans="1:20" x14ac:dyDescent="0.35">
      <c r="A119">
        <f ca="1">OFFSET(Sheet2!B$4,(ROW(A120))*3,0)</f>
        <v>43848</v>
      </c>
      <c r="B119">
        <f ca="1">OFFSET(Sheet2!C$4,(ROW(B120))*3,0)</f>
        <v>21</v>
      </c>
      <c r="C119" t="str">
        <f ca="1">OFFSET(Sheet2!D$4,(ROW(C120))*3,0)</f>
        <v>South</v>
      </c>
      <c r="D119" t="str">
        <f ca="1">OFFSET(Sheet2!F$4,(ROW(D120))*3,0)</f>
        <v>WAMBEDE MUSA</v>
      </c>
      <c r="E119" t="str">
        <f ca="1">OFFSET(Sheet2!G$4,(ROW(E120))*3,0)</f>
        <v>H2Go</v>
      </c>
      <c r="F119">
        <f ca="1">OFFSET(Sheet2!H$4,(ROW(F120))*3,0)</f>
        <v>0</v>
      </c>
      <c r="G119" t="str">
        <f ca="1">OFFSET(Sheet2!I$4,(ROW(G120))*3,0)</f>
        <v>WEEKLY</v>
      </c>
      <c r="H119">
        <f ca="1">OFFSET(Sheet2!J$4,(ROW(H120))*3,0)</f>
        <v>99</v>
      </c>
      <c r="I119" t="str">
        <f ca="1">OFFSET(Sheet2!K$4,(ROW(I120))*3,0)</f>
        <v>Actions</v>
      </c>
      <c r="J119" t="str">
        <f ca="1">OFFSET(Sheet2!L$4,(ROW(J120))*3,0)</f>
        <v>change</v>
      </c>
      <c r="K119" t="str">
        <f ca="1">OFFSET(Sheet2!M$4,(ROW(K120))*3,0)</f>
        <v>Keep it up</v>
      </c>
      <c r="L119" t="str">
        <f ca="1">OFFSET(Sheet2!N$4,(ROW(L120))*3,0)</f>
        <v>done</v>
      </c>
      <c r="M119" t="str">
        <f ca="1">OFFSET(Sheet2!O$4,(ROW(M120))*3,0)</f>
        <v>keep it up</v>
      </c>
      <c r="N119" t="str">
        <f ca="1">OFFSET(Sheet2!P$4,(ROW(N120))*3,0)</f>
        <v>changed</v>
      </c>
      <c r="O119" t="str">
        <f ca="1">OFFSET(Sheet2!Q$4,(ROW(O120))*3,0)</f>
        <v>keep it up</v>
      </c>
      <c r="P119">
        <f ca="1">OFFSET(Sheet2!R$4,(ROW(P120))*3,0)</f>
        <v>0</v>
      </c>
      <c r="Q119">
        <f ca="1">OFFSET(Sheet2!S$4,(ROW(Q120))*3,0)</f>
        <v>0</v>
      </c>
      <c r="R119">
        <f ca="1">OFFSET(Sheet2!T$4,(ROW(R120))*3,0)</f>
        <v>0</v>
      </c>
      <c r="S119">
        <f ca="1">OFFSET(Sheet2!U$2,(ROW(S120))*3,0)</f>
        <v>0</v>
      </c>
      <c r="T119">
        <f ca="1">OFFSET(Sheet2!V$2,(ROW(T120))*3,0)</f>
        <v>0</v>
      </c>
    </row>
    <row r="120" spans="1:20" x14ac:dyDescent="0.35">
      <c r="A120">
        <f ca="1">OFFSET(Sheet2!B$4,(ROW(A121))*3,0)</f>
        <v>43855</v>
      </c>
      <c r="B120">
        <f ca="1">OFFSET(Sheet2!C$4,(ROW(B121))*3,0)</f>
        <v>21</v>
      </c>
      <c r="C120" t="str">
        <f ca="1">OFFSET(Sheet2!D$4,(ROW(C121))*3,0)</f>
        <v>South</v>
      </c>
      <c r="D120" t="str">
        <f ca="1">OFFSET(Sheet2!F$4,(ROW(D121))*3,0)</f>
        <v>WAMBEDE MUSA</v>
      </c>
      <c r="E120" t="str">
        <f ca="1">OFFSET(Sheet2!G$4,(ROW(E121))*3,0)</f>
        <v>H2Go</v>
      </c>
      <c r="F120">
        <f ca="1">OFFSET(Sheet2!H$4,(ROW(F121))*3,0)</f>
        <v>0</v>
      </c>
      <c r="G120" t="str">
        <f ca="1">OFFSET(Sheet2!I$4,(ROW(G121))*3,0)</f>
        <v>WEEKLY</v>
      </c>
      <c r="H120">
        <f ca="1">OFFSET(Sheet2!J$4,(ROW(H121))*3,0)</f>
        <v>31</v>
      </c>
      <c r="I120" t="str">
        <f ca="1">OFFSET(Sheet2!K$4,(ROW(I121))*3,0)</f>
        <v>Actions</v>
      </c>
      <c r="J120" t="str">
        <f ca="1">OFFSET(Sheet2!L$4,(ROW(J121))*3,0)</f>
        <v>CHNGED</v>
      </c>
      <c r="K120" t="str">
        <f ca="1">OFFSET(Sheet2!M$4,(ROW(K121))*3,0)</f>
        <v>DONE</v>
      </c>
      <c r="L120" t="str">
        <f ca="1">OFFSET(Sheet2!N$4,(ROW(L121))*3,0)</f>
        <v>DONE</v>
      </c>
      <c r="M120" t="str">
        <f ca="1">OFFSET(Sheet2!O$4,(ROW(M121))*3,0)</f>
        <v>KEEP IT ON</v>
      </c>
      <c r="N120" t="str">
        <f ca="1">OFFSET(Sheet2!P$4,(ROW(N121))*3,0)</f>
        <v>KEEP IT UP</v>
      </c>
      <c r="O120" t="str">
        <f ca="1">OFFSET(Sheet2!Q$4,(ROW(O121))*3,0)</f>
        <v>done and replace</v>
      </c>
      <c r="P120">
        <f ca="1">OFFSET(Sheet2!R$4,(ROW(P121))*3,0)</f>
        <v>0</v>
      </c>
      <c r="Q120">
        <f ca="1">OFFSET(Sheet2!S$4,(ROW(Q121))*3,0)</f>
        <v>0</v>
      </c>
      <c r="R120">
        <f ca="1">OFFSET(Sheet2!T$4,(ROW(R121))*3,0)</f>
        <v>0</v>
      </c>
      <c r="S120">
        <f ca="1">OFFSET(Sheet2!U$2,(ROW(S121))*3,0)</f>
        <v>0</v>
      </c>
      <c r="T120">
        <f ca="1">OFFSET(Sheet2!V$2,(ROW(T121))*3,0)</f>
        <v>0</v>
      </c>
    </row>
    <row r="121" spans="1:20" x14ac:dyDescent="0.35">
      <c r="A121">
        <f ca="1">OFFSET(Sheet2!B$4,(ROW(A122))*3,0)</f>
        <v>43862</v>
      </c>
      <c r="B121">
        <f ca="1">OFFSET(Sheet2!C$4,(ROW(B122))*3,0)</f>
        <v>21</v>
      </c>
      <c r="C121" t="str">
        <f ca="1">OFFSET(Sheet2!D$4,(ROW(C122))*3,0)</f>
        <v>South</v>
      </c>
      <c r="D121" t="str">
        <f ca="1">OFFSET(Sheet2!F$4,(ROW(D122))*3,0)</f>
        <v>WAMBEDE MUSA</v>
      </c>
      <c r="E121" t="str">
        <f ca="1">OFFSET(Sheet2!G$4,(ROW(E122))*3,0)</f>
        <v>H2Go</v>
      </c>
      <c r="F121">
        <f ca="1">OFFSET(Sheet2!H$4,(ROW(F122))*3,0)</f>
        <v>0</v>
      </c>
      <c r="G121" t="str">
        <f ca="1">OFFSET(Sheet2!I$4,(ROW(G122))*3,0)</f>
        <v>WEEKLY</v>
      </c>
      <c r="H121">
        <f ca="1">OFFSET(Sheet2!J$4,(ROW(H122))*3,0)</f>
        <v>81</v>
      </c>
      <c r="I121" t="str">
        <f ca="1">OFFSET(Sheet2!K$4,(ROW(I122))*3,0)</f>
        <v>Actions</v>
      </c>
      <c r="J121" t="str">
        <f ca="1">OFFSET(Sheet2!L$4,(ROW(J122))*3,0)</f>
        <v>DONE</v>
      </c>
      <c r="K121" t="str">
        <f ca="1">OFFSET(Sheet2!M$4,(ROW(K122))*3,0)</f>
        <v>KEEP IT UP</v>
      </c>
      <c r="L121" t="str">
        <f ca="1">OFFSET(Sheet2!N$4,(ROW(L122))*3,0)</f>
        <v>KEEP IT ON</v>
      </c>
      <c r="M121" t="str">
        <f ca="1">OFFSET(Sheet2!O$4,(ROW(M122))*3,0)</f>
        <v>KEEP IT UP</v>
      </c>
      <c r="N121" t="str">
        <f ca="1">OFFSET(Sheet2!P$4,(ROW(N122))*3,0)</f>
        <v>KEEP IT UP</v>
      </c>
      <c r="O121" t="str">
        <f ca="1">OFFSET(Sheet2!Q$4,(ROW(O122))*3,0)</f>
        <v>DONE</v>
      </c>
      <c r="P121">
        <f ca="1">OFFSET(Sheet2!R$4,(ROW(P122))*3,0)</f>
        <v>0</v>
      </c>
      <c r="Q121">
        <f ca="1">OFFSET(Sheet2!S$4,(ROW(Q122))*3,0)</f>
        <v>0</v>
      </c>
      <c r="R121">
        <f ca="1">OFFSET(Sheet2!T$4,(ROW(R122))*3,0)</f>
        <v>0</v>
      </c>
      <c r="S121">
        <f ca="1">OFFSET(Sheet2!U$2,(ROW(S122))*3,0)</f>
        <v>0</v>
      </c>
      <c r="T121">
        <f ca="1">OFFSET(Sheet2!V$2,(ROW(T122))*3,0)</f>
        <v>0</v>
      </c>
    </row>
    <row r="122" spans="1:20" x14ac:dyDescent="0.35">
      <c r="A122">
        <f ca="1">OFFSET(Sheet2!B$4,(ROW(A123))*3,0)</f>
        <v>43869</v>
      </c>
      <c r="B122">
        <f ca="1">OFFSET(Sheet2!C$4,(ROW(B123))*3,0)</f>
        <v>21</v>
      </c>
      <c r="C122" t="str">
        <f ca="1">OFFSET(Sheet2!D$4,(ROW(C123))*3,0)</f>
        <v>South</v>
      </c>
      <c r="D122" t="str">
        <f ca="1">OFFSET(Sheet2!F$4,(ROW(D123))*3,0)</f>
        <v>WAMBEDE MUSA</v>
      </c>
      <c r="E122" t="str">
        <f ca="1">OFFSET(Sheet2!G$4,(ROW(E123))*3,0)</f>
        <v>H2Go</v>
      </c>
      <c r="F122">
        <f ca="1">OFFSET(Sheet2!H$4,(ROW(F123))*3,0)</f>
        <v>0</v>
      </c>
      <c r="G122" t="str">
        <f ca="1">OFFSET(Sheet2!I$4,(ROW(G123))*3,0)</f>
        <v>WEEKLY</v>
      </c>
      <c r="H122">
        <f ca="1">OFFSET(Sheet2!J$4,(ROW(H123))*3,0)</f>
        <v>199</v>
      </c>
      <c r="I122" t="str">
        <f ca="1">OFFSET(Sheet2!K$4,(ROW(I123))*3,0)</f>
        <v>Actions</v>
      </c>
      <c r="J122" t="str">
        <f ca="1">OFFSET(Sheet2!L$4,(ROW(J123))*3,0)</f>
        <v>CHANGED</v>
      </c>
      <c r="K122" t="str">
        <f ca="1">OFFSET(Sheet2!M$4,(ROW(K123))*3,0)</f>
        <v>KEEP IT ON</v>
      </c>
      <c r="L122" t="str">
        <f ca="1">OFFSET(Sheet2!N$4,(ROW(L123))*3,0)</f>
        <v>keep it up</v>
      </c>
      <c r="M122" t="str">
        <f ca="1">OFFSET(Sheet2!O$4,(ROW(M123))*3,0)</f>
        <v>keep it up</v>
      </c>
      <c r="N122" t="str">
        <f ca="1">OFFSET(Sheet2!P$4,(ROW(N123))*3,0)</f>
        <v>Keep it clean</v>
      </c>
      <c r="O122" t="str">
        <f ca="1">OFFSET(Sheet2!Q$4,(ROW(O123))*3,0)</f>
        <v>Keep it up</v>
      </c>
      <c r="P122">
        <f ca="1">OFFSET(Sheet2!R$4,(ROW(P123))*3,0)</f>
        <v>0</v>
      </c>
      <c r="Q122">
        <f ca="1">OFFSET(Sheet2!S$4,(ROW(Q123))*3,0)</f>
        <v>0</v>
      </c>
      <c r="R122">
        <f ca="1">OFFSET(Sheet2!T$4,(ROW(R123))*3,0)</f>
        <v>0</v>
      </c>
      <c r="S122">
        <f ca="1">OFFSET(Sheet2!U$2,(ROW(S123))*3,0)</f>
        <v>0</v>
      </c>
      <c r="T122">
        <f ca="1">OFFSET(Sheet2!V$2,(ROW(T123))*3,0)</f>
        <v>0</v>
      </c>
    </row>
    <row r="123" spans="1:20" x14ac:dyDescent="0.35">
      <c r="A123">
        <f ca="1">OFFSET(Sheet2!B$4,(ROW(A124))*3,0)</f>
        <v>43876</v>
      </c>
      <c r="B123">
        <f ca="1">OFFSET(Sheet2!C$4,(ROW(B124))*3,0)</f>
        <v>21</v>
      </c>
      <c r="C123" t="str">
        <f ca="1">OFFSET(Sheet2!D$4,(ROW(C124))*3,0)</f>
        <v>South</v>
      </c>
      <c r="D123" t="str">
        <f ca="1">OFFSET(Sheet2!F$4,(ROW(D124))*3,0)</f>
        <v>WAMBEDE MUSA</v>
      </c>
      <c r="E123" t="str">
        <f ca="1">OFFSET(Sheet2!G$4,(ROW(E124))*3,0)</f>
        <v>H2Go</v>
      </c>
      <c r="F123">
        <f ca="1">OFFSET(Sheet2!H$4,(ROW(F124))*3,0)</f>
        <v>0</v>
      </c>
      <c r="G123" t="str">
        <f ca="1">OFFSET(Sheet2!I$4,(ROW(G124))*3,0)</f>
        <v>WEEKLY</v>
      </c>
      <c r="H123">
        <f ca="1">OFFSET(Sheet2!J$4,(ROW(H124))*3,0)</f>
        <v>129</v>
      </c>
      <c r="I123" t="str">
        <f ca="1">OFFSET(Sheet2!K$4,(ROW(I124))*3,0)</f>
        <v>Actions</v>
      </c>
      <c r="J123" t="str">
        <f ca="1">OFFSET(Sheet2!L$4,(ROW(J124))*3,0)</f>
        <v>CHANGED</v>
      </c>
      <c r="K123" t="str">
        <f ca="1">OFFSET(Sheet2!M$4,(ROW(K124))*3,0)</f>
        <v>CHECKED</v>
      </c>
      <c r="L123" t="str">
        <f ca="1">OFFSET(Sheet2!N$4,(ROW(L124))*3,0)</f>
        <v>CHECKED</v>
      </c>
      <c r="M123" t="str">
        <f ca="1">OFFSET(Sheet2!O$4,(ROW(M124))*3,0)</f>
        <v>CHECKED</v>
      </c>
      <c r="N123" t="str">
        <f ca="1">OFFSET(Sheet2!P$4,(ROW(N124))*3,0)</f>
        <v>CHECKED</v>
      </c>
      <c r="O123" t="str">
        <f ca="1">OFFSET(Sheet2!Q$4,(ROW(O124))*3,0)</f>
        <v>CHECKED</v>
      </c>
      <c r="P123">
        <f ca="1">OFFSET(Sheet2!R$4,(ROW(P124))*3,0)</f>
        <v>0</v>
      </c>
      <c r="Q123">
        <f ca="1">OFFSET(Sheet2!S$4,(ROW(Q124))*3,0)</f>
        <v>0</v>
      </c>
      <c r="R123">
        <f ca="1">OFFSET(Sheet2!T$4,(ROW(R124))*3,0)</f>
        <v>0</v>
      </c>
      <c r="S123">
        <f ca="1">OFFSET(Sheet2!U$2,(ROW(S124))*3,0)</f>
        <v>0</v>
      </c>
      <c r="T123">
        <f ca="1">OFFSET(Sheet2!V$2,(ROW(T124))*3,0)</f>
        <v>0</v>
      </c>
    </row>
    <row r="124" spans="1:20" x14ac:dyDescent="0.35">
      <c r="A124">
        <f ca="1">OFFSET(Sheet2!B$4,(ROW(A125))*3,0)</f>
        <v>43885</v>
      </c>
      <c r="B124">
        <f ca="1">OFFSET(Sheet2!C$4,(ROW(B125))*3,0)</f>
        <v>21</v>
      </c>
      <c r="C124" t="str">
        <f ca="1">OFFSET(Sheet2!D$4,(ROW(C125))*3,0)</f>
        <v>South</v>
      </c>
      <c r="D124" t="str">
        <f ca="1">OFFSET(Sheet2!F$4,(ROW(D125))*3,0)</f>
        <v>WAMBEDE MUSA</v>
      </c>
      <c r="E124" t="str">
        <f ca="1">OFFSET(Sheet2!G$4,(ROW(E125))*3,0)</f>
        <v>H2Go</v>
      </c>
      <c r="F124">
        <f ca="1">OFFSET(Sheet2!H$4,(ROW(F125))*3,0)</f>
        <v>0</v>
      </c>
      <c r="G124" t="str">
        <f ca="1">OFFSET(Sheet2!I$4,(ROW(G125))*3,0)</f>
        <v>WEEKLY</v>
      </c>
      <c r="H124">
        <f ca="1">OFFSET(Sheet2!J$4,(ROW(H125))*3,0)</f>
        <v>155</v>
      </c>
      <c r="I124" t="str">
        <f ca="1">OFFSET(Sheet2!K$4,(ROW(I125))*3,0)</f>
        <v>Actions</v>
      </c>
      <c r="J124" t="str">
        <f ca="1">OFFSET(Sheet2!L$4,(ROW(J125))*3,0)</f>
        <v>Chagned</v>
      </c>
      <c r="K124" t="str">
        <f ca="1">OFFSET(Sheet2!M$4,(ROW(K125))*3,0)</f>
        <v>Nothing done</v>
      </c>
      <c r="L124" t="str">
        <f ca="1">OFFSET(Sheet2!N$4,(ROW(L125))*3,0)</f>
        <v>Aligned/adjusted</v>
      </c>
      <c r="M124" t="str">
        <f ca="1">OFFSET(Sheet2!O$4,(ROW(M125))*3,0)</f>
        <v>Nothing done</v>
      </c>
      <c r="N124" t="str">
        <f ca="1">OFFSET(Sheet2!P$4,(ROW(N125))*3,0)</f>
        <v>Nothing done</v>
      </c>
      <c r="O124" t="str">
        <f ca="1">OFFSET(Sheet2!Q$4,(ROW(O125))*3,0)</f>
        <v>Nothing Done</v>
      </c>
      <c r="P124">
        <f ca="1">OFFSET(Sheet2!R$4,(ROW(P125))*3,0)</f>
        <v>0</v>
      </c>
      <c r="Q124">
        <f ca="1">OFFSET(Sheet2!S$4,(ROW(Q125))*3,0)</f>
        <v>0</v>
      </c>
      <c r="R124">
        <f ca="1">OFFSET(Sheet2!T$4,(ROW(R125))*3,0)</f>
        <v>0</v>
      </c>
      <c r="S124">
        <f ca="1">OFFSET(Sheet2!U$2,(ROW(S125))*3,0)</f>
        <v>0</v>
      </c>
      <c r="T124">
        <f ca="1">OFFSET(Sheet2!V$2,(ROW(T125))*3,0)</f>
        <v>0</v>
      </c>
    </row>
    <row r="125" spans="1:20" x14ac:dyDescent="0.35">
      <c r="A125">
        <f ca="1">OFFSET(Sheet2!B$4,(ROW(A126))*3,0)</f>
        <v>43892</v>
      </c>
      <c r="B125">
        <f ca="1">OFFSET(Sheet2!C$4,(ROW(B126))*3,0)</f>
        <v>21</v>
      </c>
      <c r="C125" t="str">
        <f ca="1">OFFSET(Sheet2!D$4,(ROW(C126))*3,0)</f>
        <v>South</v>
      </c>
      <c r="D125" t="str">
        <f ca="1">OFFSET(Sheet2!F$4,(ROW(D126))*3,0)</f>
        <v>WAMBEDE MUSA</v>
      </c>
      <c r="E125" t="str">
        <f ca="1">OFFSET(Sheet2!G$4,(ROW(E126))*3,0)</f>
        <v>H2GO</v>
      </c>
      <c r="F125">
        <f ca="1">OFFSET(Sheet2!H$4,(ROW(F126))*3,0)</f>
        <v>0</v>
      </c>
      <c r="G125" t="str">
        <f ca="1">OFFSET(Sheet2!I$4,(ROW(G126))*3,0)</f>
        <v>WEEKLY</v>
      </c>
      <c r="H125">
        <f ca="1">OFFSET(Sheet2!J$4,(ROW(H126))*3,0)</f>
        <v>103</v>
      </c>
      <c r="I125" t="str">
        <f ca="1">OFFSET(Sheet2!K$4,(ROW(I126))*3,0)</f>
        <v>Actions</v>
      </c>
      <c r="J125" t="str">
        <f ca="1">OFFSET(Sheet2!L$4,(ROW(J126))*3,0)</f>
        <v>Chagned</v>
      </c>
      <c r="K125" t="str">
        <f ca="1">OFFSET(Sheet2!M$4,(ROW(K126))*3,0)</f>
        <v>Carberator was cleaned</v>
      </c>
      <c r="L125" t="str">
        <f ca="1">OFFSET(Sheet2!N$4,(ROW(L126))*3,0)</f>
        <v>Aligned/adjusted</v>
      </c>
      <c r="M125" t="str">
        <f ca="1">OFFSET(Sheet2!O$4,(ROW(M126))*3,0)</f>
        <v>Nothing done, despite recommendation</v>
      </c>
      <c r="N125" t="str">
        <f ca="1">OFFSET(Sheet2!P$4,(ROW(N126))*3,0)</f>
        <v>Nothing done, despite recommendation</v>
      </c>
      <c r="O125" t="str">
        <f ca="1">OFFSET(Sheet2!Q$4,(ROW(O126))*3,0)</f>
        <v xml:space="preserve">Replaced Nut </v>
      </c>
      <c r="P125">
        <f ca="1">OFFSET(Sheet2!R$4,(ROW(P126))*3,0)</f>
        <v>0</v>
      </c>
      <c r="Q125">
        <f ca="1">OFFSET(Sheet2!S$4,(ROW(Q126))*3,0)</f>
        <v>0</v>
      </c>
      <c r="R125">
        <f ca="1">OFFSET(Sheet2!T$4,(ROW(R126))*3,0)</f>
        <v>0</v>
      </c>
      <c r="S125">
        <f ca="1">OFFSET(Sheet2!U$2,(ROW(S126))*3,0)</f>
        <v>0</v>
      </c>
      <c r="T125">
        <f ca="1">OFFSET(Sheet2!V$2,(ROW(T126))*3,0)</f>
        <v>0</v>
      </c>
    </row>
    <row r="126" spans="1:20" x14ac:dyDescent="0.35">
      <c r="A126">
        <f ca="1">OFFSET(Sheet2!B$4,(ROW(A127))*3,0)</f>
        <v>43899</v>
      </c>
      <c r="B126">
        <f ca="1">OFFSET(Sheet2!C$4,(ROW(B127))*3,0)</f>
        <v>21</v>
      </c>
      <c r="C126" t="str">
        <f ca="1">OFFSET(Sheet2!D$4,(ROW(C127))*3,0)</f>
        <v>South</v>
      </c>
      <c r="D126" t="str">
        <f ca="1">OFFSET(Sheet2!F$4,(ROW(D127))*3,0)</f>
        <v>WAMBEDE MUSA</v>
      </c>
      <c r="E126" t="str">
        <f ca="1">OFFSET(Sheet2!G$4,(ROW(E127))*3,0)</f>
        <v>H2GO</v>
      </c>
      <c r="F126">
        <f ca="1">OFFSET(Sheet2!H$4,(ROW(F127))*3,0)</f>
        <v>0</v>
      </c>
      <c r="G126" t="str">
        <f ca="1">OFFSET(Sheet2!I$4,(ROW(G127))*3,0)</f>
        <v>WEEKLY</v>
      </c>
      <c r="H126">
        <f ca="1">OFFSET(Sheet2!J$4,(ROW(H127))*3,0)</f>
        <v>172</v>
      </c>
      <c r="I126" t="str">
        <f ca="1">OFFSET(Sheet2!K$4,(ROW(I127))*3,0)</f>
        <v>Actions</v>
      </c>
      <c r="J126" t="str">
        <f ca="1">OFFSET(Sheet2!L$4,(ROW(J127))*3,0)</f>
        <v>Chagned</v>
      </c>
      <c r="K126" t="str">
        <f ca="1">OFFSET(Sheet2!M$4,(ROW(K127))*3,0)</f>
        <v>Nothing done</v>
      </c>
      <c r="L126" t="str">
        <f ca="1">OFFSET(Sheet2!N$4,(ROW(L127))*3,0)</f>
        <v>Nothing done</v>
      </c>
      <c r="M126" t="str">
        <f ca="1">OFFSET(Sheet2!O$4,(ROW(M127))*3,0)</f>
        <v>Cleaned Filter</v>
      </c>
      <c r="N126" t="str">
        <f ca="1">OFFSET(Sheet2!P$4,(ROW(N127))*3,0)</f>
        <v>Nothing done, despite recommendation</v>
      </c>
      <c r="O126" t="str">
        <f ca="1">OFFSET(Sheet2!Q$4,(ROW(O127))*3,0)</f>
        <v>Nothing Done</v>
      </c>
      <c r="P126">
        <f ca="1">OFFSET(Sheet2!R$4,(ROW(P127))*3,0)</f>
        <v>0</v>
      </c>
      <c r="Q126">
        <f ca="1">OFFSET(Sheet2!S$4,(ROW(Q127))*3,0)</f>
        <v>0</v>
      </c>
      <c r="R126">
        <f ca="1">OFFSET(Sheet2!T$4,(ROW(R127))*3,0)</f>
        <v>0</v>
      </c>
      <c r="S126">
        <f ca="1">OFFSET(Sheet2!U$2,(ROW(S127))*3,0)</f>
        <v>0</v>
      </c>
      <c r="T126">
        <f ca="1">OFFSET(Sheet2!V$2,(ROW(T127))*3,0)</f>
        <v>0</v>
      </c>
    </row>
    <row r="127" spans="1:20" x14ac:dyDescent="0.35">
      <c r="A127">
        <f ca="1">OFFSET(Sheet2!B$4,(ROW(A128))*3,0)</f>
        <v>43841</v>
      </c>
      <c r="B127">
        <f ca="1">OFFSET(Sheet2!C$4,(ROW(B128))*3,0)</f>
        <v>22</v>
      </c>
      <c r="C127" t="str">
        <f ca="1">OFFSET(Sheet2!D$4,(ROW(C128))*3,0)</f>
        <v>South</v>
      </c>
      <c r="D127" t="str">
        <f ca="1">OFFSET(Sheet2!F$4,(ROW(D128))*3,0)</f>
        <v>WANINDA PAUL</v>
      </c>
      <c r="E127" t="str">
        <f ca="1">OFFSET(Sheet2!G$4,(ROW(E128))*3,0)</f>
        <v>H2Go</v>
      </c>
      <c r="F127">
        <f ca="1">OFFSET(Sheet2!H$4,(ROW(F128))*3,0)</f>
        <v>0</v>
      </c>
      <c r="G127" t="str">
        <f ca="1">OFFSET(Sheet2!I$4,(ROW(G128))*3,0)</f>
        <v>Comprehensive</v>
      </c>
      <c r="H127">
        <f ca="1">OFFSET(Sheet2!J$4,(ROW(H128))*3,0)</f>
        <v>94</v>
      </c>
      <c r="I127" t="str">
        <f ca="1">OFFSET(Sheet2!K$4,(ROW(I128))*3,0)</f>
        <v>Actions</v>
      </c>
      <c r="J127" t="str">
        <f ca="1">OFFSET(Sheet2!L$4,(ROW(J128))*3,0)</f>
        <v>changed</v>
      </c>
      <c r="K127" t="str">
        <f ca="1">OFFSET(Sheet2!M$4,(ROW(K128))*3,0)</f>
        <v>nothing dirty</v>
      </c>
      <c r="L127" t="str">
        <f ca="1">OFFSET(Sheet2!N$4,(ROW(L128))*3,0)</f>
        <v>setting done</v>
      </c>
      <c r="M127" t="str">
        <f ca="1">OFFSET(Sheet2!O$4,(ROW(M128))*3,0)</f>
        <v>nothing done</v>
      </c>
      <c r="N127" t="str">
        <f ca="1">OFFSET(Sheet2!P$4,(ROW(N128))*3,0)</f>
        <v>Nothing done</v>
      </c>
      <c r="O127" t="str">
        <f ca="1">OFFSET(Sheet2!Q$4,(ROW(O128))*3,0)</f>
        <v>NOTHING DONE</v>
      </c>
      <c r="P127" t="str">
        <f ca="1">OFFSET(Sheet2!R$4,(ROW(P128))*3,0)</f>
        <v>Nothing done</v>
      </c>
      <c r="Q127" t="str">
        <f ca="1">OFFSET(Sheet2!S$4,(ROW(Q128))*3,0)</f>
        <v>Nothing done</v>
      </c>
      <c r="R127" t="str">
        <f ca="1">OFFSET(Sheet2!T$4,(ROW(R128))*3,0)</f>
        <v>Nothing done</v>
      </c>
      <c r="S127">
        <f ca="1">OFFSET(Sheet2!U$2,(ROW(S128))*3,0)</f>
        <v>0</v>
      </c>
      <c r="T127">
        <f ca="1">OFFSET(Sheet2!V$2,(ROW(T128))*3,0)</f>
        <v>0</v>
      </c>
    </row>
    <row r="128" spans="1:20" x14ac:dyDescent="0.35">
      <c r="A128">
        <f ca="1">OFFSET(Sheet2!B$4,(ROW(A129))*3,0)</f>
        <v>43848</v>
      </c>
      <c r="B128">
        <f ca="1">OFFSET(Sheet2!C$4,(ROW(B129))*3,0)</f>
        <v>22</v>
      </c>
      <c r="C128" t="str">
        <f ca="1">OFFSET(Sheet2!D$4,(ROW(C129))*3,0)</f>
        <v>South</v>
      </c>
      <c r="D128" t="str">
        <f ca="1">OFFSET(Sheet2!F$4,(ROW(D129))*3,0)</f>
        <v>WANINDA PAUL</v>
      </c>
      <c r="E128" t="str">
        <f ca="1">OFFSET(Sheet2!G$4,(ROW(E129))*3,0)</f>
        <v>H2Go</v>
      </c>
      <c r="F128">
        <f ca="1">OFFSET(Sheet2!H$4,(ROW(F129))*3,0)</f>
        <v>0</v>
      </c>
      <c r="G128" t="str">
        <f ca="1">OFFSET(Sheet2!I$4,(ROW(G129))*3,0)</f>
        <v>WEEKLY</v>
      </c>
      <c r="H128">
        <f ca="1">OFFSET(Sheet2!J$4,(ROW(H129))*3,0)</f>
        <v>100</v>
      </c>
      <c r="I128" t="str">
        <f ca="1">OFFSET(Sheet2!K$4,(ROW(I129))*3,0)</f>
        <v>Actions</v>
      </c>
      <c r="J128" t="str">
        <f ca="1">OFFSET(Sheet2!L$4,(ROW(J129))*3,0)</f>
        <v>changed</v>
      </c>
      <c r="K128" t="str">
        <f ca="1">OFFSET(Sheet2!M$4,(ROW(K129))*3,0)</f>
        <v>checked and done</v>
      </c>
      <c r="L128" t="str">
        <f ca="1">OFFSET(Sheet2!N$4,(ROW(L129))*3,0)</f>
        <v>keep it up</v>
      </c>
      <c r="M128" t="str">
        <f ca="1">OFFSET(Sheet2!O$4,(ROW(M129))*3,0)</f>
        <v>keep it on</v>
      </c>
      <c r="N128" t="str">
        <f ca="1">OFFSET(Sheet2!P$4,(ROW(N129))*3,0)</f>
        <v>keep it on</v>
      </c>
      <c r="O128" t="str">
        <f ca="1">OFFSET(Sheet2!Q$4,(ROW(O129))*3,0)</f>
        <v>keep it up</v>
      </c>
      <c r="P128">
        <f ca="1">OFFSET(Sheet2!R$4,(ROW(P129))*3,0)</f>
        <v>0</v>
      </c>
      <c r="Q128">
        <f ca="1">OFFSET(Sheet2!S$4,(ROW(Q129))*3,0)</f>
        <v>0</v>
      </c>
      <c r="R128">
        <f ca="1">OFFSET(Sheet2!T$4,(ROW(R129))*3,0)</f>
        <v>0</v>
      </c>
      <c r="S128">
        <f ca="1">OFFSET(Sheet2!U$2,(ROW(S129))*3,0)</f>
        <v>0</v>
      </c>
      <c r="T128">
        <f ca="1">OFFSET(Sheet2!V$2,(ROW(T129))*3,0)</f>
        <v>0</v>
      </c>
    </row>
    <row r="129" spans="1:20" x14ac:dyDescent="0.35">
      <c r="A129">
        <f ca="1">OFFSET(Sheet2!B$4,(ROW(A130))*3,0)</f>
        <v>43855</v>
      </c>
      <c r="B129">
        <f ca="1">OFFSET(Sheet2!C$4,(ROW(B130))*3,0)</f>
        <v>22</v>
      </c>
      <c r="C129" t="str">
        <f ca="1">OFFSET(Sheet2!D$4,(ROW(C130))*3,0)</f>
        <v>South</v>
      </c>
      <c r="D129" t="str">
        <f ca="1">OFFSET(Sheet2!F$4,(ROW(D130))*3,0)</f>
        <v>WANINDA PAUL</v>
      </c>
      <c r="E129" t="str">
        <f ca="1">OFFSET(Sheet2!G$4,(ROW(E130))*3,0)</f>
        <v>H2Go</v>
      </c>
      <c r="F129">
        <f ca="1">OFFSET(Sheet2!H$4,(ROW(F130))*3,0)</f>
        <v>0</v>
      </c>
      <c r="G129" t="str">
        <f ca="1">OFFSET(Sheet2!I$4,(ROW(G130))*3,0)</f>
        <v>WEEKLY</v>
      </c>
      <c r="H129">
        <f ca="1">OFFSET(Sheet2!J$4,(ROW(H130))*3,0)</f>
        <v>66</v>
      </c>
      <c r="I129" t="str">
        <f ca="1">OFFSET(Sheet2!K$4,(ROW(I130))*3,0)</f>
        <v>Actions</v>
      </c>
      <c r="J129" t="str">
        <f ca="1">OFFSET(Sheet2!L$4,(ROW(J130))*3,0)</f>
        <v>CHANGED</v>
      </c>
      <c r="K129" t="str">
        <f ca="1">OFFSET(Sheet2!M$4,(ROW(K130))*3,0)</f>
        <v>DONE</v>
      </c>
      <c r="L129" t="str">
        <f ca="1">OFFSET(Sheet2!N$4,(ROW(L130))*3,0)</f>
        <v>KEEP IT UP</v>
      </c>
      <c r="M129" t="str">
        <f ca="1">OFFSET(Sheet2!O$4,(ROW(M130))*3,0)</f>
        <v>KEEP IT UP</v>
      </c>
      <c r="N129" t="str">
        <f ca="1">OFFSET(Sheet2!P$4,(ROW(N130))*3,0)</f>
        <v>KEEP IT UP</v>
      </c>
      <c r="O129" t="str">
        <f ca="1">OFFSET(Sheet2!Q$4,(ROW(O130))*3,0)</f>
        <v>DONE</v>
      </c>
      <c r="P129">
        <f ca="1">OFFSET(Sheet2!R$4,(ROW(P130))*3,0)</f>
        <v>0</v>
      </c>
      <c r="Q129">
        <f ca="1">OFFSET(Sheet2!S$4,(ROW(Q130))*3,0)</f>
        <v>0</v>
      </c>
      <c r="R129">
        <f ca="1">OFFSET(Sheet2!T$4,(ROW(R130))*3,0)</f>
        <v>0</v>
      </c>
      <c r="S129">
        <f ca="1">OFFSET(Sheet2!U$2,(ROW(S130))*3,0)</f>
        <v>0</v>
      </c>
      <c r="T129">
        <f ca="1">OFFSET(Sheet2!V$2,(ROW(T130))*3,0)</f>
        <v>0</v>
      </c>
    </row>
    <row r="130" spans="1:20" x14ac:dyDescent="0.35">
      <c r="A130">
        <f ca="1">OFFSET(Sheet2!B$4,(ROW(A131))*3,0)</f>
        <v>43862</v>
      </c>
      <c r="B130">
        <f ca="1">OFFSET(Sheet2!C$4,(ROW(B131))*3,0)</f>
        <v>22</v>
      </c>
      <c r="C130" t="str">
        <f ca="1">OFFSET(Sheet2!D$4,(ROW(C131))*3,0)</f>
        <v>South</v>
      </c>
      <c r="D130" t="str">
        <f ca="1">OFFSET(Sheet2!F$4,(ROW(D131))*3,0)</f>
        <v>WANINDA PAUL</v>
      </c>
      <c r="E130" t="str">
        <f ca="1">OFFSET(Sheet2!G$4,(ROW(E131))*3,0)</f>
        <v>H2Go</v>
      </c>
      <c r="F130">
        <f ca="1">OFFSET(Sheet2!H$4,(ROW(F131))*3,0)</f>
        <v>0</v>
      </c>
      <c r="G130" t="str">
        <f ca="1">OFFSET(Sheet2!I$4,(ROW(G131))*3,0)</f>
        <v>WEEKLY</v>
      </c>
      <c r="H130">
        <f ca="1">OFFSET(Sheet2!J$4,(ROW(H131))*3,0)</f>
        <v>87</v>
      </c>
      <c r="I130" t="str">
        <f ca="1">OFFSET(Sheet2!K$4,(ROW(I131))*3,0)</f>
        <v>Actions</v>
      </c>
      <c r="J130" t="str">
        <f ca="1">OFFSET(Sheet2!L$4,(ROW(J131))*3,0)</f>
        <v>DONE</v>
      </c>
      <c r="K130" t="str">
        <f ca="1">OFFSET(Sheet2!M$4,(ROW(K131))*3,0)</f>
        <v>GO ON</v>
      </c>
      <c r="L130" t="str">
        <f ca="1">OFFSET(Sheet2!N$4,(ROW(L131))*3,0)</f>
        <v>KEEP IT UP</v>
      </c>
      <c r="M130" t="str">
        <f ca="1">OFFSET(Sheet2!O$4,(ROW(M131))*3,0)</f>
        <v>KEEP IT ON</v>
      </c>
      <c r="N130" t="str">
        <f ca="1">OFFSET(Sheet2!P$4,(ROW(N131))*3,0)</f>
        <v>KEEP IT UP</v>
      </c>
      <c r="O130" t="str">
        <f ca="1">OFFSET(Sheet2!Q$4,(ROW(O131))*3,0)</f>
        <v>DONE</v>
      </c>
      <c r="P130">
        <f ca="1">OFFSET(Sheet2!R$4,(ROW(P131))*3,0)</f>
        <v>0</v>
      </c>
      <c r="Q130">
        <f ca="1">OFFSET(Sheet2!S$4,(ROW(Q131))*3,0)</f>
        <v>0</v>
      </c>
      <c r="R130">
        <f ca="1">OFFSET(Sheet2!T$4,(ROW(R131))*3,0)</f>
        <v>0</v>
      </c>
      <c r="S130">
        <f ca="1">OFFSET(Sheet2!U$2,(ROW(S131))*3,0)</f>
        <v>0</v>
      </c>
      <c r="T130">
        <f ca="1">OFFSET(Sheet2!V$2,(ROW(T131))*3,0)</f>
        <v>0</v>
      </c>
    </row>
    <row r="131" spans="1:20" x14ac:dyDescent="0.35">
      <c r="A131">
        <f ca="1">OFFSET(Sheet2!B$4,(ROW(A132))*3,0)</f>
        <v>43869</v>
      </c>
      <c r="B131">
        <f ca="1">OFFSET(Sheet2!C$4,(ROW(B132))*3,0)</f>
        <v>22</v>
      </c>
      <c r="C131" t="str">
        <f ca="1">OFFSET(Sheet2!D$4,(ROW(C132))*3,0)</f>
        <v>South</v>
      </c>
      <c r="D131" t="str">
        <f ca="1">OFFSET(Sheet2!F$4,(ROW(D132))*3,0)</f>
        <v>WANINDA PAUL</v>
      </c>
      <c r="E131" t="str">
        <f ca="1">OFFSET(Sheet2!G$4,(ROW(E132))*3,0)</f>
        <v>H2Go</v>
      </c>
      <c r="F131">
        <f ca="1">OFFSET(Sheet2!H$4,(ROW(F132))*3,0)</f>
        <v>0</v>
      </c>
      <c r="G131" t="str">
        <f ca="1">OFFSET(Sheet2!I$4,(ROW(G132))*3,0)</f>
        <v>WEEKLY</v>
      </c>
      <c r="H131">
        <f ca="1">OFFSET(Sheet2!J$4,(ROW(H132))*3,0)</f>
        <v>195</v>
      </c>
      <c r="I131" t="str">
        <f ca="1">OFFSET(Sheet2!K$4,(ROW(I132))*3,0)</f>
        <v>Actions</v>
      </c>
      <c r="J131" t="str">
        <f ca="1">OFFSET(Sheet2!L$4,(ROW(J132))*3,0)</f>
        <v>CHANGED</v>
      </c>
      <c r="K131" t="str">
        <f ca="1">OFFSET(Sheet2!M$4,(ROW(K132))*3,0)</f>
        <v>KEEP IT SERVICED</v>
      </c>
      <c r="L131" t="str">
        <f ca="1">OFFSET(Sheet2!N$4,(ROW(L132))*3,0)</f>
        <v>KEEP IT MAINTAINED</v>
      </c>
      <c r="M131" t="str">
        <f ca="1">OFFSET(Sheet2!O$4,(ROW(M132))*3,0)</f>
        <v>CHECKED</v>
      </c>
      <c r="N131" t="str">
        <f ca="1">OFFSET(Sheet2!P$4,(ROW(N132))*3,0)</f>
        <v>Keep it clean</v>
      </c>
      <c r="O131" t="str">
        <f ca="1">OFFSET(Sheet2!Q$4,(ROW(O132))*3,0)</f>
        <v>KEEP IT MAINTAINED</v>
      </c>
      <c r="P131" t="str">
        <f ca="1">OFFSET(Sheet2!R$4,(ROW(P132))*3,0)</f>
        <v>Needs to be Changed</v>
      </c>
      <c r="Q131">
        <f ca="1">OFFSET(Sheet2!S$4,(ROW(Q132))*3,0)</f>
        <v>0</v>
      </c>
      <c r="R131">
        <f ca="1">OFFSET(Sheet2!T$4,(ROW(R132))*3,0)</f>
        <v>0</v>
      </c>
      <c r="S131">
        <f ca="1">OFFSET(Sheet2!U$2,(ROW(S132))*3,0)</f>
        <v>0</v>
      </c>
      <c r="T131">
        <f ca="1">OFFSET(Sheet2!V$2,(ROW(T132))*3,0)</f>
        <v>0</v>
      </c>
    </row>
    <row r="132" spans="1:20" x14ac:dyDescent="0.35">
      <c r="A132">
        <f ca="1">OFFSET(Sheet2!B$4,(ROW(A133))*3,0)</f>
        <v>43876</v>
      </c>
      <c r="B132">
        <f ca="1">OFFSET(Sheet2!C$4,(ROW(B133))*3,0)</f>
        <v>22</v>
      </c>
      <c r="C132" t="str">
        <f ca="1">OFFSET(Sheet2!D$4,(ROW(C133))*3,0)</f>
        <v>South</v>
      </c>
      <c r="D132" t="str">
        <f ca="1">OFFSET(Sheet2!F$4,(ROW(D133))*3,0)</f>
        <v>WANINDA PAUL</v>
      </c>
      <c r="E132" t="str">
        <f ca="1">OFFSET(Sheet2!G$4,(ROW(E133))*3,0)</f>
        <v>H2Go</v>
      </c>
      <c r="F132">
        <f ca="1">OFFSET(Sheet2!H$4,(ROW(F133))*3,0)</f>
        <v>0</v>
      </c>
      <c r="G132" t="str">
        <f ca="1">OFFSET(Sheet2!I$4,(ROW(G133))*3,0)</f>
        <v>WEEKLY</v>
      </c>
      <c r="H132">
        <f ca="1">OFFSET(Sheet2!J$4,(ROW(H133))*3,0)</f>
        <v>124</v>
      </c>
      <c r="I132" t="str">
        <f ca="1">OFFSET(Sheet2!K$4,(ROW(I133))*3,0)</f>
        <v>Actions</v>
      </c>
      <c r="J132" t="str">
        <f ca="1">OFFSET(Sheet2!L$4,(ROW(J133))*3,0)</f>
        <v>CHANGED</v>
      </c>
      <c r="K132" t="str">
        <f ca="1">OFFSET(Sheet2!M$4,(ROW(K133))*3,0)</f>
        <v>GOOD</v>
      </c>
      <c r="L132" t="str">
        <f ca="1">OFFSET(Sheet2!N$4,(ROW(L133))*3,0)</f>
        <v>GOOD</v>
      </c>
      <c r="M132" t="str">
        <f ca="1">OFFSET(Sheet2!O$4,(ROW(M133))*3,0)</f>
        <v>CHECKED</v>
      </c>
      <c r="N132" t="str">
        <f ca="1">OFFSET(Sheet2!P$4,(ROW(N133))*3,0)</f>
        <v>CHECKED</v>
      </c>
      <c r="O132" t="str">
        <f ca="1">OFFSET(Sheet2!Q$4,(ROW(O133))*3,0)</f>
        <v>CHECKED</v>
      </c>
      <c r="P132">
        <f ca="1">OFFSET(Sheet2!R$4,(ROW(P133))*3,0)</f>
        <v>0</v>
      </c>
      <c r="Q132">
        <f ca="1">OFFSET(Sheet2!S$4,(ROW(Q133))*3,0)</f>
        <v>0</v>
      </c>
      <c r="R132">
        <f ca="1">OFFSET(Sheet2!T$4,(ROW(R133))*3,0)</f>
        <v>0</v>
      </c>
      <c r="S132">
        <f ca="1">OFFSET(Sheet2!U$2,(ROW(S133))*3,0)</f>
        <v>0</v>
      </c>
      <c r="T132">
        <f ca="1">OFFSET(Sheet2!V$2,(ROW(T133))*3,0)</f>
        <v>0</v>
      </c>
    </row>
    <row r="133" spans="1:20" x14ac:dyDescent="0.35">
      <c r="A133">
        <f ca="1">OFFSET(Sheet2!B$4,(ROW(A134))*3,0)</f>
        <v>43885</v>
      </c>
      <c r="B133">
        <f ca="1">OFFSET(Sheet2!C$4,(ROW(B134))*3,0)</f>
        <v>22</v>
      </c>
      <c r="C133" t="str">
        <f ca="1">OFFSET(Sheet2!D$4,(ROW(C134))*3,0)</f>
        <v>South</v>
      </c>
      <c r="D133" t="str">
        <f ca="1">OFFSET(Sheet2!F$4,(ROW(D134))*3,0)</f>
        <v>WANINDA PAUL</v>
      </c>
      <c r="E133" t="str">
        <f ca="1">OFFSET(Sheet2!G$4,(ROW(E134))*3,0)</f>
        <v>H2Go</v>
      </c>
      <c r="F133">
        <f ca="1">OFFSET(Sheet2!H$4,(ROW(F134))*3,0)</f>
        <v>0</v>
      </c>
      <c r="G133" t="str">
        <f ca="1">OFFSET(Sheet2!I$4,(ROW(G134))*3,0)</f>
        <v>WEEKLY</v>
      </c>
      <c r="H133">
        <f ca="1">OFFSET(Sheet2!J$4,(ROW(H134))*3,0)</f>
        <v>113</v>
      </c>
      <c r="I133" t="str">
        <f ca="1">OFFSET(Sheet2!K$4,(ROW(I134))*3,0)</f>
        <v>Actions</v>
      </c>
      <c r="J133" t="str">
        <f ca="1">OFFSET(Sheet2!L$4,(ROW(J134))*3,0)</f>
        <v>Chagned</v>
      </c>
      <c r="K133" t="str">
        <f ca="1">OFFSET(Sheet2!M$4,(ROW(K134))*3,0)</f>
        <v>Nothing done</v>
      </c>
      <c r="L133" t="str">
        <f ca="1">OFFSET(Sheet2!N$4,(ROW(L134))*3,0)</f>
        <v>Aligned/adjusted</v>
      </c>
      <c r="M133" t="str">
        <f ca="1">OFFSET(Sheet2!O$4,(ROW(M134))*3,0)</f>
        <v>Nothing done</v>
      </c>
      <c r="N133" t="str">
        <f ca="1">OFFSET(Sheet2!P$4,(ROW(N134))*3,0)</f>
        <v>Nothing done</v>
      </c>
      <c r="O133" t="str">
        <f ca="1">OFFSET(Sheet2!Q$4,(ROW(O134))*3,0)</f>
        <v>Nothing Done</v>
      </c>
      <c r="P133">
        <f ca="1">OFFSET(Sheet2!R$4,(ROW(P134))*3,0)</f>
        <v>0</v>
      </c>
      <c r="Q133">
        <f ca="1">OFFSET(Sheet2!S$4,(ROW(Q134))*3,0)</f>
        <v>0</v>
      </c>
      <c r="R133">
        <f ca="1">OFFSET(Sheet2!T$4,(ROW(R134))*3,0)</f>
        <v>0</v>
      </c>
      <c r="S133">
        <f ca="1">OFFSET(Sheet2!U$2,(ROW(S134))*3,0)</f>
        <v>0</v>
      </c>
      <c r="T133">
        <f ca="1">OFFSET(Sheet2!V$2,(ROW(T134))*3,0)</f>
        <v>0</v>
      </c>
    </row>
    <row r="134" spans="1:20" x14ac:dyDescent="0.35">
      <c r="A134">
        <f ca="1">OFFSET(Sheet2!B$4,(ROW(A135))*3,0)</f>
        <v>43892</v>
      </c>
      <c r="B134">
        <f ca="1">OFFSET(Sheet2!C$4,(ROW(B135))*3,0)</f>
        <v>22</v>
      </c>
      <c r="C134" t="str">
        <f ca="1">OFFSET(Sheet2!D$4,(ROW(C135))*3,0)</f>
        <v>South</v>
      </c>
      <c r="D134" t="str">
        <f ca="1">OFFSET(Sheet2!F$4,(ROW(D135))*3,0)</f>
        <v>WANINDA PAUL</v>
      </c>
      <c r="E134" t="str">
        <f ca="1">OFFSET(Sheet2!G$4,(ROW(E135))*3,0)</f>
        <v>H2GO</v>
      </c>
      <c r="F134">
        <f ca="1">OFFSET(Sheet2!H$4,(ROW(F135))*3,0)</f>
        <v>0</v>
      </c>
      <c r="G134" t="str">
        <f ca="1">OFFSET(Sheet2!I$4,(ROW(G135))*3,0)</f>
        <v>WEEKLY</v>
      </c>
      <c r="H134">
        <f ca="1">OFFSET(Sheet2!J$4,(ROW(H135))*3,0)</f>
        <v>106</v>
      </c>
      <c r="I134" t="str">
        <f ca="1">OFFSET(Sheet2!K$4,(ROW(I135))*3,0)</f>
        <v>Actions</v>
      </c>
      <c r="J134" t="str">
        <f ca="1">OFFSET(Sheet2!L$4,(ROW(J135))*3,0)</f>
        <v>Chagned</v>
      </c>
      <c r="K134" t="str">
        <f ca="1">OFFSET(Sheet2!M$4,(ROW(K135))*3,0)</f>
        <v>Nothing done, despite recommendation</v>
      </c>
      <c r="L134" t="str">
        <f ca="1">OFFSET(Sheet2!N$4,(ROW(L135))*3,0)</f>
        <v>Aligned/adjusted</v>
      </c>
      <c r="M134" t="str">
        <f ca="1">OFFSET(Sheet2!O$4,(ROW(M135))*3,0)</f>
        <v>Cleaned Filter</v>
      </c>
      <c r="N134" t="str">
        <f ca="1">OFFSET(Sheet2!P$4,(ROW(N135))*3,0)</f>
        <v>Nothing done, despite recommendation</v>
      </c>
      <c r="O134" t="str">
        <f ca="1">OFFSET(Sheet2!Q$4,(ROW(O135))*3,0)</f>
        <v>Nothing done, despite recommendation</v>
      </c>
      <c r="P134">
        <f ca="1">OFFSET(Sheet2!R$4,(ROW(P135))*3,0)</f>
        <v>0</v>
      </c>
      <c r="Q134">
        <f ca="1">OFFSET(Sheet2!S$4,(ROW(Q135))*3,0)</f>
        <v>0</v>
      </c>
      <c r="R134">
        <f ca="1">OFFSET(Sheet2!T$4,(ROW(R135))*3,0)</f>
        <v>0</v>
      </c>
      <c r="S134">
        <f ca="1">OFFSET(Sheet2!U$2,(ROW(S135))*3,0)</f>
        <v>0</v>
      </c>
      <c r="T134">
        <f ca="1">OFFSET(Sheet2!V$2,(ROW(T135))*3,0)</f>
        <v>0</v>
      </c>
    </row>
    <row r="135" spans="1:20" x14ac:dyDescent="0.35">
      <c r="A135">
        <f ca="1">OFFSET(Sheet2!B$4,(ROW(A136))*3,0)</f>
        <v>43899</v>
      </c>
      <c r="B135">
        <f ca="1">OFFSET(Sheet2!C$4,(ROW(B136))*3,0)</f>
        <v>22</v>
      </c>
      <c r="C135" t="str">
        <f ca="1">OFFSET(Sheet2!D$4,(ROW(C136))*3,0)</f>
        <v>South</v>
      </c>
      <c r="D135" t="str">
        <f ca="1">OFFSET(Sheet2!F$4,(ROW(D136))*3,0)</f>
        <v>WANINDA PAUL</v>
      </c>
      <c r="E135" t="str">
        <f ca="1">OFFSET(Sheet2!G$4,(ROW(E136))*3,0)</f>
        <v>H2GO</v>
      </c>
      <c r="F135">
        <f ca="1">OFFSET(Sheet2!H$4,(ROW(F136))*3,0)</f>
        <v>0</v>
      </c>
      <c r="G135" t="str">
        <f ca="1">OFFSET(Sheet2!I$4,(ROW(G136))*3,0)</f>
        <v>WEEKLY</v>
      </c>
      <c r="H135">
        <f ca="1">OFFSET(Sheet2!J$4,(ROW(H136))*3,0)</f>
        <v>180</v>
      </c>
      <c r="I135" t="str">
        <f ca="1">OFFSET(Sheet2!K$4,(ROW(I136))*3,0)</f>
        <v>Actions</v>
      </c>
      <c r="J135" t="str">
        <f ca="1">OFFSET(Sheet2!L$4,(ROW(J136))*3,0)</f>
        <v>Chagned</v>
      </c>
      <c r="K135" t="str">
        <f ca="1">OFFSET(Sheet2!M$4,(ROW(K136))*3,0)</f>
        <v>Nothing done, despite recommendation</v>
      </c>
      <c r="L135" t="str">
        <f ca="1">OFFSET(Sheet2!N$4,(ROW(L136))*3,0)</f>
        <v>Aligned/adjusted</v>
      </c>
      <c r="M135" t="str">
        <f ca="1">OFFSET(Sheet2!O$4,(ROW(M136))*3,0)</f>
        <v>Cleaned Filter</v>
      </c>
      <c r="N135" t="str">
        <f ca="1">OFFSET(Sheet2!P$4,(ROW(N136))*3,0)</f>
        <v>Nothing done, despite recommendation</v>
      </c>
      <c r="O135" t="str">
        <f ca="1">OFFSET(Sheet2!Q$4,(ROW(O136))*3,0)</f>
        <v>Nothing done, despite recommendation</v>
      </c>
      <c r="P135">
        <f ca="1">OFFSET(Sheet2!R$4,(ROW(P136))*3,0)</f>
        <v>0</v>
      </c>
      <c r="Q135">
        <f ca="1">OFFSET(Sheet2!S$4,(ROW(Q136))*3,0)</f>
        <v>0</v>
      </c>
      <c r="R135">
        <f ca="1">OFFSET(Sheet2!T$4,(ROW(R136))*3,0)</f>
        <v>0</v>
      </c>
      <c r="S135">
        <f ca="1">OFFSET(Sheet2!U$2,(ROW(S136))*3,0)</f>
        <v>0</v>
      </c>
      <c r="T135">
        <f ca="1">OFFSET(Sheet2!V$2,(ROW(T136))*3,0)</f>
        <v>0</v>
      </c>
    </row>
    <row r="136" spans="1:20" x14ac:dyDescent="0.35">
      <c r="A136">
        <f ca="1">OFFSET(Sheet2!B$4,(ROW(A137))*3,0)</f>
        <v>43841</v>
      </c>
      <c r="B136">
        <f ca="1">OFFSET(Sheet2!C$4,(ROW(B137))*3,0)</f>
        <v>23</v>
      </c>
      <c r="C136" t="str">
        <f ca="1">OFFSET(Sheet2!D$4,(ROW(C137))*3,0)</f>
        <v>South</v>
      </c>
      <c r="D136" t="str">
        <f ca="1">OFFSET(Sheet2!F$4,(ROW(D137))*3,0)</f>
        <v>WAFUMBO ROGERS</v>
      </c>
      <c r="E136" t="str">
        <f ca="1">OFFSET(Sheet2!G$4,(ROW(E137))*3,0)</f>
        <v>H2Go</v>
      </c>
      <c r="F136">
        <f ca="1">OFFSET(Sheet2!H$4,(ROW(F137))*3,0)</f>
        <v>0</v>
      </c>
      <c r="G136" t="str">
        <f ca="1">OFFSET(Sheet2!I$4,(ROW(G137))*3,0)</f>
        <v>Comprehensive</v>
      </c>
      <c r="H136">
        <f ca="1">OFFSET(Sheet2!J$4,(ROW(H137))*3,0)</f>
        <v>97</v>
      </c>
      <c r="I136" t="str">
        <f ca="1">OFFSET(Sheet2!K$4,(ROW(I137))*3,0)</f>
        <v>Actions</v>
      </c>
      <c r="J136" t="str">
        <f ca="1">OFFSET(Sheet2!L$4,(ROW(J137))*3,0)</f>
        <v>changed</v>
      </c>
      <c r="K136" t="str">
        <f ca="1">OFFSET(Sheet2!M$4,(ROW(K137))*3,0)</f>
        <v>Keep it up</v>
      </c>
      <c r="L136" t="str">
        <f ca="1">OFFSET(Sheet2!N$4,(ROW(L137))*3,0)</f>
        <v>setted</v>
      </c>
      <c r="M136" t="str">
        <f ca="1">OFFSET(Sheet2!O$4,(ROW(M137))*3,0)</f>
        <v>well done</v>
      </c>
      <c r="N136" t="str">
        <f ca="1">OFFSET(Sheet2!P$4,(ROW(N137))*3,0)</f>
        <v>keep it up</v>
      </c>
      <c r="O136" t="str">
        <f ca="1">OFFSET(Sheet2!Q$4,(ROW(O137))*3,0)</f>
        <v>keep it up</v>
      </c>
      <c r="P136" t="str">
        <f ca="1">OFFSET(Sheet2!R$4,(ROW(P137))*3,0)</f>
        <v>not changed</v>
      </c>
      <c r="Q136" t="str">
        <f ca="1">OFFSET(Sheet2!S$4,(ROW(Q137))*3,0)</f>
        <v>keep it up</v>
      </c>
      <c r="R136" t="str">
        <f ca="1">OFFSET(Sheet2!T$4,(ROW(R137))*3,0)</f>
        <v>well done</v>
      </c>
      <c r="S136">
        <f ca="1">OFFSET(Sheet2!U$2,(ROW(S137))*3,0)</f>
        <v>0</v>
      </c>
      <c r="T136">
        <f ca="1">OFFSET(Sheet2!V$2,(ROW(T137))*3,0)</f>
        <v>0</v>
      </c>
    </row>
    <row r="137" spans="1:20" x14ac:dyDescent="0.35">
      <c r="A137">
        <f ca="1">OFFSET(Sheet2!B$4,(ROW(A138))*3,0)</f>
        <v>43848</v>
      </c>
      <c r="B137">
        <f ca="1">OFFSET(Sheet2!C$4,(ROW(B138))*3,0)</f>
        <v>23</v>
      </c>
      <c r="C137" t="str">
        <f ca="1">OFFSET(Sheet2!D$4,(ROW(C138))*3,0)</f>
        <v>South</v>
      </c>
      <c r="D137" t="str">
        <f ca="1">OFFSET(Sheet2!F$4,(ROW(D138))*3,0)</f>
        <v>WAFUMBO ROGERS</v>
      </c>
      <c r="E137" t="str">
        <f ca="1">OFFSET(Sheet2!G$4,(ROW(E138))*3,0)</f>
        <v>H2Go</v>
      </c>
      <c r="F137">
        <f ca="1">OFFSET(Sheet2!H$4,(ROW(F138))*3,0)</f>
        <v>0</v>
      </c>
      <c r="G137" t="str">
        <f ca="1">OFFSET(Sheet2!I$4,(ROW(G138))*3,0)</f>
        <v>WEEKLY</v>
      </c>
      <c r="H137">
        <f ca="1">OFFSET(Sheet2!J$4,(ROW(H138))*3,0)</f>
        <v>32</v>
      </c>
      <c r="I137" t="str">
        <f ca="1">OFFSET(Sheet2!K$4,(ROW(I138))*3,0)</f>
        <v>Actions</v>
      </c>
      <c r="J137" t="str">
        <f ca="1">OFFSET(Sheet2!L$4,(ROW(J138))*3,0)</f>
        <v>changed</v>
      </c>
      <c r="K137" t="str">
        <f ca="1">OFFSET(Sheet2!M$4,(ROW(K138))*3,0)</f>
        <v>done</v>
      </c>
      <c r="L137" t="str">
        <f ca="1">OFFSET(Sheet2!N$4,(ROW(L138))*3,0)</f>
        <v>keep it up</v>
      </c>
      <c r="M137" t="str">
        <f ca="1">OFFSET(Sheet2!O$4,(ROW(M138))*3,0)</f>
        <v>keep it up</v>
      </c>
      <c r="N137" t="str">
        <f ca="1">OFFSET(Sheet2!P$4,(ROW(N138))*3,0)</f>
        <v>keep it on</v>
      </c>
      <c r="O137" t="str">
        <f ca="1">OFFSET(Sheet2!Q$4,(ROW(O138))*3,0)</f>
        <v>keep it up</v>
      </c>
      <c r="P137">
        <f ca="1">OFFSET(Sheet2!R$4,(ROW(P138))*3,0)</f>
        <v>0</v>
      </c>
      <c r="Q137">
        <f ca="1">OFFSET(Sheet2!S$4,(ROW(Q138))*3,0)</f>
        <v>0</v>
      </c>
      <c r="R137">
        <f ca="1">OFFSET(Sheet2!T$4,(ROW(R138))*3,0)</f>
        <v>0</v>
      </c>
      <c r="S137">
        <f ca="1">OFFSET(Sheet2!U$2,(ROW(S138))*3,0)</f>
        <v>0</v>
      </c>
      <c r="T137">
        <f ca="1">OFFSET(Sheet2!V$2,(ROW(T138))*3,0)</f>
        <v>0</v>
      </c>
    </row>
    <row r="138" spans="1:20" x14ac:dyDescent="0.35">
      <c r="A138">
        <f ca="1">OFFSET(Sheet2!B$4,(ROW(A139))*3,0)</f>
        <v>43862</v>
      </c>
      <c r="B138">
        <f ca="1">OFFSET(Sheet2!C$4,(ROW(B139))*3,0)</f>
        <v>23</v>
      </c>
      <c r="C138" t="str">
        <f ca="1">OFFSET(Sheet2!D$4,(ROW(C139))*3,0)</f>
        <v>South</v>
      </c>
      <c r="D138" t="str">
        <f ca="1">OFFSET(Sheet2!F$4,(ROW(D139))*3,0)</f>
        <v>WAFUMBO ROGERS</v>
      </c>
      <c r="E138" t="str">
        <f ca="1">OFFSET(Sheet2!G$4,(ROW(E139))*3,0)</f>
        <v>H2GO</v>
      </c>
      <c r="F138">
        <f ca="1">OFFSET(Sheet2!H$4,(ROW(F139))*3,0)</f>
        <v>0</v>
      </c>
      <c r="G138" t="str">
        <f ca="1">OFFSET(Sheet2!I$4,(ROW(G139))*3,0)</f>
        <v>WEEKLY</v>
      </c>
      <c r="H138">
        <f ca="1">OFFSET(Sheet2!J$4,(ROW(H139))*3,0)</f>
        <v>74</v>
      </c>
      <c r="I138" t="str">
        <f ca="1">OFFSET(Sheet2!K$4,(ROW(I139))*3,0)</f>
        <v>Actions</v>
      </c>
      <c r="J138" t="str">
        <f ca="1">OFFSET(Sheet2!L$4,(ROW(J139))*3,0)</f>
        <v>CHANGED</v>
      </c>
      <c r="K138" t="str">
        <f ca="1">OFFSET(Sheet2!M$4,(ROW(K139))*3,0)</f>
        <v>KEEP IT UP</v>
      </c>
      <c r="L138" t="str">
        <f ca="1">OFFSET(Sheet2!N$4,(ROW(L139))*3,0)</f>
        <v>MAINTAINED</v>
      </c>
      <c r="M138" t="str">
        <f ca="1">OFFSET(Sheet2!O$4,(ROW(M139))*3,0)</f>
        <v>KEEP IT UP</v>
      </c>
      <c r="N138" t="str">
        <f ca="1">OFFSET(Sheet2!P$4,(ROW(N139))*3,0)</f>
        <v>KEEP IT UP</v>
      </c>
      <c r="O138" t="str">
        <f ca="1">OFFSET(Sheet2!Q$4,(ROW(O139))*3,0)</f>
        <v>KEEP IT UP</v>
      </c>
      <c r="P138">
        <f ca="1">OFFSET(Sheet2!R$4,(ROW(P139))*3,0)</f>
        <v>0</v>
      </c>
      <c r="Q138">
        <f ca="1">OFFSET(Sheet2!S$4,(ROW(Q139))*3,0)</f>
        <v>0</v>
      </c>
      <c r="R138">
        <f ca="1">OFFSET(Sheet2!T$4,(ROW(R139))*3,0)</f>
        <v>0</v>
      </c>
      <c r="S138">
        <f ca="1">OFFSET(Sheet2!U$2,(ROW(S139))*3,0)</f>
        <v>0</v>
      </c>
      <c r="T138">
        <f ca="1">OFFSET(Sheet2!V$2,(ROW(T139))*3,0)</f>
        <v>0</v>
      </c>
    </row>
    <row r="139" spans="1:20" x14ac:dyDescent="0.35">
      <c r="A139">
        <f ca="1">OFFSET(Sheet2!B$4,(ROW(A140))*3,0)</f>
        <v>43869</v>
      </c>
      <c r="B139">
        <f ca="1">OFFSET(Sheet2!C$4,(ROW(B140))*3,0)</f>
        <v>23</v>
      </c>
      <c r="C139" t="str">
        <f ca="1">OFFSET(Sheet2!D$4,(ROW(C140))*3,0)</f>
        <v>South</v>
      </c>
      <c r="D139" t="str">
        <f ca="1">OFFSET(Sheet2!F$4,(ROW(D140))*3,0)</f>
        <v>WAFUMBO ROGERS</v>
      </c>
      <c r="E139" t="str">
        <f ca="1">OFFSET(Sheet2!G$4,(ROW(E140))*3,0)</f>
        <v>H2Go</v>
      </c>
      <c r="F139">
        <f ca="1">OFFSET(Sheet2!H$4,(ROW(F140))*3,0)</f>
        <v>0</v>
      </c>
      <c r="G139" t="str">
        <f ca="1">OFFSET(Sheet2!I$4,(ROW(G140))*3,0)</f>
        <v>WEEKLY</v>
      </c>
      <c r="H139">
        <f ca="1">OFFSET(Sheet2!J$4,(ROW(H140))*3,0)</f>
        <v>197</v>
      </c>
      <c r="I139" t="str">
        <f ca="1">OFFSET(Sheet2!K$4,(ROW(I140))*3,0)</f>
        <v>Actions</v>
      </c>
      <c r="J139" t="str">
        <f ca="1">OFFSET(Sheet2!L$4,(ROW(J140))*3,0)</f>
        <v>CHANGED</v>
      </c>
      <c r="K139" t="str">
        <f ca="1">OFFSET(Sheet2!M$4,(ROW(K140))*3,0)</f>
        <v>KEEP IT SERVICED</v>
      </c>
      <c r="L139" t="str">
        <f ca="1">OFFSET(Sheet2!N$4,(ROW(L140))*3,0)</f>
        <v>KEEP IT MAINTAINED</v>
      </c>
      <c r="M139" t="str">
        <f ca="1">OFFSET(Sheet2!O$4,(ROW(M140))*3,0)</f>
        <v>Keep it clean</v>
      </c>
      <c r="N139" t="str">
        <f ca="1">OFFSET(Sheet2!P$4,(ROW(N140))*3,0)</f>
        <v>Keep it clean</v>
      </c>
      <c r="O139" t="str">
        <f ca="1">OFFSET(Sheet2!Q$4,(ROW(O140))*3,0)</f>
        <v>KEEP IT MAINTAINED</v>
      </c>
      <c r="P139">
        <f ca="1">OFFSET(Sheet2!R$4,(ROW(P140))*3,0)</f>
        <v>0</v>
      </c>
      <c r="Q139">
        <f ca="1">OFFSET(Sheet2!S$4,(ROW(Q140))*3,0)</f>
        <v>0</v>
      </c>
      <c r="R139">
        <f ca="1">OFFSET(Sheet2!T$4,(ROW(R140))*3,0)</f>
        <v>0</v>
      </c>
      <c r="S139">
        <f ca="1">OFFSET(Sheet2!U$2,(ROW(S140))*3,0)</f>
        <v>0</v>
      </c>
      <c r="T139">
        <f ca="1">OFFSET(Sheet2!V$2,(ROW(T140))*3,0)</f>
        <v>0</v>
      </c>
    </row>
    <row r="140" spans="1:20" x14ac:dyDescent="0.35">
      <c r="A140">
        <f ca="1">OFFSET(Sheet2!B$4,(ROW(A141))*3,0)</f>
        <v>43876</v>
      </c>
      <c r="B140">
        <f ca="1">OFFSET(Sheet2!C$4,(ROW(B141))*3,0)</f>
        <v>23</v>
      </c>
      <c r="C140" t="str">
        <f ca="1">OFFSET(Sheet2!D$4,(ROW(C141))*3,0)</f>
        <v>South</v>
      </c>
      <c r="D140" t="str">
        <f ca="1">OFFSET(Sheet2!F$4,(ROW(D141))*3,0)</f>
        <v>WAFUMBO ROGERS</v>
      </c>
      <c r="E140" t="str">
        <f ca="1">OFFSET(Sheet2!G$4,(ROW(E141))*3,0)</f>
        <v>H2Go</v>
      </c>
      <c r="F140">
        <f ca="1">OFFSET(Sheet2!H$4,(ROW(F141))*3,0)</f>
        <v>0</v>
      </c>
      <c r="G140" t="str">
        <f ca="1">OFFSET(Sheet2!I$4,(ROW(G141))*3,0)</f>
        <v>WEEKLY</v>
      </c>
      <c r="H140">
        <f ca="1">OFFSET(Sheet2!J$4,(ROW(H141))*3,0)</f>
        <v>121</v>
      </c>
      <c r="I140" t="str">
        <f ca="1">OFFSET(Sheet2!K$4,(ROW(I141))*3,0)</f>
        <v>Actions</v>
      </c>
      <c r="J140" t="str">
        <f ca="1">OFFSET(Sheet2!L$4,(ROW(J141))*3,0)</f>
        <v>CHANGED</v>
      </c>
      <c r="K140" t="str">
        <f ca="1">OFFSET(Sheet2!M$4,(ROW(K141))*3,0)</f>
        <v>CHECKED</v>
      </c>
      <c r="L140" t="str">
        <f ca="1">OFFSET(Sheet2!N$4,(ROW(L141))*3,0)</f>
        <v>SET</v>
      </c>
      <c r="M140" t="str">
        <f ca="1">OFFSET(Sheet2!O$4,(ROW(M141))*3,0)</f>
        <v>CHECKED</v>
      </c>
      <c r="N140" t="str">
        <f ca="1">OFFSET(Sheet2!P$4,(ROW(N141))*3,0)</f>
        <v>CHECKED</v>
      </c>
      <c r="O140" t="str">
        <f ca="1">OFFSET(Sheet2!Q$4,(ROW(O141))*3,0)</f>
        <v>CHECKED</v>
      </c>
      <c r="P140">
        <f ca="1">OFFSET(Sheet2!R$4,(ROW(P141))*3,0)</f>
        <v>0</v>
      </c>
      <c r="Q140">
        <f ca="1">OFFSET(Sheet2!S$4,(ROW(Q141))*3,0)</f>
        <v>0</v>
      </c>
      <c r="R140">
        <f ca="1">OFFSET(Sheet2!T$4,(ROW(R141))*3,0)</f>
        <v>0</v>
      </c>
      <c r="S140">
        <f ca="1">OFFSET(Sheet2!U$2,(ROW(S141))*3,0)</f>
        <v>0</v>
      </c>
      <c r="T140">
        <f ca="1">OFFSET(Sheet2!V$2,(ROW(T141))*3,0)</f>
        <v>0</v>
      </c>
    </row>
    <row r="141" spans="1:20" x14ac:dyDescent="0.35">
      <c r="A141">
        <f ca="1">OFFSET(Sheet2!B$4,(ROW(A142))*3,0)</f>
        <v>43885</v>
      </c>
      <c r="B141">
        <f ca="1">OFFSET(Sheet2!C$4,(ROW(B142))*3,0)</f>
        <v>23</v>
      </c>
      <c r="C141" t="str">
        <f ca="1">OFFSET(Sheet2!D$4,(ROW(C142))*3,0)</f>
        <v>South</v>
      </c>
      <c r="D141" t="str">
        <f ca="1">OFFSET(Sheet2!F$4,(ROW(D142))*3,0)</f>
        <v>WAFUMBO ROGERS</v>
      </c>
      <c r="E141" t="str">
        <f ca="1">OFFSET(Sheet2!G$4,(ROW(E142))*3,0)</f>
        <v>H2GO</v>
      </c>
      <c r="F141">
        <f ca="1">OFFSET(Sheet2!H$4,(ROW(F142))*3,0)</f>
        <v>0</v>
      </c>
      <c r="G141" t="str">
        <f ca="1">OFFSET(Sheet2!I$4,(ROW(G142))*3,0)</f>
        <v>WEEKLY</v>
      </c>
      <c r="H141">
        <f ca="1">OFFSET(Sheet2!J$4,(ROW(H142))*3,0)</f>
        <v>147</v>
      </c>
      <c r="I141" t="str">
        <f ca="1">OFFSET(Sheet2!K$4,(ROW(I142))*3,0)</f>
        <v>Actions</v>
      </c>
      <c r="J141" t="str">
        <f ca="1">OFFSET(Sheet2!L$4,(ROW(J142))*3,0)</f>
        <v>Chagned</v>
      </c>
      <c r="K141" t="str">
        <f ca="1">OFFSET(Sheet2!M$4,(ROW(K142))*3,0)</f>
        <v>Nothing done</v>
      </c>
      <c r="L141" t="str">
        <f ca="1">OFFSET(Sheet2!N$4,(ROW(L142))*3,0)</f>
        <v>Aligned/adjusted</v>
      </c>
      <c r="M141" t="str">
        <f ca="1">OFFSET(Sheet2!O$4,(ROW(M142))*3,0)</f>
        <v>Nothing done</v>
      </c>
      <c r="N141" t="str">
        <f ca="1">OFFSET(Sheet2!P$4,(ROW(N142))*3,0)</f>
        <v>Nothing done</v>
      </c>
      <c r="O141" t="str">
        <f ca="1">OFFSET(Sheet2!Q$4,(ROW(O142))*3,0)</f>
        <v>Nothing Done</v>
      </c>
      <c r="P141">
        <f ca="1">OFFSET(Sheet2!R$4,(ROW(P142))*3,0)</f>
        <v>0</v>
      </c>
      <c r="Q141">
        <f ca="1">OFFSET(Sheet2!S$4,(ROW(Q142))*3,0)</f>
        <v>0</v>
      </c>
      <c r="R141">
        <f ca="1">OFFSET(Sheet2!T$4,(ROW(R142))*3,0)</f>
        <v>0</v>
      </c>
      <c r="S141">
        <f ca="1">OFFSET(Sheet2!U$2,(ROW(S142))*3,0)</f>
        <v>0</v>
      </c>
      <c r="T141">
        <f ca="1">OFFSET(Sheet2!V$2,(ROW(T142))*3,0)</f>
        <v>0</v>
      </c>
    </row>
    <row r="142" spans="1:20" x14ac:dyDescent="0.35">
      <c r="A142">
        <f ca="1">OFFSET(Sheet2!B$4,(ROW(A143))*3,0)</f>
        <v>43855</v>
      </c>
      <c r="B142">
        <f ca="1">OFFSET(Sheet2!C$4,(ROW(B143))*3,0)</f>
        <v>23</v>
      </c>
      <c r="C142" t="str">
        <f ca="1">OFFSET(Sheet2!D$4,(ROW(C143))*3,0)</f>
        <v>South</v>
      </c>
      <c r="D142" t="str">
        <f ca="1">OFFSET(Sheet2!F$4,(ROW(D143))*3,0)</f>
        <v>WAFUMBO ROGERS</v>
      </c>
      <c r="E142" t="str">
        <f ca="1">OFFSET(Sheet2!G$4,(ROW(E143))*3,0)</f>
        <v>H2GO</v>
      </c>
      <c r="F142">
        <f ca="1">OFFSET(Sheet2!H$4,(ROW(F143))*3,0)</f>
        <v>0</v>
      </c>
      <c r="G142" t="str">
        <f ca="1">OFFSET(Sheet2!I$4,(ROW(G143))*3,0)</f>
        <v>WEEKLY</v>
      </c>
      <c r="H142">
        <f ca="1">OFFSET(Sheet2!J$4,(ROW(H143))*3,0)</f>
        <v>79</v>
      </c>
      <c r="I142" t="str">
        <f ca="1">OFFSET(Sheet2!K$4,(ROW(I143))*3,0)</f>
        <v>Actions</v>
      </c>
      <c r="J142" t="str">
        <f ca="1">OFFSET(Sheet2!L$4,(ROW(J143))*3,0)</f>
        <v>CHANGED</v>
      </c>
      <c r="K142" t="str">
        <f ca="1">OFFSET(Sheet2!M$4,(ROW(K143))*3,0)</f>
        <v>MAINTAINED</v>
      </c>
      <c r="L142" t="str">
        <f ca="1">OFFSET(Sheet2!N$4,(ROW(L143))*3,0)</f>
        <v>SETTED</v>
      </c>
      <c r="M142" t="str">
        <f ca="1">OFFSET(Sheet2!O$4,(ROW(M143))*3,0)</f>
        <v>NOTHING DONE</v>
      </c>
      <c r="N142" t="str">
        <f ca="1">OFFSET(Sheet2!P$4,(ROW(N143))*3,0)</f>
        <v>CLEANED</v>
      </c>
      <c r="O142" t="str">
        <f ca="1">OFFSET(Sheet2!Q$4,(ROW(O143))*3,0)</f>
        <v>NOTHING DONE</v>
      </c>
      <c r="P142">
        <f ca="1">OFFSET(Sheet2!R$4,(ROW(P143))*3,0)</f>
        <v>0</v>
      </c>
      <c r="Q142">
        <f ca="1">OFFSET(Sheet2!S$4,(ROW(Q143))*3,0)</f>
        <v>0</v>
      </c>
      <c r="R142">
        <f ca="1">OFFSET(Sheet2!T$4,(ROW(R143))*3,0)</f>
        <v>0</v>
      </c>
      <c r="S142">
        <f ca="1">OFFSET(Sheet2!U$2,(ROW(S143))*3,0)</f>
        <v>0</v>
      </c>
      <c r="T142">
        <f ca="1">OFFSET(Sheet2!V$2,(ROW(T143))*3,0)</f>
        <v>0</v>
      </c>
    </row>
    <row r="143" spans="1:20" x14ac:dyDescent="0.35">
      <c r="A143">
        <f ca="1">OFFSET(Sheet2!B$4,(ROW(A144))*3,0)</f>
        <v>43892</v>
      </c>
      <c r="B143">
        <f ca="1">OFFSET(Sheet2!C$4,(ROW(B144))*3,0)</f>
        <v>23</v>
      </c>
      <c r="C143" t="str">
        <f ca="1">OFFSET(Sheet2!D$4,(ROW(C144))*3,0)</f>
        <v>South</v>
      </c>
      <c r="D143" t="str">
        <f ca="1">OFFSET(Sheet2!F$4,(ROW(D144))*3,0)</f>
        <v>WAFUMBO ROGERS</v>
      </c>
      <c r="E143" t="str">
        <f ca="1">OFFSET(Sheet2!G$4,(ROW(E144))*3,0)</f>
        <v>H2GO</v>
      </c>
      <c r="F143">
        <f ca="1">OFFSET(Sheet2!H$4,(ROW(F144))*3,0)</f>
        <v>0</v>
      </c>
      <c r="G143" t="str">
        <f ca="1">OFFSET(Sheet2!I$4,(ROW(G144))*3,0)</f>
        <v>WEEKLY</v>
      </c>
      <c r="H143">
        <f ca="1">OFFSET(Sheet2!J$4,(ROW(H144))*3,0)</f>
        <v>104</v>
      </c>
      <c r="I143" t="str">
        <f ca="1">OFFSET(Sheet2!K$4,(ROW(I144))*3,0)</f>
        <v>Actions</v>
      </c>
      <c r="J143" t="str">
        <f ca="1">OFFSET(Sheet2!L$4,(ROW(J144))*3,0)</f>
        <v>Chagned</v>
      </c>
      <c r="K143" t="str">
        <f ca="1">OFFSET(Sheet2!M$4,(ROW(K144))*3,0)</f>
        <v>Carberator was cleaned</v>
      </c>
      <c r="L143" t="str">
        <f ca="1">OFFSET(Sheet2!N$4,(ROW(L144))*3,0)</f>
        <v>Aligned/adjusted</v>
      </c>
      <c r="M143" t="str">
        <f ca="1">OFFSET(Sheet2!O$4,(ROW(M144))*3,0)</f>
        <v>Nothing done</v>
      </c>
      <c r="N143" t="str">
        <f ca="1">OFFSET(Sheet2!P$4,(ROW(N144))*3,0)</f>
        <v>Nothing done, despite recommendation</v>
      </c>
      <c r="O143" t="str">
        <f ca="1">OFFSET(Sheet2!Q$4,(ROW(O144))*3,0)</f>
        <v xml:space="preserve">Replaced Nut </v>
      </c>
      <c r="P143">
        <f ca="1">OFFSET(Sheet2!R$4,(ROW(P144))*3,0)</f>
        <v>0</v>
      </c>
      <c r="Q143">
        <f ca="1">OFFSET(Sheet2!S$4,(ROW(Q144))*3,0)</f>
        <v>0</v>
      </c>
      <c r="R143">
        <f ca="1">OFFSET(Sheet2!T$4,(ROW(R144))*3,0)</f>
        <v>0</v>
      </c>
      <c r="S143">
        <f ca="1">OFFSET(Sheet2!U$2,(ROW(S144))*3,0)</f>
        <v>0</v>
      </c>
      <c r="T143">
        <f ca="1">OFFSET(Sheet2!V$2,(ROW(T144))*3,0)</f>
        <v>0</v>
      </c>
    </row>
    <row r="144" spans="1:20" x14ac:dyDescent="0.35">
      <c r="A144">
        <f ca="1">OFFSET(Sheet2!B$4,(ROW(A145))*3,0)</f>
        <v>43899</v>
      </c>
      <c r="B144">
        <f ca="1">OFFSET(Sheet2!C$4,(ROW(B145))*3,0)</f>
        <v>23</v>
      </c>
      <c r="C144" t="str">
        <f ca="1">OFFSET(Sheet2!D$4,(ROW(C145))*3,0)</f>
        <v>South</v>
      </c>
      <c r="D144" t="str">
        <f ca="1">OFFSET(Sheet2!F$4,(ROW(D145))*3,0)</f>
        <v>WAFUMBO ROGERS</v>
      </c>
      <c r="E144" t="str">
        <f ca="1">OFFSET(Sheet2!G$4,(ROW(E145))*3,0)</f>
        <v>H2GO</v>
      </c>
      <c r="F144">
        <f ca="1">OFFSET(Sheet2!H$4,(ROW(F145))*3,0)</f>
        <v>0</v>
      </c>
      <c r="G144" t="str">
        <f ca="1">OFFSET(Sheet2!I$4,(ROW(G145))*3,0)</f>
        <v>WEEKLY</v>
      </c>
      <c r="H144">
        <f ca="1">OFFSET(Sheet2!J$4,(ROW(H145))*3,0)</f>
        <v>152</v>
      </c>
      <c r="I144" t="str">
        <f ca="1">OFFSET(Sheet2!K$4,(ROW(I145))*3,0)</f>
        <v>Actions</v>
      </c>
      <c r="J144" t="str">
        <f ca="1">OFFSET(Sheet2!L$4,(ROW(J145))*3,0)</f>
        <v>Chagned</v>
      </c>
      <c r="K144" t="str">
        <f ca="1">OFFSET(Sheet2!M$4,(ROW(K145))*3,0)</f>
        <v>Nothing done</v>
      </c>
      <c r="L144" t="str">
        <f ca="1">OFFSET(Sheet2!N$4,(ROW(L145))*3,0)</f>
        <v>Nothing done</v>
      </c>
      <c r="M144" t="str">
        <f ca="1">OFFSET(Sheet2!O$4,(ROW(M145))*3,0)</f>
        <v>Nothing done</v>
      </c>
      <c r="N144" t="str">
        <f ca="1">OFFSET(Sheet2!P$4,(ROW(N145))*3,0)</f>
        <v>Nothing done, despite recommendation</v>
      </c>
      <c r="O144" t="str">
        <f ca="1">OFFSET(Sheet2!Q$4,(ROW(O145))*3,0)</f>
        <v>Nothing Done</v>
      </c>
      <c r="P144">
        <f ca="1">OFFSET(Sheet2!R$4,(ROW(P145))*3,0)</f>
        <v>0</v>
      </c>
      <c r="Q144">
        <f ca="1">OFFSET(Sheet2!S$4,(ROW(Q145))*3,0)</f>
        <v>0</v>
      </c>
      <c r="R144">
        <f ca="1">OFFSET(Sheet2!T$4,(ROW(R145))*3,0)</f>
        <v>0</v>
      </c>
      <c r="S144">
        <f ca="1">OFFSET(Sheet2!U$2,(ROW(S145))*3,0)</f>
        <v>0</v>
      </c>
      <c r="T144">
        <f ca="1">OFFSET(Sheet2!V$2,(ROW(T145))*3,0)</f>
        <v>0</v>
      </c>
    </row>
    <row r="145" spans="1:20" x14ac:dyDescent="0.35">
      <c r="A145" t="str">
        <f ca="1">OFFSET(Sheet2!B$4,(ROW(A146))*3,0)</f>
        <v>23/1/2020</v>
      </c>
      <c r="B145">
        <f ca="1">OFFSET(Sheet2!C$4,(ROW(B146))*3,0)</f>
        <v>24</v>
      </c>
      <c r="C145" t="str">
        <f ca="1">OFFSET(Sheet2!D$4,(ROW(C146))*3,0)</f>
        <v>North</v>
      </c>
      <c r="D145" t="str">
        <f ca="1">OFFSET(Sheet2!F$4,(ROW(D146))*3,0)</f>
        <v>Kuyiga Benard</v>
      </c>
      <c r="E145" t="str">
        <f ca="1">OFFSET(Sheet2!G$4,(ROW(E146))*3,0)</f>
        <v>H2Go</v>
      </c>
      <c r="F145">
        <f ca="1">OFFSET(Sheet2!H$4,(ROW(F146))*3,0)</f>
        <v>0</v>
      </c>
      <c r="G145" t="str">
        <f ca="1">OFFSET(Sheet2!I$4,(ROW(G146))*3,0)</f>
        <v>comprehensive</v>
      </c>
      <c r="H145">
        <f ca="1">OFFSET(Sheet2!J$4,(ROW(H146))*3,0)</f>
        <v>43</v>
      </c>
      <c r="I145" t="str">
        <f ca="1">OFFSET(Sheet2!K$4,(ROW(I146))*3,0)</f>
        <v>Actions</v>
      </c>
      <c r="J145" t="str">
        <f ca="1">OFFSET(Sheet2!L$4,(ROW(J146))*3,0)</f>
        <v>Changed</v>
      </c>
      <c r="K145" t="str">
        <f ca="1">OFFSET(Sheet2!M$4,(ROW(K146))*3,0)</f>
        <v>Cleaned</v>
      </c>
      <c r="L145" t="str">
        <f ca="1">OFFSET(Sheet2!N$4,(ROW(L146))*3,0)</f>
        <v>Nothing done</v>
      </c>
      <c r="M145" t="str">
        <f ca="1">OFFSET(Sheet2!O$4,(ROW(M146))*3,0)</f>
        <v>Cleaned</v>
      </c>
      <c r="N145" t="str">
        <f ca="1">OFFSET(Sheet2!P$4,(ROW(N146))*3,0)</f>
        <v>Nothing done</v>
      </c>
      <c r="O145" t="str">
        <f ca="1">OFFSET(Sheet2!Q$4,(ROW(O146))*3,0)</f>
        <v>Nothing done</v>
      </c>
      <c r="P145" t="str">
        <f ca="1">OFFSET(Sheet2!R$4,(ROW(P146))*3,0)</f>
        <v>Nothing done</v>
      </c>
      <c r="Q145" t="str">
        <f ca="1">OFFSET(Sheet2!S$4,(ROW(Q146))*3,0)</f>
        <v>Nothing done</v>
      </c>
      <c r="R145" t="str">
        <f ca="1">OFFSET(Sheet2!T$4,(ROW(R146))*3,0)</f>
        <v>Nothing done</v>
      </c>
      <c r="S145">
        <f ca="1">OFFSET(Sheet2!U$2,(ROW(S146))*3,0)</f>
        <v>0</v>
      </c>
      <c r="T145">
        <f ca="1">OFFSET(Sheet2!V$2,(ROW(T146))*3,0)</f>
        <v>0</v>
      </c>
    </row>
    <row r="146" spans="1:20" x14ac:dyDescent="0.35">
      <c r="A146" t="str">
        <f ca="1">OFFSET(Sheet2!B$4,(ROW(A147))*3,0)</f>
        <v>31/1/2020</v>
      </c>
      <c r="B146">
        <f ca="1">OFFSET(Sheet2!C$4,(ROW(B147))*3,0)</f>
        <v>24</v>
      </c>
      <c r="C146" t="str">
        <f ca="1">OFFSET(Sheet2!D$4,(ROW(C147))*3,0)</f>
        <v>North</v>
      </c>
      <c r="D146" t="str">
        <f ca="1">OFFSET(Sheet2!F$4,(ROW(D147))*3,0)</f>
        <v>Kuyiga Benard</v>
      </c>
      <c r="E146" t="str">
        <f ca="1">OFFSET(Sheet2!G$4,(ROW(E147))*3,0)</f>
        <v>H2Go</v>
      </c>
      <c r="F146">
        <f ca="1">OFFSET(Sheet2!H$4,(ROW(F147))*3,0)</f>
        <v>0</v>
      </c>
      <c r="G146" t="str">
        <f ca="1">OFFSET(Sheet2!I$4,(ROW(G147))*3,0)</f>
        <v>weekly</v>
      </c>
      <c r="H146">
        <f ca="1">OFFSET(Sheet2!J$4,(ROW(H147))*3,0)</f>
        <v>266</v>
      </c>
      <c r="I146" t="str">
        <f ca="1">OFFSET(Sheet2!K$4,(ROW(I147))*3,0)</f>
        <v>Actions</v>
      </c>
      <c r="J146" t="str">
        <f ca="1">OFFSET(Sheet2!L$4,(ROW(J147))*3,0)</f>
        <v>Changed</v>
      </c>
      <c r="K146" t="str">
        <f ca="1">OFFSET(Sheet2!M$4,(ROW(K147))*3,0)</f>
        <v>Cleaned</v>
      </c>
      <c r="L146" t="str">
        <f ca="1">OFFSET(Sheet2!N$4,(ROW(L147))*3,0)</f>
        <v>Nothing done</v>
      </c>
      <c r="M146" t="str">
        <f ca="1">OFFSET(Sheet2!O$4,(ROW(M147))*3,0)</f>
        <v>Dusted</v>
      </c>
      <c r="N146" t="str">
        <f ca="1">OFFSET(Sheet2!P$4,(ROW(N147))*3,0)</f>
        <v>Nothing done</v>
      </c>
      <c r="O146" t="str">
        <f ca="1">OFFSET(Sheet2!Q$4,(ROW(O147))*3,0)</f>
        <v>Changed</v>
      </c>
      <c r="P146" t="str">
        <f ca="1">OFFSET(Sheet2!R$4,(ROW(P147))*3,0)</f>
        <v>Nothing done</v>
      </c>
      <c r="Q146" t="str">
        <f ca="1">OFFSET(Sheet2!S$4,(ROW(Q147))*3,0)</f>
        <v>Nothing done</v>
      </c>
      <c r="R146" t="str">
        <f ca="1">OFFSET(Sheet2!T$4,(ROW(R147))*3,0)</f>
        <v>Nothing done</v>
      </c>
      <c r="S146">
        <f ca="1">OFFSET(Sheet2!U$2,(ROW(S147))*3,0)</f>
        <v>0</v>
      </c>
      <c r="T146">
        <f ca="1">OFFSET(Sheet2!V$2,(ROW(T147))*3,0)</f>
        <v>0</v>
      </c>
    </row>
    <row r="147" spans="1:20" x14ac:dyDescent="0.35">
      <c r="A147">
        <f ca="1">OFFSET(Sheet2!B$4,(ROW(A148))*3,0)</f>
        <v>43868</v>
      </c>
      <c r="B147">
        <f ca="1">OFFSET(Sheet2!C$4,(ROW(B148))*3,0)</f>
        <v>24</v>
      </c>
      <c r="C147" t="str">
        <f ca="1">OFFSET(Sheet2!D$4,(ROW(C148))*3,0)</f>
        <v>North</v>
      </c>
      <c r="D147" t="str">
        <f ca="1">OFFSET(Sheet2!F$4,(ROW(D148))*3,0)</f>
        <v>Kuyiga Benard</v>
      </c>
      <c r="E147" t="str">
        <f ca="1">OFFSET(Sheet2!G$4,(ROW(E148))*3,0)</f>
        <v>H2Go</v>
      </c>
      <c r="F147">
        <f ca="1">OFFSET(Sheet2!H$4,(ROW(F148))*3,0)</f>
        <v>0</v>
      </c>
      <c r="G147" t="str">
        <f ca="1">OFFSET(Sheet2!I$4,(ROW(G148))*3,0)</f>
        <v>WEEKLY</v>
      </c>
      <c r="H147">
        <f ca="1">OFFSET(Sheet2!J$4,(ROW(H148))*3,0)</f>
        <v>283</v>
      </c>
      <c r="I147" t="str">
        <f ca="1">OFFSET(Sheet2!K$4,(ROW(I148))*3,0)</f>
        <v>Actions</v>
      </c>
      <c r="J147" t="str">
        <f ca="1">OFFSET(Sheet2!L$4,(ROW(J148))*3,0)</f>
        <v>Replaced</v>
      </c>
      <c r="K147" t="str">
        <f ca="1">OFFSET(Sheet2!M$4,(ROW(K148))*3,0)</f>
        <v>Nothing done</v>
      </c>
      <c r="L147" t="str">
        <f ca="1">OFFSET(Sheet2!N$4,(ROW(L148))*3,0)</f>
        <v>Nothing done</v>
      </c>
      <c r="M147" t="str">
        <f ca="1">OFFSET(Sheet2!O$4,(ROW(M148))*3,0)</f>
        <v>Dusted</v>
      </c>
      <c r="N147" t="str">
        <f ca="1">OFFSET(Sheet2!P$4,(ROW(N148))*3,0)</f>
        <v>Nothing done</v>
      </c>
      <c r="O147" t="str">
        <f ca="1">OFFSET(Sheet2!Q$4,(ROW(O148))*3,0)</f>
        <v>Nothing done</v>
      </c>
      <c r="P147" t="str">
        <f ca="1">OFFSET(Sheet2!R$4,(ROW(P148))*3,0)</f>
        <v>Checked</v>
      </c>
      <c r="Q147" t="str">
        <f ca="1">OFFSET(Sheet2!S$4,(ROW(Q148))*3,0)</f>
        <v>Checked</v>
      </c>
      <c r="R147" t="str">
        <f ca="1">OFFSET(Sheet2!T$4,(ROW(R148))*3,0)</f>
        <v>Checked</v>
      </c>
      <c r="S147">
        <f ca="1">OFFSET(Sheet2!U$2,(ROW(S148))*3,0)</f>
        <v>0</v>
      </c>
      <c r="T147">
        <f ca="1">OFFSET(Sheet2!V$2,(ROW(T148))*3,0)</f>
        <v>0</v>
      </c>
    </row>
    <row r="148" spans="1:20" x14ac:dyDescent="0.35">
      <c r="A148">
        <f ca="1">OFFSET(Sheet2!B$4,(ROW(A149))*3,0)</f>
        <v>43875</v>
      </c>
      <c r="B148">
        <f ca="1">OFFSET(Sheet2!C$4,(ROW(B149))*3,0)</f>
        <v>24</v>
      </c>
      <c r="C148" t="str">
        <f ca="1">OFFSET(Sheet2!D$4,(ROW(C149))*3,0)</f>
        <v>North</v>
      </c>
      <c r="D148" t="str">
        <f ca="1">OFFSET(Sheet2!F$4,(ROW(D149))*3,0)</f>
        <v>Kuyiga Benard</v>
      </c>
      <c r="E148" t="str">
        <f ca="1">OFFSET(Sheet2!G$4,(ROW(E149))*3,0)</f>
        <v>H2Go</v>
      </c>
      <c r="F148">
        <f ca="1">OFFSET(Sheet2!H$4,(ROW(F149))*3,0)</f>
        <v>0</v>
      </c>
      <c r="G148" t="str">
        <f ca="1">OFFSET(Sheet2!I$4,(ROW(G149))*3,0)</f>
        <v>WEEKLY</v>
      </c>
      <c r="H148">
        <f ca="1">OFFSET(Sheet2!J$4,(ROW(H149))*3,0)</f>
        <v>299</v>
      </c>
      <c r="I148" t="str">
        <f ca="1">OFFSET(Sheet2!K$4,(ROW(I149))*3,0)</f>
        <v>Actions</v>
      </c>
      <c r="J148" t="str">
        <f ca="1">OFFSET(Sheet2!L$4,(ROW(J149))*3,0)</f>
        <v>Chagned</v>
      </c>
      <c r="K148" t="str">
        <f ca="1">OFFSET(Sheet2!M$4,(ROW(K149))*3,0)</f>
        <v>Carberator was cleaned</v>
      </c>
      <c r="L148" t="str">
        <f ca="1">OFFSET(Sheet2!N$4,(ROW(L149))*3,0)</f>
        <v>Nothing done</v>
      </c>
      <c r="M148" t="str">
        <f ca="1">OFFSET(Sheet2!O$4,(ROW(M149))*3,0)</f>
        <v>Nothing done</v>
      </c>
      <c r="N148" t="str">
        <f ca="1">OFFSET(Sheet2!P$4,(ROW(N149))*3,0)</f>
        <v>Nothing done</v>
      </c>
      <c r="O148" t="str">
        <f ca="1">OFFSET(Sheet2!Q$4,(ROW(O149))*3,0)</f>
        <v>Nothing Done</v>
      </c>
      <c r="P148">
        <f ca="1">OFFSET(Sheet2!R$4,(ROW(P149))*3,0)</f>
        <v>0</v>
      </c>
      <c r="Q148">
        <f ca="1">OFFSET(Sheet2!S$4,(ROW(Q149))*3,0)</f>
        <v>0</v>
      </c>
      <c r="R148">
        <f ca="1">OFFSET(Sheet2!T$4,(ROW(R149))*3,0)</f>
        <v>0</v>
      </c>
      <c r="S148">
        <f ca="1">OFFSET(Sheet2!U$2,(ROW(S149))*3,0)</f>
        <v>0</v>
      </c>
      <c r="T148">
        <f ca="1">OFFSET(Sheet2!V$2,(ROW(T149))*3,0)</f>
        <v>0</v>
      </c>
    </row>
    <row r="149" spans="1:20" x14ac:dyDescent="0.35">
      <c r="A149">
        <f ca="1">OFFSET(Sheet2!B$4,(ROW(A150))*3,0)</f>
        <v>43898</v>
      </c>
      <c r="B149">
        <f ca="1">OFFSET(Sheet2!C$4,(ROW(B150))*3,0)</f>
        <v>24</v>
      </c>
      <c r="C149" t="str">
        <f ca="1">OFFSET(Sheet2!D$4,(ROW(C150))*3,0)</f>
        <v>North</v>
      </c>
      <c r="D149" t="str">
        <f ca="1">OFFSET(Sheet2!F$4,(ROW(D150))*3,0)</f>
        <v>Kuyiga Benard</v>
      </c>
      <c r="E149" t="str">
        <f ca="1">OFFSET(Sheet2!G$4,(ROW(E150))*3,0)</f>
        <v>H2Go</v>
      </c>
      <c r="F149">
        <f ca="1">OFFSET(Sheet2!H$4,(ROW(F150))*3,0)</f>
        <v>0</v>
      </c>
      <c r="G149" t="str">
        <f ca="1">OFFSET(Sheet2!I$4,(ROW(G150))*3,0)</f>
        <v>WEEKLY</v>
      </c>
      <c r="H149">
        <f ca="1">OFFSET(Sheet2!J$4,(ROW(H150))*3,0)</f>
        <v>202</v>
      </c>
      <c r="I149" t="str">
        <f ca="1">OFFSET(Sheet2!K$4,(ROW(I150))*3,0)</f>
        <v>Actions</v>
      </c>
      <c r="J149" t="str">
        <f ca="1">OFFSET(Sheet2!L$4,(ROW(J150))*3,0)</f>
        <v>Chagned</v>
      </c>
      <c r="K149" t="str">
        <f ca="1">OFFSET(Sheet2!M$4,(ROW(K150))*3,0)</f>
        <v>Carberator was cleaned</v>
      </c>
      <c r="L149" t="str">
        <f ca="1">OFFSET(Sheet2!N$4,(ROW(L150))*3,0)</f>
        <v>Nothing done</v>
      </c>
      <c r="M149" t="str">
        <f ca="1">OFFSET(Sheet2!O$4,(ROW(M150))*3,0)</f>
        <v>Cleaned Filter</v>
      </c>
      <c r="N149" t="str">
        <f ca="1">OFFSET(Sheet2!P$4,(ROW(N150))*3,0)</f>
        <v>Nothing done</v>
      </c>
      <c r="O149" t="str">
        <f ca="1">OFFSET(Sheet2!Q$4,(ROW(O150))*3,0)</f>
        <v>Nothing Done</v>
      </c>
      <c r="P149">
        <f ca="1">OFFSET(Sheet2!R$4,(ROW(P150))*3,0)</f>
        <v>0</v>
      </c>
      <c r="Q149">
        <f ca="1">OFFSET(Sheet2!S$4,(ROW(Q150))*3,0)</f>
        <v>0</v>
      </c>
      <c r="R149">
        <f ca="1">OFFSET(Sheet2!T$4,(ROW(R150))*3,0)</f>
        <v>0</v>
      </c>
      <c r="S149">
        <f ca="1">OFFSET(Sheet2!U$2,(ROW(S150))*3,0)</f>
        <v>0</v>
      </c>
      <c r="T149">
        <f ca="1">OFFSET(Sheet2!V$2,(ROW(T150))*3,0)</f>
        <v>0</v>
      </c>
    </row>
    <row r="150" spans="1:20" x14ac:dyDescent="0.35">
      <c r="A150" t="str">
        <f ca="1">OFFSET(Sheet2!B$4,(ROW(A151))*3,0)</f>
        <v>24/1/2020</v>
      </c>
      <c r="B150">
        <f ca="1">OFFSET(Sheet2!C$4,(ROW(B151))*3,0)</f>
        <v>26</v>
      </c>
      <c r="C150" t="str">
        <f ca="1">OFFSET(Sheet2!D$4,(ROW(C151))*3,0)</f>
        <v>North</v>
      </c>
      <c r="D150" t="str">
        <f ca="1">OFFSET(Sheet2!F$4,(ROW(D151))*3,0)</f>
        <v>Wetuma charles</v>
      </c>
      <c r="E150" t="str">
        <f ca="1">OFFSET(Sheet2!G$4,(ROW(E151))*3,0)</f>
        <v>H2Go</v>
      </c>
      <c r="F150">
        <f ca="1">OFFSET(Sheet2!H$4,(ROW(F151))*3,0)</f>
        <v>0</v>
      </c>
      <c r="G150" t="str">
        <f ca="1">OFFSET(Sheet2!I$4,(ROW(G151))*3,0)</f>
        <v>weekly</v>
      </c>
      <c r="H150">
        <f ca="1">OFFSET(Sheet2!J$4,(ROW(H151))*3,0)</f>
        <v>45</v>
      </c>
      <c r="I150" t="str">
        <f ca="1">OFFSET(Sheet2!K$4,(ROW(I151))*3,0)</f>
        <v>Actions</v>
      </c>
      <c r="J150" t="str">
        <f ca="1">OFFSET(Sheet2!L$4,(ROW(J151))*3,0)</f>
        <v>Changed</v>
      </c>
      <c r="K150" t="str">
        <f ca="1">OFFSET(Sheet2!M$4,(ROW(K151))*3,0)</f>
        <v>Nothing done</v>
      </c>
      <c r="L150" t="str">
        <f ca="1">OFFSET(Sheet2!N$4,(ROW(L151))*3,0)</f>
        <v>Nothing done</v>
      </c>
      <c r="M150" t="str">
        <f ca="1">OFFSET(Sheet2!O$4,(ROW(M151))*3,0)</f>
        <v>Nothing done</v>
      </c>
      <c r="N150" t="str">
        <f ca="1">OFFSET(Sheet2!P$4,(ROW(N151))*3,0)</f>
        <v>Nothing done</v>
      </c>
      <c r="O150" t="str">
        <f ca="1">OFFSET(Sheet2!Q$4,(ROW(O151))*3,0)</f>
        <v>Changed</v>
      </c>
      <c r="P150">
        <f ca="1">OFFSET(Sheet2!R$4,(ROW(P151))*3,0)</f>
        <v>0</v>
      </c>
      <c r="Q150">
        <f ca="1">OFFSET(Sheet2!S$4,(ROW(Q151))*3,0)</f>
        <v>0</v>
      </c>
      <c r="R150">
        <f ca="1">OFFSET(Sheet2!T$4,(ROW(R151))*3,0)</f>
        <v>0</v>
      </c>
      <c r="S150">
        <f ca="1">OFFSET(Sheet2!U$2,(ROW(S151))*3,0)</f>
        <v>0</v>
      </c>
      <c r="T150">
        <f ca="1">OFFSET(Sheet2!V$2,(ROW(T151))*3,0)</f>
        <v>0</v>
      </c>
    </row>
    <row r="151" spans="1:20" x14ac:dyDescent="0.35">
      <c r="A151" t="str">
        <f ca="1">OFFSET(Sheet2!B$4,(ROW(A152))*3,0)</f>
        <v>31/1/2020</v>
      </c>
      <c r="B151">
        <f ca="1">OFFSET(Sheet2!C$4,(ROW(B152))*3,0)</f>
        <v>26</v>
      </c>
      <c r="C151" t="str">
        <f ca="1">OFFSET(Sheet2!D$4,(ROW(C152))*3,0)</f>
        <v>North</v>
      </c>
      <c r="D151" t="str">
        <f ca="1">OFFSET(Sheet2!F$4,(ROW(D152))*3,0)</f>
        <v>Wetuma charles</v>
      </c>
      <c r="E151" t="str">
        <f ca="1">OFFSET(Sheet2!G$4,(ROW(E152))*3,0)</f>
        <v>H2Go</v>
      </c>
      <c r="F151">
        <f ca="1">OFFSET(Sheet2!H$4,(ROW(F152))*3,0)</f>
        <v>0</v>
      </c>
      <c r="G151" t="str">
        <f ca="1">OFFSET(Sheet2!I$4,(ROW(G152))*3,0)</f>
        <v>weekly</v>
      </c>
      <c r="H151">
        <f ca="1">OFFSET(Sheet2!J$4,(ROW(H152))*3,0)</f>
        <v>58</v>
      </c>
      <c r="I151" t="str">
        <f ca="1">OFFSET(Sheet2!K$4,(ROW(I152))*3,0)</f>
        <v>Actions</v>
      </c>
      <c r="J151" t="str">
        <f ca="1">OFFSET(Sheet2!L$4,(ROW(J152))*3,0)</f>
        <v>Changed</v>
      </c>
      <c r="K151" t="str">
        <f ca="1">OFFSET(Sheet2!M$4,(ROW(K152))*3,0)</f>
        <v>Nothing done</v>
      </c>
      <c r="L151" t="str">
        <f ca="1">OFFSET(Sheet2!N$4,(ROW(L152))*3,0)</f>
        <v>Nothing done</v>
      </c>
      <c r="M151" t="str">
        <f ca="1">OFFSET(Sheet2!O$4,(ROW(M152))*3,0)</f>
        <v>Nothing done</v>
      </c>
      <c r="N151" t="str">
        <f ca="1">OFFSET(Sheet2!P$4,(ROW(N152))*3,0)</f>
        <v>Nothing done</v>
      </c>
      <c r="O151" t="str">
        <f ca="1">OFFSET(Sheet2!Q$4,(ROW(O152))*3,0)</f>
        <v>Nothing done</v>
      </c>
      <c r="P151" t="str">
        <f ca="1">OFFSET(Sheet2!R$4,(ROW(P152))*3,0)</f>
        <v>Nothing done</v>
      </c>
      <c r="Q151" t="str">
        <f ca="1">OFFSET(Sheet2!S$4,(ROW(Q152))*3,0)</f>
        <v>Nothing done</v>
      </c>
      <c r="R151" t="str">
        <f ca="1">OFFSET(Sheet2!T$4,(ROW(R152))*3,0)</f>
        <v>Nothing done</v>
      </c>
      <c r="S151">
        <f ca="1">OFFSET(Sheet2!U$2,(ROW(S152))*3,0)</f>
        <v>0</v>
      </c>
      <c r="T151">
        <f ca="1">OFFSET(Sheet2!V$2,(ROW(T152))*3,0)</f>
        <v>0</v>
      </c>
    </row>
    <row r="152" spans="1:20" x14ac:dyDescent="0.35">
      <c r="A152">
        <f ca="1">OFFSET(Sheet2!B$4,(ROW(A153))*3,0)</f>
        <v>43868</v>
      </c>
      <c r="B152">
        <f ca="1">OFFSET(Sheet2!C$4,(ROW(B153))*3,0)</f>
        <v>26</v>
      </c>
      <c r="C152" t="str">
        <f ca="1">OFFSET(Sheet2!D$4,(ROW(C153))*3,0)</f>
        <v>North</v>
      </c>
      <c r="D152" t="str">
        <f ca="1">OFFSET(Sheet2!F$4,(ROW(D153))*3,0)</f>
        <v>wetuma charlse</v>
      </c>
      <c r="E152" t="str">
        <f ca="1">OFFSET(Sheet2!G$4,(ROW(E153))*3,0)</f>
        <v>H2GO</v>
      </c>
      <c r="F152">
        <f ca="1">OFFSET(Sheet2!H$4,(ROW(F153))*3,0)</f>
        <v>0</v>
      </c>
      <c r="G152" t="str">
        <f ca="1">OFFSET(Sheet2!I$4,(ROW(G153))*3,0)</f>
        <v>WEEKLY</v>
      </c>
      <c r="H152">
        <f ca="1">OFFSET(Sheet2!J$4,(ROW(H153))*3,0)</f>
        <v>285</v>
      </c>
      <c r="I152" t="str">
        <f ca="1">OFFSET(Sheet2!K$4,(ROW(I153))*3,0)</f>
        <v>Actions</v>
      </c>
      <c r="J152" t="str">
        <f ca="1">OFFSET(Sheet2!L$4,(ROW(J153))*3,0)</f>
        <v>Changed</v>
      </c>
      <c r="K152" t="str">
        <f ca="1">OFFSET(Sheet2!M$4,(ROW(K153))*3,0)</f>
        <v>Nothing done</v>
      </c>
      <c r="L152" t="str">
        <f ca="1">OFFSET(Sheet2!N$4,(ROW(L153))*3,0)</f>
        <v>Nothing done</v>
      </c>
      <c r="M152" t="str">
        <f ca="1">OFFSET(Sheet2!O$4,(ROW(M153))*3,0)</f>
        <v>Washed</v>
      </c>
      <c r="N152" t="str">
        <f ca="1">OFFSET(Sheet2!P$4,(ROW(N153))*3,0)</f>
        <v>Nothing done</v>
      </c>
      <c r="O152" t="str">
        <f ca="1">OFFSET(Sheet2!Q$4,(ROW(O153))*3,0)</f>
        <v>Nothing done</v>
      </c>
      <c r="P152" t="str">
        <f ca="1">OFFSET(Sheet2!R$4,(ROW(P153))*3,0)</f>
        <v>Noyhing done</v>
      </c>
      <c r="Q152" t="str">
        <f ca="1">OFFSET(Sheet2!S$4,(ROW(Q153))*3,0)</f>
        <v>Nothing done</v>
      </c>
      <c r="R152" t="str">
        <f ca="1">OFFSET(Sheet2!T$4,(ROW(R153))*3,0)</f>
        <v>Nothing done</v>
      </c>
      <c r="S152">
        <f ca="1">OFFSET(Sheet2!U$2,(ROW(S153))*3,0)</f>
        <v>0</v>
      </c>
      <c r="T152">
        <f ca="1">OFFSET(Sheet2!V$2,(ROW(T153))*3,0)</f>
        <v>0</v>
      </c>
    </row>
    <row r="153" spans="1:20" x14ac:dyDescent="0.35">
      <c r="A153">
        <f ca="1">OFFSET(Sheet2!B$4,(ROW(A154))*3,0)</f>
        <v>43876</v>
      </c>
      <c r="B153">
        <f ca="1">OFFSET(Sheet2!C$4,(ROW(B154))*3,0)</f>
        <v>26</v>
      </c>
      <c r="C153" t="str">
        <f ca="1">OFFSET(Sheet2!D$4,(ROW(C154))*3,0)</f>
        <v>North</v>
      </c>
      <c r="D153" t="str">
        <f ca="1">OFFSET(Sheet2!F$4,(ROW(D154))*3,0)</f>
        <v>WETUMA CHARLES</v>
      </c>
      <c r="E153" t="str">
        <f ca="1">OFFSET(Sheet2!G$4,(ROW(E154))*3,0)</f>
        <v>H2Go</v>
      </c>
      <c r="F153">
        <f ca="1">OFFSET(Sheet2!H$4,(ROW(F154))*3,0)</f>
        <v>0</v>
      </c>
      <c r="G153" t="str">
        <f ca="1">OFFSET(Sheet2!I$4,(ROW(G154))*3,0)</f>
        <v>WEEKLY</v>
      </c>
      <c r="H153">
        <f ca="1">OFFSET(Sheet2!J$4,(ROW(H154))*3,0)</f>
        <v>295</v>
      </c>
      <c r="I153" t="str">
        <f ca="1">OFFSET(Sheet2!K$4,(ROW(I154))*3,0)</f>
        <v>Actions</v>
      </c>
      <c r="J153" t="str">
        <f ca="1">OFFSET(Sheet2!L$4,(ROW(J154))*3,0)</f>
        <v>Chagned</v>
      </c>
      <c r="K153" t="str">
        <f ca="1">OFFSET(Sheet2!M$4,(ROW(K154))*3,0)</f>
        <v>Nothing done</v>
      </c>
      <c r="L153" t="str">
        <f ca="1">OFFSET(Sheet2!N$4,(ROW(L154))*3,0)</f>
        <v>Nothing done</v>
      </c>
      <c r="M153" t="str">
        <f ca="1">OFFSET(Sheet2!O$4,(ROW(M154))*3,0)</f>
        <v>Nothing done</v>
      </c>
      <c r="N153" t="str">
        <f ca="1">OFFSET(Sheet2!P$4,(ROW(N154))*3,0)</f>
        <v>Nothing done</v>
      </c>
      <c r="O153" t="str">
        <f ca="1">OFFSET(Sheet2!Q$4,(ROW(O154))*3,0)</f>
        <v xml:space="preserve">Replaced Nut </v>
      </c>
      <c r="P153">
        <f ca="1">OFFSET(Sheet2!R$4,(ROW(P154))*3,0)</f>
        <v>0</v>
      </c>
      <c r="Q153">
        <f ca="1">OFFSET(Sheet2!S$4,(ROW(Q154))*3,0)</f>
        <v>0</v>
      </c>
      <c r="R153">
        <f ca="1">OFFSET(Sheet2!T$4,(ROW(R154))*3,0)</f>
        <v>0</v>
      </c>
      <c r="S153">
        <f ca="1">OFFSET(Sheet2!U$2,(ROW(S154))*3,0)</f>
        <v>0</v>
      </c>
      <c r="T153">
        <f ca="1">OFFSET(Sheet2!V$2,(ROW(T154))*3,0)</f>
        <v>0</v>
      </c>
    </row>
    <row r="154" spans="1:20" x14ac:dyDescent="0.35">
      <c r="A154">
        <f ca="1">OFFSET(Sheet2!B$4,(ROW(A155))*3,0)</f>
        <v>43883</v>
      </c>
      <c r="B154">
        <f ca="1">OFFSET(Sheet2!C$4,(ROW(B155))*3,0)</f>
        <v>26</v>
      </c>
      <c r="C154" t="str">
        <f ca="1">OFFSET(Sheet2!D$4,(ROW(C155))*3,0)</f>
        <v>North</v>
      </c>
      <c r="D154" t="str">
        <f ca="1">OFFSET(Sheet2!F$4,(ROW(D155))*3,0)</f>
        <v>Wetuma charles</v>
      </c>
      <c r="E154" t="str">
        <f ca="1">OFFSET(Sheet2!G$4,(ROW(E155))*3,0)</f>
        <v>H2Go</v>
      </c>
      <c r="F154">
        <f ca="1">OFFSET(Sheet2!H$4,(ROW(F155))*3,0)</f>
        <v>0</v>
      </c>
      <c r="G154" t="str">
        <f ca="1">OFFSET(Sheet2!I$4,(ROW(G155))*3,0)</f>
        <v>WEEKLY</v>
      </c>
      <c r="H154">
        <f ca="1">OFFSET(Sheet2!J$4,(ROW(H155))*3,0)</f>
        <v>221</v>
      </c>
      <c r="I154" t="str">
        <f ca="1">OFFSET(Sheet2!K$4,(ROW(I155))*3,0)</f>
        <v>Actions</v>
      </c>
      <c r="J154" t="str">
        <f ca="1">OFFSET(Sheet2!L$4,(ROW(J155))*3,0)</f>
        <v>Chagned</v>
      </c>
      <c r="K154" t="str">
        <f ca="1">OFFSET(Sheet2!M$4,(ROW(K155))*3,0)</f>
        <v>Carberator was cleaned</v>
      </c>
      <c r="L154" t="str">
        <f ca="1">OFFSET(Sheet2!N$4,(ROW(L155))*3,0)</f>
        <v>Nothing done</v>
      </c>
      <c r="M154" t="str">
        <f ca="1">OFFSET(Sheet2!O$4,(ROW(M155))*3,0)</f>
        <v>Cleaned Filter</v>
      </c>
      <c r="N154" t="str">
        <f ca="1">OFFSET(Sheet2!P$4,(ROW(N155))*3,0)</f>
        <v>Nothing done</v>
      </c>
      <c r="O154" t="str">
        <f ca="1">OFFSET(Sheet2!Q$4,(ROW(O155))*3,0)</f>
        <v>Nothing Done</v>
      </c>
      <c r="P154">
        <f ca="1">OFFSET(Sheet2!R$4,(ROW(P155))*3,0)</f>
        <v>0</v>
      </c>
      <c r="Q154">
        <f ca="1">OFFSET(Sheet2!S$4,(ROW(Q155))*3,0)</f>
        <v>0</v>
      </c>
      <c r="R154">
        <f ca="1">OFFSET(Sheet2!T$4,(ROW(R155))*3,0)</f>
        <v>0</v>
      </c>
      <c r="S154">
        <f ca="1">OFFSET(Sheet2!U$2,(ROW(S155))*3,0)</f>
        <v>0</v>
      </c>
      <c r="T154">
        <f ca="1">OFFSET(Sheet2!V$2,(ROW(T155))*3,0)</f>
        <v>0</v>
      </c>
    </row>
    <row r="155" spans="1:20" x14ac:dyDescent="0.35">
      <c r="A155">
        <f ca="1">OFFSET(Sheet2!B$4,(ROW(A156))*3,0)</f>
        <v>43892</v>
      </c>
      <c r="B155">
        <f ca="1">OFFSET(Sheet2!C$4,(ROW(B156))*3,0)</f>
        <v>26</v>
      </c>
      <c r="C155" t="str">
        <f ca="1">OFFSET(Sheet2!D$4,(ROW(C156))*3,0)</f>
        <v>North</v>
      </c>
      <c r="D155" t="str">
        <f ca="1">OFFSET(Sheet2!F$4,(ROW(D156))*3,0)</f>
        <v>Wetuma charles</v>
      </c>
      <c r="E155" t="str">
        <f ca="1">OFFSET(Sheet2!G$4,(ROW(E156))*3,0)</f>
        <v>H2Go</v>
      </c>
      <c r="F155">
        <f ca="1">OFFSET(Sheet2!H$4,(ROW(F156))*3,0)</f>
        <v>0</v>
      </c>
      <c r="G155" t="str">
        <f ca="1">OFFSET(Sheet2!I$4,(ROW(G156))*3,0)</f>
        <v>WEEKLY</v>
      </c>
      <c r="H155">
        <f ca="1">OFFSET(Sheet2!J$4,(ROW(H156))*3,0)</f>
        <v>203</v>
      </c>
      <c r="I155" t="str">
        <f ca="1">OFFSET(Sheet2!K$4,(ROW(I156))*3,0)</f>
        <v>Actions</v>
      </c>
      <c r="J155" t="str">
        <f ca="1">OFFSET(Sheet2!L$4,(ROW(J156))*3,0)</f>
        <v>Chagned</v>
      </c>
      <c r="K155" t="str">
        <f ca="1">OFFSET(Sheet2!M$4,(ROW(K156))*3,0)</f>
        <v>Nothing done, despite recommendation</v>
      </c>
      <c r="L155" t="str">
        <f ca="1">OFFSET(Sheet2!N$4,(ROW(L156))*3,0)</f>
        <v>Nothing done, despite recommendation</v>
      </c>
      <c r="M155" t="str">
        <f ca="1">OFFSET(Sheet2!O$4,(ROW(M156))*3,0)</f>
        <v>Nothing done</v>
      </c>
      <c r="N155" t="str">
        <f ca="1">OFFSET(Sheet2!P$4,(ROW(N156))*3,0)</f>
        <v>Nothing done</v>
      </c>
      <c r="O155" t="str">
        <f ca="1">OFFSET(Sheet2!Q$4,(ROW(O156))*3,0)</f>
        <v>Nothing Done</v>
      </c>
      <c r="P155">
        <f ca="1">OFFSET(Sheet2!R$4,(ROW(P156))*3,0)</f>
        <v>0</v>
      </c>
      <c r="Q155">
        <f ca="1">OFFSET(Sheet2!S$4,(ROW(Q156))*3,0)</f>
        <v>0</v>
      </c>
      <c r="R155">
        <f ca="1">OFFSET(Sheet2!T$4,(ROW(R156))*3,0)</f>
        <v>0</v>
      </c>
      <c r="S155">
        <f ca="1">OFFSET(Sheet2!U$2,(ROW(S156))*3,0)</f>
        <v>0</v>
      </c>
      <c r="T155">
        <f ca="1">OFFSET(Sheet2!V$2,(ROW(T156))*3,0)</f>
        <v>0</v>
      </c>
    </row>
    <row r="156" spans="1:20" x14ac:dyDescent="0.35">
      <c r="A156" t="str">
        <f ca="1">OFFSET(Sheet2!B$4,(ROW(A157))*3,0)</f>
        <v>17/1/2020</v>
      </c>
      <c r="B156">
        <f ca="1">OFFSET(Sheet2!C$4,(ROW(B157))*3,0)</f>
        <v>27</v>
      </c>
      <c r="C156" t="str">
        <f ca="1">OFFSET(Sheet2!D$4,(ROW(C157))*3,0)</f>
        <v>North</v>
      </c>
      <c r="D156" t="str">
        <f ca="1">OFFSET(Sheet2!F$4,(ROW(D157))*3,0)</f>
        <v>Womaungo Justine</v>
      </c>
      <c r="E156" t="str">
        <f ca="1">OFFSET(Sheet2!G$4,(ROW(E157))*3,0)</f>
        <v>H2Go</v>
      </c>
      <c r="F156">
        <f ca="1">OFFSET(Sheet2!H$4,(ROW(F157))*3,0)</f>
        <v>0</v>
      </c>
      <c r="G156" t="str">
        <f ca="1">OFFSET(Sheet2!I$4,(ROW(G157))*3,0)</f>
        <v>weekly</v>
      </c>
      <c r="H156">
        <f ca="1">OFFSET(Sheet2!J$4,(ROW(H157))*3,0)</f>
        <v>24</v>
      </c>
      <c r="I156" t="str">
        <f ca="1">OFFSET(Sheet2!K$4,(ROW(I157))*3,0)</f>
        <v>Actions</v>
      </c>
      <c r="J156" t="str">
        <f ca="1">OFFSET(Sheet2!L$4,(ROW(J157))*3,0)</f>
        <v>Changed</v>
      </c>
      <c r="K156" t="str">
        <f ca="1">OFFSET(Sheet2!M$4,(ROW(K157))*3,0)</f>
        <v>Cleaned</v>
      </c>
      <c r="L156" t="str">
        <f ca="1">OFFSET(Sheet2!N$4,(ROW(L157))*3,0)</f>
        <v>Nothing done</v>
      </c>
      <c r="M156" t="str">
        <f ca="1">OFFSET(Sheet2!O$4,(ROW(M157))*3,0)</f>
        <v>Cleaned</v>
      </c>
      <c r="N156" t="str">
        <f ca="1">OFFSET(Sheet2!P$4,(ROW(N157))*3,0)</f>
        <v>Nothing done</v>
      </c>
      <c r="O156">
        <f ca="1">OFFSET(Sheet2!Q$4,(ROW(O157))*3,0)</f>
        <v>0</v>
      </c>
      <c r="P156">
        <f ca="1">OFFSET(Sheet2!R$4,(ROW(P157))*3,0)</f>
        <v>0</v>
      </c>
      <c r="Q156">
        <f ca="1">OFFSET(Sheet2!S$4,(ROW(Q157))*3,0)</f>
        <v>0</v>
      </c>
      <c r="R156">
        <f ca="1">OFFSET(Sheet2!T$4,(ROW(R157))*3,0)</f>
        <v>0</v>
      </c>
      <c r="S156">
        <f ca="1">OFFSET(Sheet2!U$2,(ROW(S157))*3,0)</f>
        <v>0</v>
      </c>
      <c r="T156">
        <f ca="1">OFFSET(Sheet2!V$2,(ROW(T157))*3,0)</f>
        <v>0</v>
      </c>
    </row>
    <row r="157" spans="1:20" x14ac:dyDescent="0.35">
      <c r="A157" t="str">
        <f ca="1">OFFSET(Sheet2!B$4,(ROW(A158))*3,0)</f>
        <v>24/1/12020</v>
      </c>
      <c r="B157">
        <f ca="1">OFFSET(Sheet2!C$4,(ROW(B158))*3,0)</f>
        <v>27</v>
      </c>
      <c r="C157" t="str">
        <f ca="1">OFFSET(Sheet2!D$4,(ROW(C158))*3,0)</f>
        <v>North</v>
      </c>
      <c r="D157" t="str">
        <f ca="1">OFFSET(Sheet2!F$4,(ROW(D158))*3,0)</f>
        <v>Womaungo Justine</v>
      </c>
      <c r="E157" t="str">
        <f ca="1">OFFSET(Sheet2!G$4,(ROW(E158))*3,0)</f>
        <v>H2Go</v>
      </c>
      <c r="F157">
        <f ca="1">OFFSET(Sheet2!H$4,(ROW(F158))*3,0)</f>
        <v>0</v>
      </c>
      <c r="G157" t="str">
        <f ca="1">OFFSET(Sheet2!I$4,(ROW(G158))*3,0)</f>
        <v>weekly</v>
      </c>
      <c r="H157">
        <f ca="1">OFFSET(Sheet2!J$4,(ROW(H158))*3,0)</f>
        <v>13</v>
      </c>
      <c r="I157" t="str">
        <f ca="1">OFFSET(Sheet2!K$4,(ROW(I158))*3,0)</f>
        <v>Actions</v>
      </c>
      <c r="J157" t="str">
        <f ca="1">OFFSET(Sheet2!L$4,(ROW(J158))*3,0)</f>
        <v>Changed</v>
      </c>
      <c r="K157" t="str">
        <f ca="1">OFFSET(Sheet2!M$4,(ROW(K158))*3,0)</f>
        <v>Nothing done</v>
      </c>
      <c r="L157" t="str">
        <f ca="1">OFFSET(Sheet2!N$4,(ROW(L158))*3,0)</f>
        <v>Nothing done</v>
      </c>
      <c r="M157" t="str">
        <f ca="1">OFFSET(Sheet2!O$4,(ROW(M158))*3,0)</f>
        <v>cleaned</v>
      </c>
      <c r="N157" t="str">
        <f ca="1">OFFSET(Sheet2!P$4,(ROW(N158))*3,0)</f>
        <v>Nothing done</v>
      </c>
      <c r="O157">
        <f ca="1">OFFSET(Sheet2!Q$4,(ROW(O158))*3,0)</f>
        <v>0</v>
      </c>
      <c r="P157">
        <f ca="1">OFFSET(Sheet2!R$4,(ROW(P158))*3,0)</f>
        <v>0</v>
      </c>
      <c r="Q157">
        <f ca="1">OFFSET(Sheet2!S$4,(ROW(Q158))*3,0)</f>
        <v>0</v>
      </c>
      <c r="R157">
        <f ca="1">OFFSET(Sheet2!T$4,(ROW(R158))*3,0)</f>
        <v>0</v>
      </c>
      <c r="S157">
        <f ca="1">OFFSET(Sheet2!U$2,(ROW(S158))*3,0)</f>
        <v>0</v>
      </c>
      <c r="T157">
        <f ca="1">OFFSET(Sheet2!V$2,(ROW(T158))*3,0)</f>
        <v>0</v>
      </c>
    </row>
    <row r="158" spans="1:20" x14ac:dyDescent="0.35">
      <c r="A158" t="str">
        <f ca="1">OFFSET(Sheet2!B$4,(ROW(A159))*3,0)</f>
        <v>31/1/2020</v>
      </c>
      <c r="B158">
        <f ca="1">OFFSET(Sheet2!C$4,(ROW(B159))*3,0)</f>
        <v>27</v>
      </c>
      <c r="C158" t="str">
        <f ca="1">OFFSET(Sheet2!D$4,(ROW(C159))*3,0)</f>
        <v>North</v>
      </c>
      <c r="D158" t="str">
        <f ca="1">OFFSET(Sheet2!F$4,(ROW(D159))*3,0)</f>
        <v>Womaungo Justine</v>
      </c>
      <c r="E158" t="str">
        <f ca="1">OFFSET(Sheet2!G$4,(ROW(E159))*3,0)</f>
        <v>H2Go</v>
      </c>
      <c r="F158">
        <f ca="1">OFFSET(Sheet2!H$4,(ROW(F159))*3,0)</f>
        <v>0</v>
      </c>
      <c r="G158" t="str">
        <f ca="1">OFFSET(Sheet2!I$4,(ROW(G159))*3,0)</f>
        <v>weekly</v>
      </c>
      <c r="H158">
        <f ca="1">OFFSET(Sheet2!J$4,(ROW(H159))*3,0)</f>
        <v>56</v>
      </c>
      <c r="I158" t="str">
        <f ca="1">OFFSET(Sheet2!K$4,(ROW(I159))*3,0)</f>
        <v>Actions</v>
      </c>
      <c r="J158" t="str">
        <f ca="1">OFFSET(Sheet2!L$4,(ROW(J159))*3,0)</f>
        <v>oil changed</v>
      </c>
      <c r="K158" t="str">
        <f ca="1">OFFSET(Sheet2!M$4,(ROW(K159))*3,0)</f>
        <v>Nothing done</v>
      </c>
      <c r="L158" t="str">
        <f ca="1">OFFSET(Sheet2!N$4,(ROW(L159))*3,0)</f>
        <v>Nothing done</v>
      </c>
      <c r="M158" t="str">
        <f ca="1">OFFSET(Sheet2!O$4,(ROW(M159))*3,0)</f>
        <v>Nothing done</v>
      </c>
      <c r="N158" t="str">
        <f ca="1">OFFSET(Sheet2!P$4,(ROW(N159))*3,0)</f>
        <v>Nothing done</v>
      </c>
      <c r="O158" t="str">
        <f ca="1">OFFSET(Sheet2!Q$4,(ROW(O159))*3,0)</f>
        <v>Nothing done</v>
      </c>
      <c r="P158" t="str">
        <f ca="1">OFFSET(Sheet2!R$4,(ROW(P159))*3,0)</f>
        <v>Nothing done</v>
      </c>
      <c r="Q158" t="str">
        <f ca="1">OFFSET(Sheet2!S$4,(ROW(Q159))*3,0)</f>
        <v>Nothing done</v>
      </c>
      <c r="R158" t="str">
        <f ca="1">OFFSET(Sheet2!T$4,(ROW(R159))*3,0)</f>
        <v>Nothing done</v>
      </c>
      <c r="S158">
        <f ca="1">OFFSET(Sheet2!U$2,(ROW(S159))*3,0)</f>
        <v>0</v>
      </c>
      <c r="T158">
        <f ca="1">OFFSET(Sheet2!V$2,(ROW(T159))*3,0)</f>
        <v>0</v>
      </c>
    </row>
    <row r="159" spans="1:20" x14ac:dyDescent="0.35">
      <c r="A159">
        <f ca="1">OFFSET(Sheet2!B$4,(ROW(A160))*3,0)</f>
        <v>43868</v>
      </c>
      <c r="B159">
        <f ca="1">OFFSET(Sheet2!C$4,(ROW(B160))*3,0)</f>
        <v>27</v>
      </c>
      <c r="C159" t="str">
        <f ca="1">OFFSET(Sheet2!D$4,(ROW(C160))*3,0)</f>
        <v>North</v>
      </c>
      <c r="D159" t="str">
        <f ca="1">OFFSET(Sheet2!F$4,(ROW(D160))*3,0)</f>
        <v>WOMAUNGO JUSTINE</v>
      </c>
      <c r="E159" t="str">
        <f ca="1">OFFSET(Sheet2!G$4,(ROW(E160))*3,0)</f>
        <v>H2Go</v>
      </c>
      <c r="F159">
        <f ca="1">OFFSET(Sheet2!H$4,(ROW(F160))*3,0)</f>
        <v>0</v>
      </c>
      <c r="G159" t="str">
        <f ca="1">OFFSET(Sheet2!I$4,(ROW(G160))*3,0)</f>
        <v>WEEKLY</v>
      </c>
      <c r="H159">
        <f ca="1">OFFSET(Sheet2!J$4,(ROW(H160))*3,0)</f>
        <v>288</v>
      </c>
      <c r="I159" t="str">
        <f ca="1">OFFSET(Sheet2!K$4,(ROW(I160))*3,0)</f>
        <v>Actions</v>
      </c>
      <c r="J159" t="str">
        <f ca="1">OFFSET(Sheet2!L$4,(ROW(J160))*3,0)</f>
        <v>Oil changed</v>
      </c>
      <c r="K159" t="str">
        <f ca="1">OFFSET(Sheet2!M$4,(ROW(K160))*3,0)</f>
        <v>Checked</v>
      </c>
      <c r="L159" t="str">
        <f ca="1">OFFSET(Sheet2!N$4,(ROW(L160))*3,0)</f>
        <v>Checked</v>
      </c>
      <c r="M159" t="str">
        <f ca="1">OFFSET(Sheet2!O$4,(ROW(M160))*3,0)</f>
        <v>Cleaned</v>
      </c>
      <c r="N159" t="str">
        <f ca="1">OFFSET(Sheet2!P$4,(ROW(N160))*3,0)</f>
        <v>No action taken</v>
      </c>
      <c r="O159" t="str">
        <f ca="1">OFFSET(Sheet2!Q$4,(ROW(O160))*3,0)</f>
        <v>No action taken</v>
      </c>
      <c r="P159">
        <f ca="1">OFFSET(Sheet2!R$4,(ROW(P160))*3,0)</f>
        <v>0</v>
      </c>
      <c r="Q159">
        <f ca="1">OFFSET(Sheet2!S$4,(ROW(Q160))*3,0)</f>
        <v>0</v>
      </c>
      <c r="R159">
        <f ca="1">OFFSET(Sheet2!T$4,(ROW(R160))*3,0)</f>
        <v>0</v>
      </c>
      <c r="S159">
        <f ca="1">OFFSET(Sheet2!U$2,(ROW(S160))*3,0)</f>
        <v>0</v>
      </c>
      <c r="T159">
        <f ca="1">OFFSET(Sheet2!V$2,(ROW(T160))*3,0)</f>
        <v>0</v>
      </c>
    </row>
    <row r="160" spans="1:20" x14ac:dyDescent="0.35">
      <c r="A160">
        <f ca="1">OFFSET(Sheet2!B$4,(ROW(A161))*3,0)</f>
        <v>43875</v>
      </c>
      <c r="B160">
        <f ca="1">OFFSET(Sheet2!C$4,(ROW(B161))*3,0)</f>
        <v>27</v>
      </c>
      <c r="C160" t="str">
        <f ca="1">OFFSET(Sheet2!D$4,(ROW(C161))*3,0)</f>
        <v>North</v>
      </c>
      <c r="D160" t="str">
        <f ca="1">OFFSET(Sheet2!F$4,(ROW(D161))*3,0)</f>
        <v>womaungo justine</v>
      </c>
      <c r="E160" t="str">
        <f ca="1">OFFSET(Sheet2!G$4,(ROW(E161))*3,0)</f>
        <v>H2Go</v>
      </c>
      <c r="F160">
        <f ca="1">OFFSET(Sheet2!H$4,(ROW(F161))*3,0)</f>
        <v>0</v>
      </c>
      <c r="G160" t="str">
        <f ca="1">OFFSET(Sheet2!I$4,(ROW(G161))*3,0)</f>
        <v>WEEKLY</v>
      </c>
      <c r="H160">
        <f ca="1">OFFSET(Sheet2!J$4,(ROW(H161))*3,0)</f>
        <v>295</v>
      </c>
      <c r="I160" t="str">
        <f ca="1">OFFSET(Sheet2!K$4,(ROW(I161))*3,0)</f>
        <v>Actions</v>
      </c>
      <c r="J160" t="str">
        <f ca="1">OFFSET(Sheet2!L$4,(ROW(J161))*3,0)</f>
        <v>Chagned</v>
      </c>
      <c r="K160" t="str">
        <f ca="1">OFFSET(Sheet2!M$4,(ROW(K161))*3,0)</f>
        <v>Nothing done</v>
      </c>
      <c r="L160" t="str">
        <f ca="1">OFFSET(Sheet2!N$4,(ROW(L161))*3,0)</f>
        <v>Nothing done</v>
      </c>
      <c r="M160" t="str">
        <f ca="1">OFFSET(Sheet2!O$4,(ROW(M161))*3,0)</f>
        <v>Nothing done</v>
      </c>
      <c r="N160" t="str">
        <f ca="1">OFFSET(Sheet2!P$4,(ROW(N161))*3,0)</f>
        <v>Nothing done</v>
      </c>
      <c r="O160" t="str">
        <f ca="1">OFFSET(Sheet2!Q$4,(ROW(O161))*3,0)</f>
        <v xml:space="preserve">Replaced Nut </v>
      </c>
      <c r="P160">
        <f ca="1">OFFSET(Sheet2!R$4,(ROW(P161))*3,0)</f>
        <v>0</v>
      </c>
      <c r="Q160">
        <f ca="1">OFFSET(Sheet2!S$4,(ROW(Q161))*3,0)</f>
        <v>0</v>
      </c>
      <c r="R160">
        <f ca="1">OFFSET(Sheet2!T$4,(ROW(R161))*3,0)</f>
        <v>0</v>
      </c>
      <c r="S160">
        <f ca="1">OFFSET(Sheet2!U$2,(ROW(S161))*3,0)</f>
        <v>0</v>
      </c>
      <c r="T160">
        <f ca="1">OFFSET(Sheet2!V$2,(ROW(T161))*3,0)</f>
        <v>0</v>
      </c>
    </row>
    <row r="161" spans="1:20" x14ac:dyDescent="0.35">
      <c r="A161">
        <f ca="1">OFFSET(Sheet2!B$4,(ROW(A162))*3,0)</f>
        <v>43884</v>
      </c>
      <c r="B161">
        <f ca="1">OFFSET(Sheet2!C$4,(ROW(B162))*3,0)</f>
        <v>27</v>
      </c>
      <c r="C161" t="str">
        <f ca="1">OFFSET(Sheet2!D$4,(ROW(C162))*3,0)</f>
        <v>North</v>
      </c>
      <c r="D161" t="str">
        <f ca="1">OFFSET(Sheet2!F$4,(ROW(D162))*3,0)</f>
        <v>Womaungo Justine</v>
      </c>
      <c r="E161" t="str">
        <f ca="1">OFFSET(Sheet2!G$4,(ROW(E162))*3,0)</f>
        <v>H2Go</v>
      </c>
      <c r="F161">
        <f ca="1">OFFSET(Sheet2!H$4,(ROW(F162))*3,0)</f>
        <v>0</v>
      </c>
      <c r="G161" t="str">
        <f ca="1">OFFSET(Sheet2!I$4,(ROW(G162))*3,0)</f>
        <v>WEEKLY</v>
      </c>
      <c r="H161">
        <f ca="1">OFFSET(Sheet2!J$4,(ROW(H162))*3,0)</f>
        <v>227</v>
      </c>
      <c r="I161" t="str">
        <f ca="1">OFFSET(Sheet2!K$4,(ROW(I162))*3,0)</f>
        <v>Actions</v>
      </c>
      <c r="J161" t="str">
        <f ca="1">OFFSET(Sheet2!L$4,(ROW(J162))*3,0)</f>
        <v>Chagned</v>
      </c>
      <c r="K161" t="str">
        <f ca="1">OFFSET(Sheet2!M$4,(ROW(K162))*3,0)</f>
        <v>Nothing done, despite recommendation</v>
      </c>
      <c r="L161" t="str">
        <f ca="1">OFFSET(Sheet2!N$4,(ROW(L162))*3,0)</f>
        <v>Nothing done</v>
      </c>
      <c r="M161" t="str">
        <f ca="1">OFFSET(Sheet2!O$4,(ROW(M162))*3,0)</f>
        <v>Nothing done, despite recommendation</v>
      </c>
      <c r="N161" t="str">
        <f ca="1">OFFSET(Sheet2!P$4,(ROW(N162))*3,0)</f>
        <v>Nothing done, despite recommendation</v>
      </c>
      <c r="O161" t="str">
        <f ca="1">OFFSET(Sheet2!Q$4,(ROW(O162))*3,0)</f>
        <v>Nothing Done</v>
      </c>
      <c r="P161">
        <f ca="1">OFFSET(Sheet2!R$4,(ROW(P162))*3,0)</f>
        <v>0</v>
      </c>
      <c r="Q161">
        <f ca="1">OFFSET(Sheet2!S$4,(ROW(Q162))*3,0)</f>
        <v>0</v>
      </c>
      <c r="R161">
        <f ca="1">OFFSET(Sheet2!T$4,(ROW(R162))*3,0)</f>
        <v>0</v>
      </c>
      <c r="S161">
        <f ca="1">OFFSET(Sheet2!U$2,(ROW(S162))*3,0)</f>
        <v>0</v>
      </c>
      <c r="T161">
        <f ca="1">OFFSET(Sheet2!V$2,(ROW(T162))*3,0)</f>
        <v>0</v>
      </c>
    </row>
    <row r="162" spans="1:20" x14ac:dyDescent="0.35">
      <c r="A162">
        <f ca="1">OFFSET(Sheet2!B$4,(ROW(A163))*3,0)</f>
        <v>43892</v>
      </c>
      <c r="B162">
        <f ca="1">OFFSET(Sheet2!C$4,(ROW(B163))*3,0)</f>
        <v>27</v>
      </c>
      <c r="C162" t="str">
        <f ca="1">OFFSET(Sheet2!D$4,(ROW(C163))*3,0)</f>
        <v>North</v>
      </c>
      <c r="D162" t="str">
        <f ca="1">OFFSET(Sheet2!F$4,(ROW(D163))*3,0)</f>
        <v>Womaungo Justine</v>
      </c>
      <c r="E162" t="str">
        <f ca="1">OFFSET(Sheet2!G$4,(ROW(E163))*3,0)</f>
        <v>H2Go</v>
      </c>
      <c r="F162">
        <f ca="1">OFFSET(Sheet2!H$4,(ROW(F163))*3,0)</f>
        <v>0</v>
      </c>
      <c r="G162" t="str">
        <f ca="1">OFFSET(Sheet2!I$4,(ROW(G163))*3,0)</f>
        <v>WEEKLY</v>
      </c>
      <c r="H162">
        <f ca="1">OFFSET(Sheet2!J$4,(ROW(H163))*3,0)</f>
        <v>256</v>
      </c>
      <c r="I162" t="str">
        <f ca="1">OFFSET(Sheet2!K$4,(ROW(I163))*3,0)</f>
        <v>Actions</v>
      </c>
      <c r="J162" t="str">
        <f ca="1">OFFSET(Sheet2!L$4,(ROW(J163))*3,0)</f>
        <v>Chagned</v>
      </c>
      <c r="K162" t="str">
        <f ca="1">OFFSET(Sheet2!M$4,(ROW(K163))*3,0)</f>
        <v>Nothing done</v>
      </c>
      <c r="L162" t="str">
        <f ca="1">OFFSET(Sheet2!N$4,(ROW(L163))*3,0)</f>
        <v>Nothing done</v>
      </c>
      <c r="M162" t="str">
        <f ca="1">OFFSET(Sheet2!O$4,(ROW(M163))*3,0)</f>
        <v>Cleaned Filter</v>
      </c>
      <c r="N162" t="str">
        <f ca="1">OFFSET(Sheet2!P$4,(ROW(N163))*3,0)</f>
        <v>Nothing done</v>
      </c>
      <c r="O162" t="str">
        <f ca="1">OFFSET(Sheet2!Q$4,(ROW(O163))*3,0)</f>
        <v>Nothing Done</v>
      </c>
      <c r="P162">
        <f ca="1">OFFSET(Sheet2!R$4,(ROW(P163))*3,0)</f>
        <v>0</v>
      </c>
      <c r="Q162">
        <f ca="1">OFFSET(Sheet2!S$4,(ROW(Q163))*3,0)</f>
        <v>0</v>
      </c>
      <c r="R162">
        <f ca="1">OFFSET(Sheet2!T$4,(ROW(R163))*3,0)</f>
        <v>0</v>
      </c>
      <c r="S162">
        <f ca="1">OFFSET(Sheet2!U$2,(ROW(S163))*3,0)</f>
        <v>0</v>
      </c>
      <c r="T162">
        <f ca="1">OFFSET(Sheet2!V$2,(ROW(T163))*3,0)</f>
        <v>0</v>
      </c>
    </row>
    <row r="163" spans="1:20" x14ac:dyDescent="0.35">
      <c r="A163">
        <f ca="1">OFFSET(Sheet2!B$4,(ROW(A164))*3,0)</f>
        <v>43900</v>
      </c>
      <c r="B163">
        <f ca="1">OFFSET(Sheet2!C$4,(ROW(B164))*3,0)</f>
        <v>27</v>
      </c>
      <c r="C163" t="str">
        <f ca="1">OFFSET(Sheet2!D$4,(ROW(C164))*3,0)</f>
        <v>North</v>
      </c>
      <c r="D163" t="str">
        <f ca="1">OFFSET(Sheet2!F$4,(ROW(D164))*3,0)</f>
        <v>Womaungo Justine</v>
      </c>
      <c r="E163" t="str">
        <f ca="1">OFFSET(Sheet2!G$4,(ROW(E164))*3,0)</f>
        <v>H2Go</v>
      </c>
      <c r="F163">
        <f ca="1">OFFSET(Sheet2!H$4,(ROW(F164))*3,0)</f>
        <v>0</v>
      </c>
      <c r="G163" t="str">
        <f ca="1">OFFSET(Sheet2!I$4,(ROW(G164))*3,0)</f>
        <v>WEEKLY</v>
      </c>
      <c r="H163">
        <f ca="1">OFFSET(Sheet2!J$4,(ROW(H164))*3,0)</f>
        <v>204</v>
      </c>
      <c r="I163" t="str">
        <f ca="1">OFFSET(Sheet2!K$4,(ROW(I164))*3,0)</f>
        <v>Actions</v>
      </c>
      <c r="J163" t="str">
        <f ca="1">OFFSET(Sheet2!L$4,(ROW(J164))*3,0)</f>
        <v>Chagned</v>
      </c>
      <c r="K163" t="str">
        <f ca="1">OFFSET(Sheet2!M$4,(ROW(K164))*3,0)</f>
        <v>Nothing done</v>
      </c>
      <c r="L163" t="str">
        <f ca="1">OFFSET(Sheet2!N$4,(ROW(L164))*3,0)</f>
        <v>Nothing done, despite recommendation</v>
      </c>
      <c r="M163" t="str">
        <f ca="1">OFFSET(Sheet2!O$4,(ROW(M164))*3,0)</f>
        <v>Nothing done</v>
      </c>
      <c r="N163" t="str">
        <f ca="1">OFFSET(Sheet2!P$4,(ROW(N164))*3,0)</f>
        <v>Nothing done</v>
      </c>
      <c r="O163" t="str">
        <f ca="1">OFFSET(Sheet2!Q$4,(ROW(O164))*3,0)</f>
        <v>Nothing Done</v>
      </c>
      <c r="P163">
        <f ca="1">OFFSET(Sheet2!R$4,(ROW(P164))*3,0)</f>
        <v>0</v>
      </c>
      <c r="Q163">
        <f ca="1">OFFSET(Sheet2!S$4,(ROW(Q164))*3,0)</f>
        <v>0</v>
      </c>
      <c r="R163">
        <f ca="1">OFFSET(Sheet2!T$4,(ROW(R164))*3,0)</f>
        <v>0</v>
      </c>
      <c r="S163">
        <f ca="1">OFFSET(Sheet2!U$2,(ROW(S164))*3,0)</f>
        <v>0</v>
      </c>
      <c r="T163">
        <f ca="1">OFFSET(Sheet2!V$2,(ROW(T164))*3,0)</f>
        <v>0</v>
      </c>
    </row>
    <row r="164" spans="1:20" x14ac:dyDescent="0.35">
      <c r="A164">
        <f ca="1">OFFSET(Sheet2!B$4,(ROW(A165))*3,0)</f>
        <v>43848</v>
      </c>
      <c r="B164">
        <f ca="1">OFFSET(Sheet2!C$4,(ROW(B165))*3,0)</f>
        <v>28</v>
      </c>
      <c r="C164" t="str">
        <f ca="1">OFFSET(Sheet2!D$4,(ROW(C165))*3,0)</f>
        <v>South</v>
      </c>
      <c r="D164" t="str">
        <f ca="1">OFFSET(Sheet2!F$4,(ROW(D165))*3,0)</f>
        <v>NAGOMU LATIFU</v>
      </c>
      <c r="E164" t="str">
        <f ca="1">OFFSET(Sheet2!G$4,(ROW(E165))*3,0)</f>
        <v>Control</v>
      </c>
      <c r="F164">
        <f ca="1">OFFSET(Sheet2!H$4,(ROW(F165))*3,0)</f>
        <v>0</v>
      </c>
      <c r="G164" t="str">
        <f ca="1">OFFSET(Sheet2!I$4,(ROW(G165))*3,0)</f>
        <v>Comprehensive</v>
      </c>
      <c r="H164">
        <f ca="1">OFFSET(Sheet2!J$4,(ROW(H165))*3,0)</f>
        <v>37</v>
      </c>
      <c r="I164" t="str">
        <f ca="1">OFFSET(Sheet2!K$4,(ROW(I165))*3,0)</f>
        <v>Actions</v>
      </c>
      <c r="J164" t="str">
        <f ca="1">OFFSET(Sheet2!L$4,(ROW(J165))*3,0)</f>
        <v>changed</v>
      </c>
      <c r="K164" t="str">
        <f ca="1">OFFSET(Sheet2!M$4,(ROW(K165))*3,0)</f>
        <v>Keep it up</v>
      </c>
      <c r="L164" t="str">
        <f ca="1">OFFSET(Sheet2!N$4,(ROW(L165))*3,0)</f>
        <v>keep it up</v>
      </c>
      <c r="M164" t="str">
        <f ca="1">OFFSET(Sheet2!O$4,(ROW(M165))*3,0)</f>
        <v>keep it on</v>
      </c>
      <c r="N164" t="str">
        <f ca="1">OFFSET(Sheet2!P$4,(ROW(N165))*3,0)</f>
        <v>keep it on</v>
      </c>
      <c r="O164" t="str">
        <f ca="1">OFFSET(Sheet2!Q$4,(ROW(O165))*3,0)</f>
        <v>keep it on</v>
      </c>
      <c r="P164" t="str">
        <f ca="1">OFFSET(Sheet2!R$4,(ROW(P165))*3,0)</f>
        <v>keep it on</v>
      </c>
      <c r="Q164" t="str">
        <f ca="1">OFFSET(Sheet2!S$4,(ROW(Q165))*3,0)</f>
        <v>keep it on</v>
      </c>
      <c r="R164" t="str">
        <f ca="1">OFFSET(Sheet2!T$4,(ROW(R165))*3,0)</f>
        <v>keep it on</v>
      </c>
      <c r="S164">
        <f ca="1">OFFSET(Sheet2!U$2,(ROW(S165))*3,0)</f>
        <v>0</v>
      </c>
      <c r="T164">
        <f ca="1">OFFSET(Sheet2!V$2,(ROW(T165))*3,0)</f>
        <v>0</v>
      </c>
    </row>
    <row r="165" spans="1:20" x14ac:dyDescent="0.35">
      <c r="A165">
        <f ca="1">OFFSET(Sheet2!B$4,(ROW(A166))*3,0)</f>
        <v>43869</v>
      </c>
      <c r="B165">
        <f ca="1">OFFSET(Sheet2!C$4,(ROW(B166))*3,0)</f>
        <v>28</v>
      </c>
      <c r="C165" t="str">
        <f ca="1">OFFSET(Sheet2!D$4,(ROW(C166))*3,0)</f>
        <v>South</v>
      </c>
      <c r="D165" t="str">
        <f ca="1">OFFSET(Sheet2!F$4,(ROW(D166))*3,0)</f>
        <v>NAGOMU LATIFU</v>
      </c>
      <c r="E165" t="str">
        <f ca="1">OFFSET(Sheet2!G$4,(ROW(E166))*3,0)</f>
        <v>Control</v>
      </c>
      <c r="F165">
        <f ca="1">OFFSET(Sheet2!H$4,(ROW(F166))*3,0)</f>
        <v>0</v>
      </c>
      <c r="G165" t="str">
        <f ca="1">OFFSET(Sheet2!I$4,(ROW(G166))*3,0)</f>
        <v>WEEKLY</v>
      </c>
      <c r="H165">
        <f ca="1">OFFSET(Sheet2!J$4,(ROW(H166))*3,0)</f>
        <v>120</v>
      </c>
      <c r="I165" t="str">
        <f ca="1">OFFSET(Sheet2!K$4,(ROW(I166))*3,0)</f>
        <v>Actions</v>
      </c>
      <c r="J165" t="str">
        <f ca="1">OFFSET(Sheet2!L$4,(ROW(J166))*3,0)</f>
        <v>DONE</v>
      </c>
      <c r="K165" t="str">
        <f ca="1">OFFSET(Sheet2!M$4,(ROW(K166))*3,0)</f>
        <v>MAINTAINED AND SERVICE</v>
      </c>
      <c r="L165" t="str">
        <f ca="1">OFFSET(Sheet2!N$4,(ROW(L166))*3,0)</f>
        <v>THEY WERE SET IN A GOOD CONDITION</v>
      </c>
      <c r="M165" t="str">
        <f ca="1">OFFSET(Sheet2!O$4,(ROW(M166))*3,0)</f>
        <v>KEEP IT UP</v>
      </c>
      <c r="N165" t="str">
        <f ca="1">OFFSET(Sheet2!P$4,(ROW(N166))*3,0)</f>
        <v>IT WAS CHANGED</v>
      </c>
      <c r="O165" t="str">
        <f ca="1">OFFSET(Sheet2!Q$4,(ROW(O166))*3,0)</f>
        <v>MAINTAIN</v>
      </c>
      <c r="P165">
        <f ca="1">OFFSET(Sheet2!R$4,(ROW(P166))*3,0)</f>
        <v>0</v>
      </c>
      <c r="Q165">
        <f ca="1">OFFSET(Sheet2!S$4,(ROW(Q166))*3,0)</f>
        <v>0</v>
      </c>
      <c r="R165">
        <f ca="1">OFFSET(Sheet2!T$4,(ROW(R166))*3,0)</f>
        <v>0</v>
      </c>
      <c r="S165">
        <f ca="1">OFFSET(Sheet2!U$2,(ROW(S166))*3,0)</f>
        <v>0</v>
      </c>
      <c r="T165">
        <f ca="1">OFFSET(Sheet2!V$2,(ROW(T166))*3,0)</f>
        <v>0</v>
      </c>
    </row>
    <row r="166" spans="1:20" x14ac:dyDescent="0.35">
      <c r="A166">
        <f ca="1">OFFSET(Sheet2!B$4,(ROW(A167))*3,0)</f>
        <v>43848</v>
      </c>
      <c r="B166">
        <f ca="1">OFFSET(Sheet2!C$4,(ROW(B167))*3,0)</f>
        <v>29</v>
      </c>
      <c r="C166" t="str">
        <f ca="1">OFFSET(Sheet2!D$4,(ROW(C167))*3,0)</f>
        <v>South</v>
      </c>
      <c r="D166" t="str">
        <f ca="1">OFFSET(Sheet2!F$4,(ROW(D167))*3,0)</f>
        <v>WAZENGE SALIMU</v>
      </c>
      <c r="E166" t="str">
        <f ca="1">OFFSET(Sheet2!G$4,(ROW(E167))*3,0)</f>
        <v>Control</v>
      </c>
      <c r="F166">
        <f ca="1">OFFSET(Sheet2!H$4,(ROW(F167))*3,0)</f>
        <v>0</v>
      </c>
      <c r="G166" t="str">
        <f ca="1">OFFSET(Sheet2!I$4,(ROW(G167))*3,0)</f>
        <v>Comprehensive</v>
      </c>
      <c r="H166">
        <f ca="1">OFFSET(Sheet2!J$4,(ROW(H167))*3,0)</f>
        <v>36</v>
      </c>
      <c r="I166" t="str">
        <f ca="1">OFFSET(Sheet2!K$4,(ROW(I167))*3,0)</f>
        <v>Actions</v>
      </c>
      <c r="J166" t="str">
        <f ca="1">OFFSET(Sheet2!L$4,(ROW(J167))*3,0)</f>
        <v>changed</v>
      </c>
      <c r="K166" t="str">
        <f ca="1">OFFSET(Sheet2!M$4,(ROW(K167))*3,0)</f>
        <v>Keep it up</v>
      </c>
      <c r="L166" t="str">
        <f ca="1">OFFSET(Sheet2!N$4,(ROW(L167))*3,0)</f>
        <v>keep it up</v>
      </c>
      <c r="M166" t="str">
        <f ca="1">OFFSET(Sheet2!O$4,(ROW(M167))*3,0)</f>
        <v>keep it on</v>
      </c>
      <c r="N166" t="str">
        <f ca="1">OFFSET(Sheet2!P$4,(ROW(N167))*3,0)</f>
        <v>keep it on</v>
      </c>
      <c r="O166" t="str">
        <f ca="1">OFFSET(Sheet2!Q$4,(ROW(O167))*3,0)</f>
        <v>keep it on</v>
      </c>
      <c r="P166" t="str">
        <f ca="1">OFFSET(Sheet2!R$4,(ROW(P167))*3,0)</f>
        <v>keep it up</v>
      </c>
      <c r="Q166" t="str">
        <f ca="1">OFFSET(Sheet2!S$4,(ROW(Q167))*3,0)</f>
        <v>keep it on</v>
      </c>
      <c r="R166" t="str">
        <f ca="1">OFFSET(Sheet2!T$4,(ROW(R167))*3,0)</f>
        <v>keep it on</v>
      </c>
      <c r="S166">
        <f ca="1">OFFSET(Sheet2!U$2,(ROW(S167))*3,0)</f>
        <v>0</v>
      </c>
      <c r="T166">
        <f ca="1">OFFSET(Sheet2!V$2,(ROW(T167))*3,0)</f>
        <v>0</v>
      </c>
    </row>
    <row r="167" spans="1:20" x14ac:dyDescent="0.35">
      <c r="A167">
        <f ca="1">OFFSET(Sheet2!B$4,(ROW(A168))*3,0)</f>
        <v>43855</v>
      </c>
      <c r="B167">
        <f ca="1">OFFSET(Sheet2!C$4,(ROW(B168))*3,0)</f>
        <v>29</v>
      </c>
      <c r="C167" t="str">
        <f ca="1">OFFSET(Sheet2!D$4,(ROW(C168))*3,0)</f>
        <v>South</v>
      </c>
      <c r="D167" t="str">
        <f ca="1">OFFSET(Sheet2!F$4,(ROW(D168))*3,0)</f>
        <v>WAZENGE SALIMU</v>
      </c>
      <c r="E167" t="str">
        <f ca="1">OFFSET(Sheet2!G$4,(ROW(E168))*3,0)</f>
        <v>H2GO</v>
      </c>
      <c r="F167">
        <f ca="1">OFFSET(Sheet2!H$4,(ROW(F168))*3,0)</f>
        <v>0</v>
      </c>
      <c r="G167" t="str">
        <f ca="1">OFFSET(Sheet2!I$4,(ROW(G168))*3,0)</f>
        <v>WEEKLY</v>
      </c>
      <c r="H167">
        <f ca="1">OFFSET(Sheet2!J$4,(ROW(H168))*3,0)</f>
        <v>72</v>
      </c>
      <c r="I167" t="str">
        <f ca="1">OFFSET(Sheet2!K$4,(ROW(I168))*3,0)</f>
        <v>Actions</v>
      </c>
      <c r="J167" t="str">
        <f ca="1">OFFSET(Sheet2!L$4,(ROW(J168))*3,0)</f>
        <v>CHANGED</v>
      </c>
      <c r="K167" t="str">
        <f ca="1">OFFSET(Sheet2!M$4,(ROW(K168))*3,0)</f>
        <v>NOTHING DONE</v>
      </c>
      <c r="L167" t="str">
        <f ca="1">OFFSET(Sheet2!N$4,(ROW(L168))*3,0)</f>
        <v>Nothing done</v>
      </c>
      <c r="M167" t="str">
        <f ca="1">OFFSET(Sheet2!O$4,(ROW(M168))*3,0)</f>
        <v>nothing done</v>
      </c>
      <c r="N167" t="str">
        <f ca="1">OFFSET(Sheet2!P$4,(ROW(N168))*3,0)</f>
        <v>Replaced</v>
      </c>
      <c r="O167" t="str">
        <f ca="1">OFFSET(Sheet2!Q$4,(ROW(O168))*3,0)</f>
        <v>NOTHING DONE</v>
      </c>
      <c r="P167">
        <f ca="1">OFFSET(Sheet2!R$4,(ROW(P168))*3,0)</f>
        <v>0</v>
      </c>
      <c r="Q167">
        <f ca="1">OFFSET(Sheet2!S$4,(ROW(Q168))*3,0)</f>
        <v>0</v>
      </c>
      <c r="R167">
        <f ca="1">OFFSET(Sheet2!T$4,(ROW(R168))*3,0)</f>
        <v>0</v>
      </c>
      <c r="S167">
        <f ca="1">OFFSET(Sheet2!U$2,(ROW(S168))*3,0)</f>
        <v>0</v>
      </c>
      <c r="T167">
        <f ca="1">OFFSET(Sheet2!V$2,(ROW(T168))*3,0)</f>
        <v>0</v>
      </c>
    </row>
    <row r="168" spans="1:20" x14ac:dyDescent="0.35">
      <c r="A168">
        <f ca="1">OFFSET(Sheet2!B$4,(ROW(A169))*3,0)</f>
        <v>43862</v>
      </c>
      <c r="B168">
        <f ca="1">OFFSET(Sheet2!C$4,(ROW(B169))*3,0)</f>
        <v>29</v>
      </c>
      <c r="C168" t="str">
        <f ca="1">OFFSET(Sheet2!D$4,(ROW(C169))*3,0)</f>
        <v>South</v>
      </c>
      <c r="D168" t="str">
        <f ca="1">OFFSET(Sheet2!F$4,(ROW(D169))*3,0)</f>
        <v>WAZENGE SALIMU</v>
      </c>
      <c r="E168" t="str">
        <f ca="1">OFFSET(Sheet2!G$4,(ROW(E169))*3,0)</f>
        <v>H2Go</v>
      </c>
      <c r="F168">
        <f ca="1">OFFSET(Sheet2!H$4,(ROW(F169))*3,0)</f>
        <v>0</v>
      </c>
      <c r="G168" t="str">
        <f ca="1">OFFSET(Sheet2!I$4,(ROW(G169))*3,0)</f>
        <v>WEEKLY</v>
      </c>
      <c r="H168">
        <f ca="1">OFFSET(Sheet2!J$4,(ROW(H169))*3,0)</f>
        <v>86</v>
      </c>
      <c r="I168" t="str">
        <f ca="1">OFFSET(Sheet2!K$4,(ROW(I169))*3,0)</f>
        <v>Actions</v>
      </c>
      <c r="J168" t="str">
        <f ca="1">OFFSET(Sheet2!L$4,(ROW(J169))*3,0)</f>
        <v>CHANGED</v>
      </c>
      <c r="K168" t="str">
        <f ca="1">OFFSET(Sheet2!M$4,(ROW(K169))*3,0)</f>
        <v>NOTHING DONE</v>
      </c>
      <c r="L168" t="str">
        <f ca="1">OFFSET(Sheet2!N$4,(ROW(L169))*3,0)</f>
        <v>Nothing done</v>
      </c>
      <c r="M168" t="str">
        <f ca="1">OFFSET(Sheet2!O$4,(ROW(M169))*3,0)</f>
        <v>nothing done</v>
      </c>
      <c r="N168" t="str">
        <f ca="1">OFFSET(Sheet2!P$4,(ROW(N169))*3,0)</f>
        <v>Nothing done</v>
      </c>
      <c r="O168" t="str">
        <f ca="1">OFFSET(Sheet2!Q$4,(ROW(O169))*3,0)</f>
        <v>NOTHING DONE</v>
      </c>
      <c r="P168">
        <f ca="1">OFFSET(Sheet2!R$4,(ROW(P169))*3,0)</f>
        <v>0</v>
      </c>
      <c r="Q168">
        <f ca="1">OFFSET(Sheet2!S$4,(ROW(Q169))*3,0)</f>
        <v>0</v>
      </c>
      <c r="R168">
        <f ca="1">OFFSET(Sheet2!T$4,(ROW(R169))*3,0)</f>
        <v>0</v>
      </c>
      <c r="S168">
        <f ca="1">OFFSET(Sheet2!U$2,(ROW(S169))*3,0)</f>
        <v>0</v>
      </c>
      <c r="T168">
        <f ca="1">OFFSET(Sheet2!V$2,(ROW(T169))*3,0)</f>
        <v>0</v>
      </c>
    </row>
    <row r="169" spans="1:20" x14ac:dyDescent="0.35">
      <c r="A169">
        <f ca="1">OFFSET(Sheet2!B$4,(ROW(A170))*3,0)</f>
        <v>43869</v>
      </c>
      <c r="B169">
        <f ca="1">OFFSET(Sheet2!C$4,(ROW(B170))*3,0)</f>
        <v>29</v>
      </c>
      <c r="C169" t="str">
        <f ca="1">OFFSET(Sheet2!D$4,(ROW(C170))*3,0)</f>
        <v>South</v>
      </c>
      <c r="D169" t="str">
        <f ca="1">OFFSET(Sheet2!F$4,(ROW(D170))*3,0)</f>
        <v>WAZENGE SALIMU</v>
      </c>
      <c r="E169" t="str">
        <f ca="1">OFFSET(Sheet2!G$4,(ROW(E170))*3,0)</f>
        <v>Control</v>
      </c>
      <c r="F169">
        <f ca="1">OFFSET(Sheet2!H$4,(ROW(F170))*3,0)</f>
        <v>0</v>
      </c>
      <c r="G169" t="str">
        <f ca="1">OFFSET(Sheet2!I$4,(ROW(G170))*3,0)</f>
        <v>WEEKLY</v>
      </c>
      <c r="H169">
        <f ca="1">OFFSET(Sheet2!J$4,(ROW(H170))*3,0)</f>
        <v>77</v>
      </c>
      <c r="I169" t="str">
        <f ca="1">OFFSET(Sheet2!K$4,(ROW(I170))*3,0)</f>
        <v>Actions</v>
      </c>
      <c r="J169" t="str">
        <f ca="1">OFFSET(Sheet2!L$4,(ROW(J170))*3,0)</f>
        <v>IT WAS CHANGED</v>
      </c>
      <c r="K169" t="str">
        <f ca="1">OFFSET(Sheet2!M$4,(ROW(K170))*3,0)</f>
        <v>MAINTAINED</v>
      </c>
      <c r="L169" t="str">
        <f ca="1">OFFSET(Sheet2!N$4,(ROW(L170))*3,0)</f>
        <v>THEY WERE SET</v>
      </c>
      <c r="M169" t="str">
        <f ca="1">OFFSET(Sheet2!O$4,(ROW(M170))*3,0)</f>
        <v>Nothing done</v>
      </c>
      <c r="N169" t="str">
        <f ca="1">OFFSET(Sheet2!P$4,(ROW(N170))*3,0)</f>
        <v>SOOT WAS CLEANED</v>
      </c>
      <c r="O169" t="str">
        <f ca="1">OFFSET(Sheet2!Q$4,(ROW(O170))*3,0)</f>
        <v>CHECKED</v>
      </c>
      <c r="P169">
        <f ca="1">OFFSET(Sheet2!R$4,(ROW(P170))*3,0)</f>
        <v>0</v>
      </c>
      <c r="Q169">
        <f ca="1">OFFSET(Sheet2!S$4,(ROW(Q170))*3,0)</f>
        <v>0</v>
      </c>
      <c r="R169">
        <f ca="1">OFFSET(Sheet2!T$4,(ROW(R170))*3,0)</f>
        <v>0</v>
      </c>
      <c r="S169">
        <f ca="1">OFFSET(Sheet2!U$2,(ROW(S170))*3,0)</f>
        <v>0</v>
      </c>
      <c r="T169">
        <f ca="1">OFFSET(Sheet2!V$2,(ROW(T170))*3,0)</f>
        <v>0</v>
      </c>
    </row>
    <row r="170" spans="1:20" x14ac:dyDescent="0.35">
      <c r="A170">
        <f ca="1">OFFSET(Sheet2!B$4,(ROW(A171))*3,0)</f>
        <v>43876</v>
      </c>
      <c r="B170">
        <f ca="1">OFFSET(Sheet2!C$4,(ROW(B171))*3,0)</f>
        <v>29</v>
      </c>
      <c r="C170" t="str">
        <f ca="1">OFFSET(Sheet2!D$4,(ROW(C171))*3,0)</f>
        <v>South</v>
      </c>
      <c r="D170" t="str">
        <f ca="1">OFFSET(Sheet2!F$4,(ROW(D171))*3,0)</f>
        <v>WAZENGE SALIMU</v>
      </c>
      <c r="E170" t="str">
        <f ca="1">OFFSET(Sheet2!G$4,(ROW(E171))*3,0)</f>
        <v>H2Go</v>
      </c>
      <c r="F170">
        <f ca="1">OFFSET(Sheet2!H$4,(ROW(F171))*3,0)</f>
        <v>0</v>
      </c>
      <c r="G170" t="str">
        <f ca="1">OFFSET(Sheet2!I$4,(ROW(G171))*3,0)</f>
        <v>WEEKLY</v>
      </c>
      <c r="H170">
        <f ca="1">OFFSET(Sheet2!J$4,(ROW(H171))*3,0)</f>
        <v>143</v>
      </c>
      <c r="I170" t="str">
        <f ca="1">OFFSET(Sheet2!K$4,(ROW(I171))*3,0)</f>
        <v>Actions</v>
      </c>
      <c r="J170" t="str">
        <f ca="1">OFFSET(Sheet2!L$4,(ROW(J171))*3,0)</f>
        <v>CHANGED</v>
      </c>
      <c r="K170" t="str">
        <f ca="1">OFFSET(Sheet2!M$4,(ROW(K171))*3,0)</f>
        <v>SERVICED</v>
      </c>
      <c r="L170" t="str">
        <f ca="1">OFFSET(Sheet2!N$4,(ROW(L171))*3,0)</f>
        <v>SET</v>
      </c>
      <c r="M170" t="str">
        <f ca="1">OFFSET(Sheet2!O$4,(ROW(M171))*3,0)</f>
        <v>Nothing done</v>
      </c>
      <c r="N170" t="str">
        <f ca="1">OFFSET(Sheet2!P$4,(ROW(N171))*3,0)</f>
        <v>NOTHING DONE</v>
      </c>
      <c r="O170" t="str">
        <f ca="1">OFFSET(Sheet2!Q$4,(ROW(O171))*3,0)</f>
        <v>NOTHING DONE</v>
      </c>
      <c r="P170">
        <f ca="1">OFFSET(Sheet2!R$4,(ROW(P171))*3,0)</f>
        <v>0</v>
      </c>
      <c r="Q170">
        <f ca="1">OFFSET(Sheet2!S$4,(ROW(Q171))*3,0)</f>
        <v>0</v>
      </c>
      <c r="R170">
        <f ca="1">OFFSET(Sheet2!T$4,(ROW(R171))*3,0)</f>
        <v>0</v>
      </c>
      <c r="S170">
        <f ca="1">OFFSET(Sheet2!U$2,(ROW(S171))*3,0)</f>
        <v>0</v>
      </c>
      <c r="T170">
        <f ca="1">OFFSET(Sheet2!V$2,(ROW(T171))*3,0)</f>
        <v>0</v>
      </c>
    </row>
    <row r="171" spans="1:20" x14ac:dyDescent="0.35">
      <c r="A171">
        <f ca="1">OFFSET(Sheet2!B$4,(ROW(A172))*3,0)</f>
        <v>43885</v>
      </c>
      <c r="B171">
        <f ca="1">OFFSET(Sheet2!C$4,(ROW(B172))*3,0)</f>
        <v>29</v>
      </c>
      <c r="C171" t="str">
        <f ca="1">OFFSET(Sheet2!D$4,(ROW(C172))*3,0)</f>
        <v>South</v>
      </c>
      <c r="D171" t="str">
        <f ca="1">OFFSET(Sheet2!F$4,(ROW(D172))*3,0)</f>
        <v>WAZENGE SALIMU</v>
      </c>
      <c r="E171" t="str">
        <f ca="1">OFFSET(Sheet2!G$4,(ROW(E172))*3,0)</f>
        <v>CONTROL</v>
      </c>
      <c r="F171">
        <f ca="1">OFFSET(Sheet2!H$4,(ROW(F172))*3,0)</f>
        <v>0</v>
      </c>
      <c r="G171" t="str">
        <f ca="1">OFFSET(Sheet2!I$4,(ROW(G172))*3,0)</f>
        <v>WEEKLY</v>
      </c>
      <c r="H171">
        <f ca="1">OFFSET(Sheet2!J$4,(ROW(H172))*3,0)</f>
        <v>132</v>
      </c>
      <c r="I171" t="str">
        <f ca="1">OFFSET(Sheet2!K$4,(ROW(I172))*3,0)</f>
        <v>Actions</v>
      </c>
      <c r="J171" t="str">
        <f ca="1">OFFSET(Sheet2!L$4,(ROW(J172))*3,0)</f>
        <v>Chagned</v>
      </c>
      <c r="K171" t="str">
        <f ca="1">OFFSET(Sheet2!M$4,(ROW(K172))*3,0)</f>
        <v>Nothing done</v>
      </c>
      <c r="L171" t="str">
        <f ca="1">OFFSET(Sheet2!N$4,(ROW(L172))*3,0)</f>
        <v>Nothing done</v>
      </c>
      <c r="M171" t="str">
        <f ca="1">OFFSET(Sheet2!O$4,(ROW(M172))*3,0)</f>
        <v>Cleaned Filter</v>
      </c>
      <c r="N171" t="str">
        <f ca="1">OFFSET(Sheet2!P$4,(ROW(N172))*3,0)</f>
        <v>Nothing done</v>
      </c>
      <c r="O171" t="str">
        <f ca="1">OFFSET(Sheet2!Q$4,(ROW(O172))*3,0)</f>
        <v>Nothing Done</v>
      </c>
      <c r="P171">
        <f ca="1">OFFSET(Sheet2!R$4,(ROW(P172))*3,0)</f>
        <v>0</v>
      </c>
      <c r="Q171">
        <f ca="1">OFFSET(Sheet2!S$4,(ROW(Q172))*3,0)</f>
        <v>0</v>
      </c>
      <c r="R171">
        <f ca="1">OFFSET(Sheet2!T$4,(ROW(R172))*3,0)</f>
        <v>0</v>
      </c>
      <c r="S171">
        <f ca="1">OFFSET(Sheet2!U$2,(ROW(S172))*3,0)</f>
        <v>0</v>
      </c>
      <c r="T171">
        <f ca="1">OFFSET(Sheet2!V$2,(ROW(T172))*3,0)</f>
        <v>0</v>
      </c>
    </row>
    <row r="172" spans="1:20" x14ac:dyDescent="0.35">
      <c r="A172">
        <f ca="1">OFFSET(Sheet2!B$4,(ROW(A173))*3,0)</f>
        <v>43892</v>
      </c>
      <c r="B172">
        <f ca="1">OFFSET(Sheet2!C$4,(ROW(B173))*3,0)</f>
        <v>29</v>
      </c>
      <c r="C172" t="str">
        <f ca="1">OFFSET(Sheet2!D$4,(ROW(C173))*3,0)</f>
        <v>South</v>
      </c>
      <c r="D172" t="str">
        <f ca="1">OFFSET(Sheet2!F$4,(ROW(D173))*3,0)</f>
        <v>WAZENGE SALIMU</v>
      </c>
      <c r="E172" t="str">
        <f ca="1">OFFSET(Sheet2!G$4,(ROW(E173))*3,0)</f>
        <v>CONTROL</v>
      </c>
      <c r="F172">
        <f ca="1">OFFSET(Sheet2!H$4,(ROW(F173))*3,0)</f>
        <v>0</v>
      </c>
      <c r="G172" t="str">
        <f ca="1">OFFSET(Sheet2!I$4,(ROW(G173))*3,0)</f>
        <v>WEEKLY</v>
      </c>
      <c r="H172">
        <f ca="1">OFFSET(Sheet2!J$4,(ROW(H173))*3,0)</f>
        <v>137</v>
      </c>
      <c r="I172" t="str">
        <f ca="1">OFFSET(Sheet2!K$4,(ROW(I173))*3,0)</f>
        <v>Actions</v>
      </c>
      <c r="J172" t="str">
        <f ca="1">OFFSET(Sheet2!L$4,(ROW(J173))*3,0)</f>
        <v>Chagned</v>
      </c>
      <c r="K172" t="str">
        <f ca="1">OFFSET(Sheet2!M$4,(ROW(K173))*3,0)</f>
        <v>Carberator was cleaned</v>
      </c>
      <c r="L172" t="str">
        <f ca="1">OFFSET(Sheet2!N$4,(ROW(L173))*3,0)</f>
        <v>Aligned/adjusted</v>
      </c>
      <c r="M172" t="str">
        <f ca="1">OFFSET(Sheet2!O$4,(ROW(M173))*3,0)</f>
        <v>Cleaned Filter</v>
      </c>
      <c r="N172" t="str">
        <f ca="1">OFFSET(Sheet2!P$4,(ROW(N173))*3,0)</f>
        <v>Replaced Spark Plug</v>
      </c>
      <c r="O172" t="str">
        <f ca="1">OFFSET(Sheet2!Q$4,(ROW(O173))*3,0)</f>
        <v>Nothing done, despite recommendation</v>
      </c>
      <c r="P172">
        <f ca="1">OFFSET(Sheet2!R$4,(ROW(P173))*3,0)</f>
        <v>0</v>
      </c>
      <c r="Q172">
        <f ca="1">OFFSET(Sheet2!S$4,(ROW(Q173))*3,0)</f>
        <v>0</v>
      </c>
      <c r="R172">
        <f ca="1">OFFSET(Sheet2!T$4,(ROW(R173))*3,0)</f>
        <v>0</v>
      </c>
      <c r="S172">
        <f ca="1">OFFSET(Sheet2!U$2,(ROW(S173))*3,0)</f>
        <v>0</v>
      </c>
      <c r="T172">
        <f ca="1">OFFSET(Sheet2!V$2,(ROW(T173))*3,0)</f>
        <v>0</v>
      </c>
    </row>
    <row r="173" spans="1:20" x14ac:dyDescent="0.35">
      <c r="A173">
        <f ca="1">OFFSET(Sheet2!B$4,(ROW(A174))*3,0)</f>
        <v>43848</v>
      </c>
      <c r="B173">
        <f ca="1">OFFSET(Sheet2!C$4,(ROW(B174))*3,0)</f>
        <v>30</v>
      </c>
      <c r="C173" t="str">
        <f ca="1">OFFSET(Sheet2!D$4,(ROW(C174))*3,0)</f>
        <v>South</v>
      </c>
      <c r="D173" t="str">
        <f ca="1">OFFSET(Sheet2!F$4,(ROW(D174))*3,0)</f>
        <v>NABENDE AARON</v>
      </c>
      <c r="E173" t="str">
        <f ca="1">OFFSET(Sheet2!G$4,(ROW(E174))*3,0)</f>
        <v>Control</v>
      </c>
      <c r="F173">
        <f ca="1">OFFSET(Sheet2!H$4,(ROW(F174))*3,0)</f>
        <v>0</v>
      </c>
      <c r="G173" t="str">
        <f ca="1">OFFSET(Sheet2!I$4,(ROW(G174))*3,0)</f>
        <v>Comprehensive</v>
      </c>
      <c r="H173">
        <f ca="1">OFFSET(Sheet2!J$4,(ROW(H174))*3,0)</f>
        <v>40</v>
      </c>
      <c r="I173" t="str">
        <f ca="1">OFFSET(Sheet2!K$4,(ROW(I174))*3,0)</f>
        <v>Actions</v>
      </c>
      <c r="J173" t="str">
        <f ca="1">OFFSET(Sheet2!L$4,(ROW(J174))*3,0)</f>
        <v>changed</v>
      </c>
      <c r="K173" t="str">
        <f ca="1">OFFSET(Sheet2!M$4,(ROW(K174))*3,0)</f>
        <v>Keep it up</v>
      </c>
      <c r="L173" t="str">
        <f ca="1">OFFSET(Sheet2!N$4,(ROW(L174))*3,0)</f>
        <v>keep it on</v>
      </c>
      <c r="M173" t="str">
        <f ca="1">OFFSET(Sheet2!O$4,(ROW(M174))*3,0)</f>
        <v>keep it up</v>
      </c>
      <c r="N173" t="str">
        <f ca="1">OFFSET(Sheet2!P$4,(ROW(N174))*3,0)</f>
        <v>keep it up</v>
      </c>
      <c r="O173" t="str">
        <f ca="1">OFFSET(Sheet2!Q$4,(ROW(O174))*3,0)</f>
        <v>keep it on</v>
      </c>
      <c r="P173">
        <f ca="1">OFFSET(Sheet2!R$4,(ROW(P174))*3,0)</f>
        <v>0</v>
      </c>
      <c r="Q173">
        <f ca="1">OFFSET(Sheet2!S$4,(ROW(Q174))*3,0)</f>
        <v>0</v>
      </c>
      <c r="R173">
        <f ca="1">OFFSET(Sheet2!T$4,(ROW(R174))*3,0)</f>
        <v>0</v>
      </c>
      <c r="S173">
        <f ca="1">OFFSET(Sheet2!U$2,(ROW(S174))*3,0)</f>
        <v>0</v>
      </c>
      <c r="T173">
        <f ca="1">OFFSET(Sheet2!V$2,(ROW(T174))*3,0)</f>
        <v>0</v>
      </c>
    </row>
    <row r="174" spans="1:20" x14ac:dyDescent="0.35">
      <c r="A174">
        <f ca="1">OFFSET(Sheet2!B$4,(ROW(A175))*3,0)</f>
        <v>43855</v>
      </c>
      <c r="B174">
        <f ca="1">OFFSET(Sheet2!C$4,(ROW(B175))*3,0)</f>
        <v>30</v>
      </c>
      <c r="C174" t="str">
        <f ca="1">OFFSET(Sheet2!D$4,(ROW(C175))*3,0)</f>
        <v>South</v>
      </c>
      <c r="D174" t="str">
        <f ca="1">OFFSET(Sheet2!F$4,(ROW(D175))*3,0)</f>
        <v>NABENDE AARON</v>
      </c>
      <c r="E174" t="str">
        <f ca="1">OFFSET(Sheet2!G$4,(ROW(E175))*3,0)</f>
        <v>Control</v>
      </c>
      <c r="F174">
        <f ca="1">OFFSET(Sheet2!H$4,(ROW(F175))*3,0)</f>
        <v>0</v>
      </c>
      <c r="G174" t="str">
        <f ca="1">OFFSET(Sheet2!I$4,(ROW(G175))*3,0)</f>
        <v>WEEKLY</v>
      </c>
      <c r="H174">
        <f ca="1">OFFSET(Sheet2!J$4,(ROW(H175))*3,0)</f>
        <v>69</v>
      </c>
      <c r="I174" t="str">
        <f ca="1">OFFSET(Sheet2!K$4,(ROW(I175))*3,0)</f>
        <v>Actions</v>
      </c>
      <c r="J174" t="str">
        <f ca="1">OFFSET(Sheet2!L$4,(ROW(J175))*3,0)</f>
        <v>CHANGED</v>
      </c>
      <c r="K174" t="str">
        <f ca="1">OFFSET(Sheet2!M$4,(ROW(K175))*3,0)</f>
        <v>Keep it up</v>
      </c>
      <c r="L174" t="str">
        <f ca="1">OFFSET(Sheet2!N$4,(ROW(L175))*3,0)</f>
        <v>KEEP IT ON</v>
      </c>
      <c r="M174" t="str">
        <f ca="1">OFFSET(Sheet2!O$4,(ROW(M175))*3,0)</f>
        <v>KEEP IT ON</v>
      </c>
      <c r="N174" t="str">
        <f ca="1">OFFSET(Sheet2!P$4,(ROW(N175))*3,0)</f>
        <v>KEEP IT UP</v>
      </c>
      <c r="O174" t="str">
        <f ca="1">OFFSET(Sheet2!Q$4,(ROW(O175))*3,0)</f>
        <v>DONE</v>
      </c>
      <c r="P174">
        <f ca="1">OFFSET(Sheet2!R$4,(ROW(P175))*3,0)</f>
        <v>0</v>
      </c>
      <c r="Q174">
        <f ca="1">OFFSET(Sheet2!S$4,(ROW(Q175))*3,0)</f>
        <v>0</v>
      </c>
      <c r="R174">
        <f ca="1">OFFSET(Sheet2!T$4,(ROW(R175))*3,0)</f>
        <v>0</v>
      </c>
      <c r="S174">
        <f ca="1">OFFSET(Sheet2!U$2,(ROW(S175))*3,0)</f>
        <v>0</v>
      </c>
      <c r="T174">
        <f ca="1">OFFSET(Sheet2!V$2,(ROW(T175))*3,0)</f>
        <v>0</v>
      </c>
    </row>
    <row r="175" spans="1:20" x14ac:dyDescent="0.35">
      <c r="A175">
        <f ca="1">OFFSET(Sheet2!B$4,(ROW(A176))*3,0)</f>
        <v>43862</v>
      </c>
      <c r="B175">
        <f ca="1">OFFSET(Sheet2!C$4,(ROW(B176))*3,0)</f>
        <v>30</v>
      </c>
      <c r="C175" t="str">
        <f ca="1">OFFSET(Sheet2!D$4,(ROW(C176))*3,0)</f>
        <v>South</v>
      </c>
      <c r="D175" t="str">
        <f ca="1">OFFSET(Sheet2!F$4,(ROW(D176))*3,0)</f>
        <v>NABENDE AARON</v>
      </c>
      <c r="E175" t="str">
        <f ca="1">OFFSET(Sheet2!G$4,(ROW(E176))*3,0)</f>
        <v>CONTROL</v>
      </c>
      <c r="F175">
        <f ca="1">OFFSET(Sheet2!H$4,(ROW(F176))*3,0)</f>
        <v>0</v>
      </c>
      <c r="G175" t="str">
        <f ca="1">OFFSET(Sheet2!I$4,(ROW(G176))*3,0)</f>
        <v>WEEKLY</v>
      </c>
      <c r="H175">
        <f ca="1">OFFSET(Sheet2!J$4,(ROW(H176))*3,0)</f>
        <v>90</v>
      </c>
      <c r="I175" t="str">
        <f ca="1">OFFSET(Sheet2!K$4,(ROW(I176))*3,0)</f>
        <v>Actions</v>
      </c>
      <c r="J175" t="str">
        <f ca="1">OFFSET(Sheet2!L$4,(ROW(J176))*3,0)</f>
        <v>CHANGED</v>
      </c>
      <c r="K175" t="str">
        <f ca="1">OFFSET(Sheet2!M$4,(ROW(K176))*3,0)</f>
        <v>SERVICED</v>
      </c>
      <c r="L175" t="str">
        <f ca="1">OFFSET(Sheet2!N$4,(ROW(L176))*3,0)</f>
        <v>KEEP IT UP</v>
      </c>
      <c r="M175" t="str">
        <f ca="1">OFFSET(Sheet2!O$4,(ROW(M176))*3,0)</f>
        <v>KEEP IT UP</v>
      </c>
      <c r="N175" t="str">
        <f ca="1">OFFSET(Sheet2!P$4,(ROW(N176))*3,0)</f>
        <v>KEEP IT UP</v>
      </c>
      <c r="O175" t="str">
        <f ca="1">OFFSET(Sheet2!Q$4,(ROW(O176))*3,0)</f>
        <v>KEEP IT UP</v>
      </c>
      <c r="P175">
        <f ca="1">OFFSET(Sheet2!R$4,(ROW(P176))*3,0)</f>
        <v>0</v>
      </c>
      <c r="Q175">
        <f ca="1">OFFSET(Sheet2!S$4,(ROW(Q176))*3,0)</f>
        <v>0</v>
      </c>
      <c r="R175">
        <f ca="1">OFFSET(Sheet2!T$4,(ROW(R176))*3,0)</f>
        <v>0</v>
      </c>
      <c r="S175">
        <f ca="1">OFFSET(Sheet2!U$2,(ROW(S176))*3,0)</f>
        <v>0</v>
      </c>
      <c r="T175">
        <f ca="1">OFFSET(Sheet2!V$2,(ROW(T176))*3,0)</f>
        <v>0</v>
      </c>
    </row>
    <row r="176" spans="1:20" x14ac:dyDescent="0.35">
      <c r="A176">
        <f ca="1">OFFSET(Sheet2!B$4,(ROW(A177))*3,0)</f>
        <v>43876</v>
      </c>
      <c r="B176">
        <f ca="1">OFFSET(Sheet2!C$4,(ROW(B177))*3,0)</f>
        <v>30</v>
      </c>
      <c r="C176" t="str">
        <f ca="1">OFFSET(Sheet2!D$4,(ROW(C177))*3,0)</f>
        <v>South</v>
      </c>
      <c r="D176" t="str">
        <f ca="1">OFFSET(Sheet2!F$4,(ROW(D177))*3,0)</f>
        <v>NABENDE AARON</v>
      </c>
      <c r="E176" t="str">
        <f ca="1">OFFSET(Sheet2!G$4,(ROW(E177))*3,0)</f>
        <v>H2Go</v>
      </c>
      <c r="F176">
        <f ca="1">OFFSET(Sheet2!H$4,(ROW(F177))*3,0)</f>
        <v>0</v>
      </c>
      <c r="G176" t="str">
        <f ca="1">OFFSET(Sheet2!I$4,(ROW(G177))*3,0)</f>
        <v>WEEKLY</v>
      </c>
      <c r="H176">
        <f ca="1">OFFSET(Sheet2!J$4,(ROW(H177))*3,0)</f>
        <v>123</v>
      </c>
      <c r="I176" t="str">
        <f ca="1">OFFSET(Sheet2!K$4,(ROW(I177))*3,0)</f>
        <v>Actions</v>
      </c>
      <c r="J176" t="str">
        <f ca="1">OFFSET(Sheet2!L$4,(ROW(J177))*3,0)</f>
        <v>CHANGED</v>
      </c>
      <c r="K176" t="str">
        <f ca="1">OFFSET(Sheet2!M$4,(ROW(K177))*3,0)</f>
        <v>CHECKED</v>
      </c>
      <c r="L176" t="str">
        <f ca="1">OFFSET(Sheet2!N$4,(ROW(L177))*3,0)</f>
        <v>CHECKED</v>
      </c>
      <c r="M176" t="str">
        <f ca="1">OFFSET(Sheet2!O$4,(ROW(M177))*3,0)</f>
        <v>CHECKED</v>
      </c>
      <c r="N176" t="str">
        <f ca="1">OFFSET(Sheet2!P$4,(ROW(N177))*3,0)</f>
        <v>CHECKED</v>
      </c>
      <c r="O176" t="str">
        <f ca="1">OFFSET(Sheet2!Q$4,(ROW(O177))*3,0)</f>
        <v>CHECKED</v>
      </c>
      <c r="P176">
        <f ca="1">OFFSET(Sheet2!R$4,(ROW(P177))*3,0)</f>
        <v>0</v>
      </c>
      <c r="Q176">
        <f ca="1">OFFSET(Sheet2!S$4,(ROW(Q177))*3,0)</f>
        <v>0</v>
      </c>
      <c r="R176">
        <f ca="1">OFFSET(Sheet2!T$4,(ROW(R177))*3,0)</f>
        <v>0</v>
      </c>
      <c r="S176">
        <f ca="1">OFFSET(Sheet2!U$2,(ROW(S177))*3,0)</f>
        <v>0</v>
      </c>
      <c r="T176">
        <f ca="1">OFFSET(Sheet2!V$2,(ROW(T177))*3,0)</f>
        <v>0</v>
      </c>
    </row>
    <row r="177" spans="1:20" x14ac:dyDescent="0.35">
      <c r="A177">
        <f ca="1">OFFSET(Sheet2!B$4,(ROW(A178))*3,0)</f>
        <v>43885</v>
      </c>
      <c r="B177">
        <f ca="1">OFFSET(Sheet2!C$4,(ROW(B178))*3,0)</f>
        <v>30</v>
      </c>
      <c r="C177" t="str">
        <f ca="1">OFFSET(Sheet2!D$4,(ROW(C178))*3,0)</f>
        <v>South</v>
      </c>
      <c r="D177" t="str">
        <f ca="1">OFFSET(Sheet2!F$4,(ROW(D178))*3,0)</f>
        <v>NABENDE AARON</v>
      </c>
      <c r="E177" t="str">
        <f ca="1">OFFSET(Sheet2!G$4,(ROW(E178))*3,0)</f>
        <v>CONTROL</v>
      </c>
      <c r="F177">
        <f ca="1">OFFSET(Sheet2!H$4,(ROW(F178))*3,0)</f>
        <v>0</v>
      </c>
      <c r="G177" t="str">
        <f ca="1">OFFSET(Sheet2!I$4,(ROW(G178))*3,0)</f>
        <v>WEEKLY</v>
      </c>
      <c r="H177">
        <f ca="1">OFFSET(Sheet2!J$4,(ROW(H178))*3,0)</f>
        <v>145</v>
      </c>
      <c r="I177" t="str">
        <f ca="1">OFFSET(Sheet2!K$4,(ROW(I178))*3,0)</f>
        <v>Actions</v>
      </c>
      <c r="J177" t="str">
        <f ca="1">OFFSET(Sheet2!L$4,(ROW(J178))*3,0)</f>
        <v>Chagned</v>
      </c>
      <c r="K177" t="str">
        <f ca="1">OFFSET(Sheet2!M$4,(ROW(K178))*3,0)</f>
        <v>Nothing done</v>
      </c>
      <c r="L177" t="str">
        <f ca="1">OFFSET(Sheet2!N$4,(ROW(L178))*3,0)</f>
        <v>Nothing done</v>
      </c>
      <c r="M177" t="str">
        <f ca="1">OFFSET(Sheet2!O$4,(ROW(M178))*3,0)</f>
        <v>Nothing done</v>
      </c>
      <c r="N177" t="str">
        <f ca="1">OFFSET(Sheet2!P$4,(ROW(N178))*3,0)</f>
        <v>Nothing done</v>
      </c>
      <c r="O177" t="str">
        <f ca="1">OFFSET(Sheet2!Q$4,(ROW(O178))*3,0)</f>
        <v>Nothing Done</v>
      </c>
      <c r="P177">
        <f ca="1">OFFSET(Sheet2!R$4,(ROW(P178))*3,0)</f>
        <v>0</v>
      </c>
      <c r="Q177">
        <f ca="1">OFFSET(Sheet2!S$4,(ROW(Q178))*3,0)</f>
        <v>0</v>
      </c>
      <c r="R177">
        <f ca="1">OFFSET(Sheet2!T$4,(ROW(R178))*3,0)</f>
        <v>0</v>
      </c>
      <c r="S177">
        <f ca="1">OFFSET(Sheet2!U$2,(ROW(S178))*3,0)</f>
        <v>0</v>
      </c>
      <c r="T177">
        <f ca="1">OFFSET(Sheet2!V$2,(ROW(T178))*3,0)</f>
        <v>0</v>
      </c>
    </row>
    <row r="178" spans="1:20" x14ac:dyDescent="0.35">
      <c r="A178">
        <f ca="1">OFFSET(Sheet2!B$4,(ROW(A179))*3,0)</f>
        <v>43869</v>
      </c>
      <c r="B178">
        <f ca="1">OFFSET(Sheet2!C$4,(ROW(B179))*3,0)</f>
        <v>30</v>
      </c>
      <c r="C178" t="str">
        <f ca="1">OFFSET(Sheet2!D$4,(ROW(C179))*3,0)</f>
        <v>South</v>
      </c>
      <c r="D178" t="str">
        <f ca="1">OFFSET(Sheet2!F$4,(ROW(D179))*3,0)</f>
        <v>NABENDE AARON</v>
      </c>
      <c r="E178" t="str">
        <f ca="1">OFFSET(Sheet2!G$4,(ROW(E179))*3,0)</f>
        <v>CONTROL</v>
      </c>
      <c r="F178">
        <f ca="1">OFFSET(Sheet2!H$4,(ROW(F179))*3,0)</f>
        <v>0</v>
      </c>
      <c r="G178" t="str">
        <f ca="1">OFFSET(Sheet2!I$4,(ROW(G179))*3,0)</f>
        <v>WEEKLY</v>
      </c>
      <c r="H178">
        <f ca="1">OFFSET(Sheet2!J$4,(ROW(H179))*3,0)</f>
        <v>149</v>
      </c>
      <c r="I178" t="str">
        <f ca="1">OFFSET(Sheet2!K$4,(ROW(I179))*3,0)</f>
        <v>Actions</v>
      </c>
      <c r="J178" t="str">
        <f ca="1">OFFSET(Sheet2!L$4,(ROW(J179))*3,0)</f>
        <v>CHANGED</v>
      </c>
      <c r="K178" t="str">
        <f ca="1">OFFSET(Sheet2!M$4,(ROW(K179))*3,0)</f>
        <v>NOTHING DONE</v>
      </c>
      <c r="L178" t="str">
        <f ca="1">OFFSET(Sheet2!N$4,(ROW(L179))*3,0)</f>
        <v>NOTHING DONE</v>
      </c>
      <c r="M178" t="str">
        <f ca="1">OFFSET(Sheet2!O$4,(ROW(M179))*3,0)</f>
        <v>CLEANED</v>
      </c>
      <c r="N178" t="str">
        <f ca="1">OFFSET(Sheet2!P$4,(ROW(N179))*3,0)</f>
        <v>MAINTAINED</v>
      </c>
      <c r="O178" t="str">
        <f ca="1">OFFSET(Sheet2!Q$4,(ROW(O179))*3,0)</f>
        <v>NOTHING DONE</v>
      </c>
      <c r="P178">
        <f ca="1">OFFSET(Sheet2!R$4,(ROW(P179))*3,0)</f>
        <v>0</v>
      </c>
      <c r="Q178">
        <f ca="1">OFFSET(Sheet2!S$4,(ROW(Q179))*3,0)</f>
        <v>0</v>
      </c>
      <c r="R178">
        <f ca="1">OFFSET(Sheet2!T$4,(ROW(R179))*3,0)</f>
        <v>0</v>
      </c>
      <c r="S178">
        <f ca="1">OFFSET(Sheet2!U$2,(ROW(S179))*3,0)</f>
        <v>0</v>
      </c>
      <c r="T178">
        <f ca="1">OFFSET(Sheet2!V$2,(ROW(T179))*3,0)</f>
        <v>0</v>
      </c>
    </row>
    <row r="179" spans="1:20" x14ac:dyDescent="0.35">
      <c r="A179">
        <f ca="1">OFFSET(Sheet2!B$4,(ROW(A180))*3,0)</f>
        <v>43892</v>
      </c>
      <c r="B179">
        <f ca="1">OFFSET(Sheet2!C$4,(ROW(B180))*3,0)</f>
        <v>30</v>
      </c>
      <c r="C179" t="str">
        <f ca="1">OFFSET(Sheet2!D$4,(ROW(C180))*3,0)</f>
        <v>South</v>
      </c>
      <c r="D179" t="str">
        <f ca="1">OFFSET(Sheet2!F$4,(ROW(D180))*3,0)</f>
        <v>NABENDE AARON</v>
      </c>
      <c r="E179" t="str">
        <f ca="1">OFFSET(Sheet2!G$4,(ROW(E180))*3,0)</f>
        <v>CONTROL</v>
      </c>
      <c r="F179">
        <f ca="1">OFFSET(Sheet2!H$4,(ROW(F180))*3,0)</f>
        <v>0</v>
      </c>
      <c r="G179" t="str">
        <f ca="1">OFFSET(Sheet2!I$4,(ROW(G180))*3,0)</f>
        <v>WEEKLY</v>
      </c>
      <c r="H179">
        <f ca="1">OFFSET(Sheet2!J$4,(ROW(H180))*3,0)</f>
        <v>105</v>
      </c>
      <c r="I179" t="str">
        <f ca="1">OFFSET(Sheet2!K$4,(ROW(I180))*3,0)</f>
        <v>Actions</v>
      </c>
      <c r="J179" t="str">
        <f ca="1">OFFSET(Sheet2!L$4,(ROW(J180))*3,0)</f>
        <v>Chagned</v>
      </c>
      <c r="K179" t="str">
        <f ca="1">OFFSET(Sheet2!M$4,(ROW(K180))*3,0)</f>
        <v>Carberator was cleaned</v>
      </c>
      <c r="L179" t="str">
        <f ca="1">OFFSET(Sheet2!N$4,(ROW(L180))*3,0)</f>
        <v>Nothing done</v>
      </c>
      <c r="M179" t="str">
        <f ca="1">OFFSET(Sheet2!O$4,(ROW(M180))*3,0)</f>
        <v>Cleaned Filter</v>
      </c>
      <c r="N179" t="str">
        <f ca="1">OFFSET(Sheet2!P$4,(ROW(N180))*3,0)</f>
        <v>Nothing done, despite recommendation</v>
      </c>
      <c r="O179" t="str">
        <f ca="1">OFFSET(Sheet2!Q$4,(ROW(O180))*3,0)</f>
        <v xml:space="preserve">Replaced Nut </v>
      </c>
      <c r="P179">
        <f ca="1">OFFSET(Sheet2!R$4,(ROW(P180))*3,0)</f>
        <v>0</v>
      </c>
      <c r="Q179">
        <f ca="1">OFFSET(Sheet2!S$4,(ROW(Q180))*3,0)</f>
        <v>0</v>
      </c>
      <c r="R179">
        <f ca="1">OFFSET(Sheet2!T$4,(ROW(R180))*3,0)</f>
        <v>0</v>
      </c>
      <c r="S179">
        <f ca="1">OFFSET(Sheet2!U$2,(ROW(S180))*3,0)</f>
        <v>0</v>
      </c>
      <c r="T179">
        <f ca="1">OFFSET(Sheet2!V$2,(ROW(T180))*3,0)</f>
        <v>0</v>
      </c>
    </row>
    <row r="180" spans="1:20" x14ac:dyDescent="0.35">
      <c r="A180">
        <f ca="1">OFFSET(Sheet2!B$4,(ROW(A181))*3,0)</f>
        <v>43899</v>
      </c>
      <c r="B180">
        <f ca="1">OFFSET(Sheet2!C$4,(ROW(B181))*3,0)</f>
        <v>30</v>
      </c>
      <c r="C180" t="str">
        <f ca="1">OFFSET(Sheet2!D$4,(ROW(C181))*3,0)</f>
        <v>South</v>
      </c>
      <c r="D180" t="str">
        <f ca="1">OFFSET(Sheet2!F$4,(ROW(D181))*3,0)</f>
        <v>NABENDE AARON</v>
      </c>
      <c r="E180" t="str">
        <f ca="1">OFFSET(Sheet2!G$4,(ROW(E181))*3,0)</f>
        <v>CONTROL</v>
      </c>
      <c r="F180">
        <f ca="1">OFFSET(Sheet2!H$4,(ROW(F181))*3,0)</f>
        <v>0</v>
      </c>
      <c r="G180" t="str">
        <f ca="1">OFFSET(Sheet2!I$4,(ROW(G181))*3,0)</f>
        <v>WEEKLY</v>
      </c>
      <c r="H180">
        <f ca="1">OFFSET(Sheet2!J$4,(ROW(H181))*3,0)</f>
        <v>107</v>
      </c>
      <c r="I180" t="str">
        <f ca="1">OFFSET(Sheet2!K$4,(ROW(I181))*3,0)</f>
        <v>Actions</v>
      </c>
      <c r="J180" t="str">
        <f ca="1">OFFSET(Sheet2!L$4,(ROW(J181))*3,0)</f>
        <v>Chagned</v>
      </c>
      <c r="K180" t="str">
        <f ca="1">OFFSET(Sheet2!M$4,(ROW(K181))*3,0)</f>
        <v>Nothing done</v>
      </c>
      <c r="L180" t="str">
        <f ca="1">OFFSET(Sheet2!N$4,(ROW(L181))*3,0)</f>
        <v>Nothing done</v>
      </c>
      <c r="M180" t="str">
        <f ca="1">OFFSET(Sheet2!O$4,(ROW(M181))*3,0)</f>
        <v>Nothing done</v>
      </c>
      <c r="N180" t="str">
        <f ca="1">OFFSET(Sheet2!P$4,(ROW(N181))*3,0)</f>
        <v>Nothing done</v>
      </c>
      <c r="O180" t="str">
        <f ca="1">OFFSET(Sheet2!Q$4,(ROW(O181))*3,0)</f>
        <v>Nothing Done</v>
      </c>
      <c r="P180">
        <f ca="1">OFFSET(Sheet2!R$4,(ROW(P181))*3,0)</f>
        <v>0</v>
      </c>
      <c r="Q180">
        <f ca="1">OFFSET(Sheet2!S$4,(ROW(Q181))*3,0)</f>
        <v>0</v>
      </c>
      <c r="R180">
        <f ca="1">OFFSET(Sheet2!T$4,(ROW(R181))*3,0)</f>
        <v>0</v>
      </c>
      <c r="S180">
        <f ca="1">OFFSET(Sheet2!U$2,(ROW(S181))*3,0)</f>
        <v>0</v>
      </c>
      <c r="T180">
        <f ca="1">OFFSET(Sheet2!V$2,(ROW(T181))*3,0)</f>
        <v>0</v>
      </c>
    </row>
    <row r="181" spans="1:20" x14ac:dyDescent="0.35">
      <c r="A181">
        <f ca="1">OFFSET(Sheet2!B$4,(ROW(A182))*3,0)</f>
        <v>43855</v>
      </c>
      <c r="B181">
        <f ca="1">OFFSET(Sheet2!C$4,(ROW(B182))*3,0)</f>
        <v>31</v>
      </c>
      <c r="C181" t="str">
        <f ca="1">OFFSET(Sheet2!D$4,(ROW(C182))*3,0)</f>
        <v>South</v>
      </c>
      <c r="D181" t="str">
        <f ca="1">OFFSET(Sheet2!F$4,(ROW(D182))*3,0)</f>
        <v>JENGO YAHAYA</v>
      </c>
      <c r="E181" t="str">
        <f ca="1">OFFSET(Sheet2!G$4,(ROW(E182))*3,0)</f>
        <v>Control</v>
      </c>
      <c r="F181">
        <f ca="1">OFFSET(Sheet2!H$4,(ROW(F182))*3,0)</f>
        <v>0</v>
      </c>
      <c r="G181" t="str">
        <f ca="1">OFFSET(Sheet2!I$4,(ROW(G182))*3,0)</f>
        <v>Comprehensive</v>
      </c>
      <c r="H181">
        <f ca="1">OFFSET(Sheet2!J$4,(ROW(H182))*3,0)</f>
        <v>65</v>
      </c>
      <c r="I181" t="str">
        <f ca="1">OFFSET(Sheet2!K$4,(ROW(I182))*3,0)</f>
        <v>Actions</v>
      </c>
      <c r="J181" t="str">
        <f ca="1">OFFSET(Sheet2!L$4,(ROW(J182))*3,0)</f>
        <v>changed</v>
      </c>
      <c r="K181" t="str">
        <f ca="1">OFFSET(Sheet2!M$4,(ROW(K182))*3,0)</f>
        <v>done</v>
      </c>
      <c r="L181" t="str">
        <f ca="1">OFFSET(Sheet2!N$4,(ROW(L182))*3,0)</f>
        <v>done</v>
      </c>
      <c r="M181" t="str">
        <f ca="1">OFFSET(Sheet2!O$4,(ROW(M182))*3,0)</f>
        <v>keep it on</v>
      </c>
      <c r="N181" t="str">
        <f ca="1">OFFSET(Sheet2!P$4,(ROW(N182))*3,0)</f>
        <v>Keep it on</v>
      </c>
      <c r="O181" t="str">
        <f ca="1">OFFSET(Sheet2!Q$4,(ROW(O182))*3,0)</f>
        <v>done</v>
      </c>
      <c r="P181">
        <f ca="1">OFFSET(Sheet2!R$4,(ROW(P182))*3,0)</f>
        <v>0</v>
      </c>
      <c r="Q181">
        <f ca="1">OFFSET(Sheet2!S$4,(ROW(Q182))*3,0)</f>
        <v>0</v>
      </c>
      <c r="R181">
        <f ca="1">OFFSET(Sheet2!T$4,(ROW(R182))*3,0)</f>
        <v>0</v>
      </c>
      <c r="S181">
        <f ca="1">OFFSET(Sheet2!U$2,(ROW(S182))*3,0)</f>
        <v>0</v>
      </c>
      <c r="T181">
        <f ca="1">OFFSET(Sheet2!V$2,(ROW(T182))*3,0)</f>
        <v>0</v>
      </c>
    </row>
    <row r="182" spans="1:20" x14ac:dyDescent="0.35">
      <c r="A182">
        <f ca="1">OFFSET(Sheet2!B$4,(ROW(A183))*3,0)</f>
        <v>43862</v>
      </c>
      <c r="B182">
        <f ca="1">OFFSET(Sheet2!C$4,(ROW(B183))*3,0)</f>
        <v>31</v>
      </c>
      <c r="C182" t="str">
        <f ca="1">OFFSET(Sheet2!D$4,(ROW(C183))*3,0)</f>
        <v>South</v>
      </c>
      <c r="D182" t="str">
        <f ca="1">OFFSET(Sheet2!F$4,(ROW(D183))*3,0)</f>
        <v>JENGO YAHAYA</v>
      </c>
      <c r="E182" t="str">
        <f ca="1">OFFSET(Sheet2!G$4,(ROW(E183))*3,0)</f>
        <v>H2Go</v>
      </c>
      <c r="F182">
        <f ca="1">OFFSET(Sheet2!H$4,(ROW(F183))*3,0)</f>
        <v>0</v>
      </c>
      <c r="G182" t="str">
        <f ca="1">OFFSET(Sheet2!I$4,(ROW(G183))*3,0)</f>
        <v>WEEKLY</v>
      </c>
      <c r="H182">
        <f ca="1">OFFSET(Sheet2!J$4,(ROW(H183))*3,0)</f>
        <v>117</v>
      </c>
      <c r="I182" t="str">
        <f ca="1">OFFSET(Sheet2!K$4,(ROW(I183))*3,0)</f>
        <v>Actions</v>
      </c>
      <c r="J182" t="str">
        <f ca="1">OFFSET(Sheet2!L$4,(ROW(J183))*3,0)</f>
        <v>CHANGED</v>
      </c>
      <c r="K182" t="str">
        <f ca="1">OFFSET(Sheet2!M$4,(ROW(K183))*3,0)</f>
        <v>NOTHING DONE</v>
      </c>
      <c r="L182" t="str">
        <f ca="1">OFFSET(Sheet2!N$4,(ROW(L183))*3,0)</f>
        <v>CHECKED</v>
      </c>
      <c r="M182" t="str">
        <f ca="1">OFFSET(Sheet2!O$4,(ROW(M183))*3,0)</f>
        <v>nothing done</v>
      </c>
      <c r="N182" t="str">
        <f ca="1">OFFSET(Sheet2!P$4,(ROW(N183))*3,0)</f>
        <v>Nothing done</v>
      </c>
      <c r="O182" t="str">
        <f ca="1">OFFSET(Sheet2!Q$4,(ROW(O183))*3,0)</f>
        <v>CHECKED</v>
      </c>
      <c r="P182">
        <f ca="1">OFFSET(Sheet2!R$4,(ROW(P183))*3,0)</f>
        <v>0</v>
      </c>
      <c r="Q182">
        <f ca="1">OFFSET(Sheet2!S$4,(ROW(Q183))*3,0)</f>
        <v>0</v>
      </c>
      <c r="R182">
        <f ca="1">OFFSET(Sheet2!T$4,(ROW(R183))*3,0)</f>
        <v>0</v>
      </c>
      <c r="S182">
        <f ca="1">OFFSET(Sheet2!U$2,(ROW(S183))*3,0)</f>
        <v>0</v>
      </c>
      <c r="T182">
        <f ca="1">OFFSET(Sheet2!V$2,(ROW(T183))*3,0)</f>
        <v>0</v>
      </c>
    </row>
    <row r="183" spans="1:20" x14ac:dyDescent="0.35">
      <c r="A183">
        <f ca="1">OFFSET(Sheet2!B$4,(ROW(A184))*3,0)</f>
        <v>43869</v>
      </c>
      <c r="B183">
        <f ca="1">OFFSET(Sheet2!C$4,(ROW(B184))*3,0)</f>
        <v>31</v>
      </c>
      <c r="C183" t="str">
        <f ca="1">OFFSET(Sheet2!D$4,(ROW(C184))*3,0)</f>
        <v>South</v>
      </c>
      <c r="D183" t="str">
        <f ca="1">OFFSET(Sheet2!F$4,(ROW(D184))*3,0)</f>
        <v>JENGO YAHAYA</v>
      </c>
      <c r="E183" t="str">
        <f ca="1">OFFSET(Sheet2!G$4,(ROW(E184))*3,0)</f>
        <v>Control</v>
      </c>
      <c r="F183">
        <f ca="1">OFFSET(Sheet2!H$4,(ROW(F184))*3,0)</f>
        <v>0</v>
      </c>
      <c r="G183" t="str">
        <f ca="1">OFFSET(Sheet2!I$4,(ROW(G184))*3,0)</f>
        <v>WEEKLY</v>
      </c>
      <c r="H183">
        <f ca="1">OFFSET(Sheet2!J$4,(ROW(H184))*3,0)</f>
        <v>192</v>
      </c>
      <c r="I183" t="str">
        <f ca="1">OFFSET(Sheet2!K$4,(ROW(I184))*3,0)</f>
        <v>Actions</v>
      </c>
      <c r="J183" t="str">
        <f ca="1">OFFSET(Sheet2!L$4,(ROW(J184))*3,0)</f>
        <v>DONE</v>
      </c>
      <c r="K183" t="str">
        <f ca="1">OFFSET(Sheet2!M$4,(ROW(K184))*3,0)</f>
        <v>KEEP IT UP</v>
      </c>
      <c r="L183" t="str">
        <f ca="1">OFFSET(Sheet2!N$4,(ROW(L184))*3,0)</f>
        <v>KEEP IT UP</v>
      </c>
      <c r="M183" t="str">
        <f ca="1">OFFSET(Sheet2!O$4,(ROW(M184))*3,0)</f>
        <v>MAINTAIN IT UP</v>
      </c>
      <c r="N183" t="str">
        <f ca="1">OFFSET(Sheet2!P$4,(ROW(N184))*3,0)</f>
        <v>DONE</v>
      </c>
      <c r="O183" t="str">
        <f ca="1">OFFSET(Sheet2!Q$4,(ROW(O184))*3,0)</f>
        <v>CHECKED WELL</v>
      </c>
      <c r="P183">
        <f ca="1">OFFSET(Sheet2!R$4,(ROW(P184))*3,0)</f>
        <v>0</v>
      </c>
      <c r="Q183">
        <f ca="1">OFFSET(Sheet2!S$4,(ROW(Q184))*3,0)</f>
        <v>0</v>
      </c>
      <c r="R183">
        <f ca="1">OFFSET(Sheet2!T$4,(ROW(R184))*3,0)</f>
        <v>0</v>
      </c>
      <c r="S183">
        <f ca="1">OFFSET(Sheet2!U$2,(ROW(S184))*3,0)</f>
        <v>0</v>
      </c>
      <c r="T183">
        <f ca="1">OFFSET(Sheet2!V$2,(ROW(T184))*3,0)</f>
        <v>0</v>
      </c>
    </row>
    <row r="184" spans="1:20" x14ac:dyDescent="0.35">
      <c r="A184">
        <f ca="1">OFFSET(Sheet2!B$4,(ROW(A185))*3,0)</f>
        <v>43876</v>
      </c>
      <c r="B184">
        <f ca="1">OFFSET(Sheet2!C$4,(ROW(B185))*3,0)</f>
        <v>31</v>
      </c>
      <c r="C184" t="str">
        <f ca="1">OFFSET(Sheet2!D$4,(ROW(C185))*3,0)</f>
        <v>South</v>
      </c>
      <c r="D184" t="str">
        <f ca="1">OFFSET(Sheet2!F$4,(ROW(D185))*3,0)</f>
        <v>JENGO YAHAYA</v>
      </c>
      <c r="E184" t="str">
        <f ca="1">OFFSET(Sheet2!G$4,(ROW(E185))*3,0)</f>
        <v>H2Go</v>
      </c>
      <c r="F184">
        <f ca="1">OFFSET(Sheet2!H$4,(ROW(F185))*3,0)</f>
        <v>0</v>
      </c>
      <c r="G184" t="str">
        <f ca="1">OFFSET(Sheet2!I$4,(ROW(G185))*3,0)</f>
        <v>WEEKLY</v>
      </c>
      <c r="H184">
        <f ca="1">OFFSET(Sheet2!J$4,(ROW(H185))*3,0)</f>
        <v>126</v>
      </c>
      <c r="I184" t="str">
        <f ca="1">OFFSET(Sheet2!K$4,(ROW(I185))*3,0)</f>
        <v>Actions</v>
      </c>
      <c r="J184" t="str">
        <f ca="1">OFFSET(Sheet2!L$4,(ROW(J185))*3,0)</f>
        <v>CHANGED</v>
      </c>
      <c r="K184" t="str">
        <f ca="1">OFFSET(Sheet2!M$4,(ROW(K185))*3,0)</f>
        <v>ADJUSTED AND REPLACED</v>
      </c>
      <c r="L184" t="str">
        <f ca="1">OFFSET(Sheet2!N$4,(ROW(L185))*3,0)</f>
        <v>SET</v>
      </c>
      <c r="M184" t="str">
        <f ca="1">OFFSET(Sheet2!O$4,(ROW(M185))*3,0)</f>
        <v>CHECKED</v>
      </c>
      <c r="N184" t="str">
        <f ca="1">OFFSET(Sheet2!P$4,(ROW(N185))*3,0)</f>
        <v>CHECKED</v>
      </c>
      <c r="O184" t="str">
        <f ca="1">OFFSET(Sheet2!Q$4,(ROW(O185))*3,0)</f>
        <v>CHECKED</v>
      </c>
      <c r="P184">
        <f ca="1">OFFSET(Sheet2!R$4,(ROW(P185))*3,0)</f>
        <v>0</v>
      </c>
      <c r="Q184">
        <f ca="1">OFFSET(Sheet2!S$4,(ROW(Q185))*3,0)</f>
        <v>0</v>
      </c>
      <c r="R184">
        <f ca="1">OFFSET(Sheet2!T$4,(ROW(R185))*3,0)</f>
        <v>0</v>
      </c>
      <c r="S184">
        <f ca="1">OFFSET(Sheet2!U$2,(ROW(S185))*3,0)</f>
        <v>0</v>
      </c>
      <c r="T184">
        <f ca="1">OFFSET(Sheet2!V$2,(ROW(T185))*3,0)</f>
        <v>0</v>
      </c>
    </row>
    <row r="185" spans="1:20" x14ac:dyDescent="0.35">
      <c r="A185">
        <f ca="1">OFFSET(Sheet2!B$4,(ROW(A186))*3,0)</f>
        <v>43885</v>
      </c>
      <c r="B185">
        <f ca="1">OFFSET(Sheet2!C$4,(ROW(B186))*3,0)</f>
        <v>31</v>
      </c>
      <c r="C185" t="str">
        <f ca="1">OFFSET(Sheet2!D$4,(ROW(C186))*3,0)</f>
        <v>South</v>
      </c>
      <c r="D185" t="str">
        <f ca="1">OFFSET(Sheet2!F$4,(ROW(D186))*3,0)</f>
        <v>JENGO YAHAYA</v>
      </c>
      <c r="E185" t="str">
        <f ca="1">OFFSET(Sheet2!G$4,(ROW(E186))*3,0)</f>
        <v>CONTROL</v>
      </c>
      <c r="F185">
        <f ca="1">OFFSET(Sheet2!H$4,(ROW(F186))*3,0)</f>
        <v>0</v>
      </c>
      <c r="G185" t="str">
        <f ca="1">OFFSET(Sheet2!I$4,(ROW(G186))*3,0)</f>
        <v>WEEKLY</v>
      </c>
      <c r="H185">
        <f ca="1">OFFSET(Sheet2!J$4,(ROW(H186))*3,0)</f>
        <v>114</v>
      </c>
      <c r="I185" t="str">
        <f ca="1">OFFSET(Sheet2!K$4,(ROW(I186))*3,0)</f>
        <v>Actions</v>
      </c>
      <c r="J185" t="str">
        <f ca="1">OFFSET(Sheet2!L$4,(ROW(J186))*3,0)</f>
        <v>Chagned</v>
      </c>
      <c r="K185" t="str">
        <f ca="1">OFFSET(Sheet2!M$4,(ROW(K186))*3,0)</f>
        <v>Nothing done</v>
      </c>
      <c r="L185" t="str">
        <f ca="1">OFFSET(Sheet2!N$4,(ROW(L186))*3,0)</f>
        <v>Nothing done</v>
      </c>
      <c r="M185" t="str">
        <f ca="1">OFFSET(Sheet2!O$4,(ROW(M186))*3,0)</f>
        <v>Nothing done</v>
      </c>
      <c r="N185" t="str">
        <f ca="1">OFFSET(Sheet2!P$4,(ROW(N186))*3,0)</f>
        <v>Nothing done</v>
      </c>
      <c r="O185" t="str">
        <f ca="1">OFFSET(Sheet2!Q$4,(ROW(O186))*3,0)</f>
        <v>Nothing Done</v>
      </c>
      <c r="P185">
        <f ca="1">OFFSET(Sheet2!R$4,(ROW(P186))*3,0)</f>
        <v>0</v>
      </c>
      <c r="Q185">
        <f ca="1">OFFSET(Sheet2!S$4,(ROW(Q186))*3,0)</f>
        <v>0</v>
      </c>
      <c r="R185">
        <f ca="1">OFFSET(Sheet2!T$4,(ROW(R186))*3,0)</f>
        <v>0</v>
      </c>
      <c r="S185">
        <f ca="1">OFFSET(Sheet2!U$2,(ROW(S186))*3,0)</f>
        <v>0</v>
      </c>
      <c r="T185">
        <f ca="1">OFFSET(Sheet2!V$2,(ROW(T186))*3,0)</f>
        <v>0</v>
      </c>
    </row>
    <row r="186" spans="1:20" x14ac:dyDescent="0.35">
      <c r="A186">
        <f ca="1">OFFSET(Sheet2!B$4,(ROW(A187))*3,0)</f>
        <v>43892</v>
      </c>
      <c r="B186">
        <f ca="1">OFFSET(Sheet2!C$4,(ROW(B187))*3,0)</f>
        <v>31</v>
      </c>
      <c r="C186" t="str">
        <f ca="1">OFFSET(Sheet2!D$4,(ROW(C187))*3,0)</f>
        <v>South</v>
      </c>
      <c r="D186" t="str">
        <f ca="1">OFFSET(Sheet2!F$4,(ROW(D187))*3,0)</f>
        <v>JENGO YAHAYA</v>
      </c>
      <c r="E186" t="str">
        <f ca="1">OFFSET(Sheet2!G$4,(ROW(E187))*3,0)</f>
        <v>CONTROL</v>
      </c>
      <c r="F186">
        <f ca="1">OFFSET(Sheet2!H$4,(ROW(F187))*3,0)</f>
        <v>0</v>
      </c>
      <c r="G186" t="str">
        <f ca="1">OFFSET(Sheet2!I$4,(ROW(G187))*3,0)</f>
        <v>WEEKLY</v>
      </c>
      <c r="H186">
        <f ca="1">OFFSET(Sheet2!J$4,(ROW(H187))*3,0)</f>
        <v>140</v>
      </c>
      <c r="I186" t="str">
        <f ca="1">OFFSET(Sheet2!K$4,(ROW(I187))*3,0)</f>
        <v>Actions</v>
      </c>
      <c r="J186" t="str">
        <f ca="1">OFFSET(Sheet2!L$4,(ROW(J187))*3,0)</f>
        <v>Chagned</v>
      </c>
      <c r="K186" t="str">
        <f ca="1">OFFSET(Sheet2!M$4,(ROW(K187))*3,0)</f>
        <v>Carberator was cleaned</v>
      </c>
      <c r="L186" t="str">
        <f ca="1">OFFSET(Sheet2!N$4,(ROW(L187))*3,0)</f>
        <v>Aligned/adjusted</v>
      </c>
      <c r="M186" t="str">
        <f ca="1">OFFSET(Sheet2!O$4,(ROW(M187))*3,0)</f>
        <v>Cleaned Filter</v>
      </c>
      <c r="N186" t="str">
        <f ca="1">OFFSET(Sheet2!P$4,(ROW(N187))*3,0)</f>
        <v>Nothing done</v>
      </c>
      <c r="O186" t="str">
        <f ca="1">OFFSET(Sheet2!Q$4,(ROW(O187))*3,0)</f>
        <v xml:space="preserve">Replaced Nut </v>
      </c>
      <c r="P186">
        <f ca="1">OFFSET(Sheet2!R$4,(ROW(P187))*3,0)</f>
        <v>0</v>
      </c>
      <c r="Q186">
        <f ca="1">OFFSET(Sheet2!S$4,(ROW(Q187))*3,0)</f>
        <v>0</v>
      </c>
      <c r="R186">
        <f ca="1">OFFSET(Sheet2!T$4,(ROW(R187))*3,0)</f>
        <v>0</v>
      </c>
      <c r="S186">
        <f ca="1">OFFSET(Sheet2!U$2,(ROW(S187))*3,0)</f>
        <v>0</v>
      </c>
      <c r="T186">
        <f ca="1">OFFSET(Sheet2!V$2,(ROW(T187))*3,0)</f>
        <v>0</v>
      </c>
    </row>
    <row r="187" spans="1:20" x14ac:dyDescent="0.35">
      <c r="A187">
        <f ca="1">OFFSET(Sheet2!B$4,(ROW(A188))*3,0)</f>
        <v>43899</v>
      </c>
      <c r="B187">
        <f ca="1">OFFSET(Sheet2!C$4,(ROW(B188))*3,0)</f>
        <v>31</v>
      </c>
      <c r="C187" t="str">
        <f ca="1">OFFSET(Sheet2!D$4,(ROW(C188))*3,0)</f>
        <v>South</v>
      </c>
      <c r="D187" t="str">
        <f ca="1">OFFSET(Sheet2!F$4,(ROW(D188))*3,0)</f>
        <v>JENGO YAHAYA</v>
      </c>
      <c r="E187" t="str">
        <f ca="1">OFFSET(Sheet2!G$4,(ROW(E188))*3,0)</f>
        <v>CONTROL</v>
      </c>
      <c r="F187">
        <f ca="1">OFFSET(Sheet2!H$4,(ROW(F188))*3,0)</f>
        <v>0</v>
      </c>
      <c r="G187" t="str">
        <f ca="1">OFFSET(Sheet2!I$4,(ROW(G188))*3,0)</f>
        <v>WEEKLY</v>
      </c>
      <c r="H187">
        <f ca="1">OFFSET(Sheet2!J$4,(ROW(H188))*3,0)</f>
        <v>160</v>
      </c>
      <c r="I187" t="str">
        <f ca="1">OFFSET(Sheet2!K$4,(ROW(I188))*3,0)</f>
        <v>Actions</v>
      </c>
      <c r="J187" t="str">
        <f ca="1">OFFSET(Sheet2!L$4,(ROW(J188))*3,0)</f>
        <v>Chagned</v>
      </c>
      <c r="K187" t="str">
        <f ca="1">OFFSET(Sheet2!M$4,(ROW(K188))*3,0)</f>
        <v>Carberator was cleaned</v>
      </c>
      <c r="L187" t="str">
        <f ca="1">OFFSET(Sheet2!N$4,(ROW(L188))*3,0)</f>
        <v>Nothing done</v>
      </c>
      <c r="M187" t="str">
        <f ca="1">OFFSET(Sheet2!O$4,(ROW(M188))*3,0)</f>
        <v>Nothing done</v>
      </c>
      <c r="N187" t="str">
        <f ca="1">OFFSET(Sheet2!P$4,(ROW(N188))*3,0)</f>
        <v>Nothing done</v>
      </c>
      <c r="O187" t="str">
        <f ca="1">OFFSET(Sheet2!Q$4,(ROW(O188))*3,0)</f>
        <v>Nothing Done</v>
      </c>
      <c r="P187">
        <f ca="1">OFFSET(Sheet2!R$4,(ROW(P188))*3,0)</f>
        <v>0</v>
      </c>
      <c r="Q187">
        <f ca="1">OFFSET(Sheet2!S$4,(ROW(Q188))*3,0)</f>
        <v>0</v>
      </c>
      <c r="R187">
        <f ca="1">OFFSET(Sheet2!T$4,(ROW(R188))*3,0)</f>
        <v>0</v>
      </c>
      <c r="S187">
        <f ca="1">OFFSET(Sheet2!U$2,(ROW(S188))*3,0)</f>
        <v>0</v>
      </c>
      <c r="T187">
        <f ca="1">OFFSET(Sheet2!V$2,(ROW(T188))*3,0)</f>
        <v>0</v>
      </c>
    </row>
    <row r="188" spans="1:20" x14ac:dyDescent="0.35">
      <c r="A188">
        <f ca="1">OFFSET(Sheet2!B$4,(ROW(A189))*3,0)</f>
        <v>43848</v>
      </c>
      <c r="B188">
        <f ca="1">OFFSET(Sheet2!C$4,(ROW(B189))*3,0)</f>
        <v>32</v>
      </c>
      <c r="C188" t="str">
        <f ca="1">OFFSET(Sheet2!D$4,(ROW(C189))*3,0)</f>
        <v>South</v>
      </c>
      <c r="D188" t="str">
        <f ca="1">OFFSET(Sheet2!F$4,(ROW(D189))*3,0)</f>
        <v>LUBEGA YUSUF</v>
      </c>
      <c r="E188" t="str">
        <f ca="1">OFFSET(Sheet2!G$4,(ROW(E189))*3,0)</f>
        <v>Control</v>
      </c>
      <c r="F188">
        <f ca="1">OFFSET(Sheet2!H$4,(ROW(F189))*3,0)</f>
        <v>0</v>
      </c>
      <c r="G188" t="str">
        <f ca="1">OFFSET(Sheet2!I$4,(ROW(G189))*3,0)</f>
        <v>Comprehensive</v>
      </c>
      <c r="H188">
        <f ca="1">OFFSET(Sheet2!J$4,(ROW(H189))*3,0)</f>
        <v>61</v>
      </c>
      <c r="I188" t="str">
        <f ca="1">OFFSET(Sheet2!K$4,(ROW(I189))*3,0)</f>
        <v>Actions</v>
      </c>
      <c r="J188">
        <f ca="1">OFFSET(Sheet2!L$4,(ROW(J189))*3,0)</f>
        <v>0</v>
      </c>
      <c r="K188">
        <f ca="1">OFFSET(Sheet2!M$4,(ROW(K189))*3,0)</f>
        <v>0</v>
      </c>
      <c r="L188">
        <f ca="1">OFFSET(Sheet2!N$4,(ROW(L189))*3,0)</f>
        <v>0</v>
      </c>
      <c r="M188">
        <f ca="1">OFFSET(Sheet2!O$4,(ROW(M189))*3,0)</f>
        <v>0</v>
      </c>
      <c r="N188">
        <f ca="1">OFFSET(Sheet2!P$4,(ROW(N189))*3,0)</f>
        <v>0</v>
      </c>
      <c r="O188">
        <f ca="1">OFFSET(Sheet2!Q$4,(ROW(O189))*3,0)</f>
        <v>0</v>
      </c>
      <c r="P188">
        <f ca="1">OFFSET(Sheet2!R$4,(ROW(P189))*3,0)</f>
        <v>0</v>
      </c>
      <c r="Q188">
        <f ca="1">OFFSET(Sheet2!S$4,(ROW(Q189))*3,0)</f>
        <v>0</v>
      </c>
      <c r="R188">
        <f ca="1">OFFSET(Sheet2!T$4,(ROW(R189))*3,0)</f>
        <v>0</v>
      </c>
      <c r="S188">
        <f ca="1">OFFSET(Sheet2!U$2,(ROW(S189))*3,0)</f>
        <v>0</v>
      </c>
      <c r="T188">
        <f ca="1">OFFSET(Sheet2!V$2,(ROW(T189))*3,0)</f>
        <v>0</v>
      </c>
    </row>
    <row r="189" spans="1:20" x14ac:dyDescent="0.35">
      <c r="A189">
        <f ca="1">OFFSET(Sheet2!B$4,(ROW(A190))*3,0)</f>
        <v>43855</v>
      </c>
      <c r="B189">
        <f ca="1">OFFSET(Sheet2!C$4,(ROW(B190))*3,0)</f>
        <v>32</v>
      </c>
      <c r="C189" t="str">
        <f ca="1">OFFSET(Sheet2!D$4,(ROW(C190))*3,0)</f>
        <v>South</v>
      </c>
      <c r="D189" t="str">
        <f ca="1">OFFSET(Sheet2!F$4,(ROW(D190))*3,0)</f>
        <v>LUBEGA YUSUF</v>
      </c>
      <c r="E189" t="str">
        <f ca="1">OFFSET(Sheet2!G$4,(ROW(E190))*3,0)</f>
        <v>Control</v>
      </c>
      <c r="F189">
        <f ca="1">OFFSET(Sheet2!H$4,(ROW(F190))*3,0)</f>
        <v>0</v>
      </c>
      <c r="G189" t="str">
        <f ca="1">OFFSET(Sheet2!I$4,(ROW(G190))*3,0)</f>
        <v>WEEKLY</v>
      </c>
      <c r="H189">
        <f ca="1">OFFSET(Sheet2!J$4,(ROW(H190))*3,0)</f>
        <v>64</v>
      </c>
      <c r="I189" t="str">
        <f ca="1">OFFSET(Sheet2!K$4,(ROW(I190))*3,0)</f>
        <v>Actions</v>
      </c>
      <c r="J189" t="str">
        <f ca="1">OFFSET(Sheet2!L$4,(ROW(J190))*3,0)</f>
        <v>changed</v>
      </c>
      <c r="K189" t="str">
        <f ca="1">OFFSET(Sheet2!M$4,(ROW(K190))*3,0)</f>
        <v>serviced</v>
      </c>
      <c r="L189" t="str">
        <f ca="1">OFFSET(Sheet2!N$4,(ROW(L190))*3,0)</f>
        <v>keep it up</v>
      </c>
      <c r="M189" t="str">
        <f ca="1">OFFSET(Sheet2!O$4,(ROW(M190))*3,0)</f>
        <v>keep it on</v>
      </c>
      <c r="N189" t="str">
        <f ca="1">OFFSET(Sheet2!P$4,(ROW(N190))*3,0)</f>
        <v>keep it up</v>
      </c>
      <c r="O189" t="str">
        <f ca="1">OFFSET(Sheet2!Q$4,(ROW(O190))*3,0)</f>
        <v>good and keep it up</v>
      </c>
      <c r="P189">
        <f ca="1">OFFSET(Sheet2!R$4,(ROW(P190))*3,0)</f>
        <v>0</v>
      </c>
      <c r="Q189">
        <f ca="1">OFFSET(Sheet2!S$4,(ROW(Q190))*3,0)</f>
        <v>0</v>
      </c>
      <c r="R189">
        <f ca="1">OFFSET(Sheet2!T$4,(ROW(R190))*3,0)</f>
        <v>0</v>
      </c>
      <c r="S189">
        <f ca="1">OFFSET(Sheet2!U$2,(ROW(S190))*3,0)</f>
        <v>0</v>
      </c>
      <c r="T189">
        <f ca="1">OFFSET(Sheet2!V$2,(ROW(T190))*3,0)</f>
        <v>0</v>
      </c>
    </row>
    <row r="190" spans="1:20" x14ac:dyDescent="0.35">
      <c r="A190">
        <f ca="1">OFFSET(Sheet2!B$4,(ROW(A191))*3,0)</f>
        <v>43862</v>
      </c>
      <c r="B190">
        <f ca="1">OFFSET(Sheet2!C$4,(ROW(B191))*3,0)</f>
        <v>32</v>
      </c>
      <c r="C190" t="str">
        <f ca="1">OFFSET(Sheet2!D$4,(ROW(C191))*3,0)</f>
        <v>South</v>
      </c>
      <c r="D190" t="str">
        <f ca="1">OFFSET(Sheet2!F$4,(ROW(D191))*3,0)</f>
        <v>LUBEGA YUSUF</v>
      </c>
      <c r="E190" t="str">
        <f ca="1">OFFSET(Sheet2!G$4,(ROW(E191))*3,0)</f>
        <v>H2Go</v>
      </c>
      <c r="F190">
        <f ca="1">OFFSET(Sheet2!H$4,(ROW(F191))*3,0)</f>
        <v>0</v>
      </c>
      <c r="G190" t="str">
        <f ca="1">OFFSET(Sheet2!I$4,(ROW(G191))*3,0)</f>
        <v>WEEKLY</v>
      </c>
      <c r="H190">
        <f ca="1">OFFSET(Sheet2!J$4,(ROW(H191))*3,0)</f>
        <v>119</v>
      </c>
      <c r="I190" t="str">
        <f ca="1">OFFSET(Sheet2!K$4,(ROW(I191))*3,0)</f>
        <v>Actions</v>
      </c>
      <c r="J190" t="str">
        <f ca="1">OFFSET(Sheet2!L$4,(ROW(J191))*3,0)</f>
        <v>CHANGED</v>
      </c>
      <c r="K190" t="str">
        <f ca="1">OFFSET(Sheet2!M$4,(ROW(K191))*3,0)</f>
        <v>NOTHING DONE</v>
      </c>
      <c r="L190" t="str">
        <f ca="1">OFFSET(Sheet2!N$4,(ROW(L191))*3,0)</f>
        <v>Nothing done</v>
      </c>
      <c r="M190" t="str">
        <f ca="1">OFFSET(Sheet2!O$4,(ROW(M191))*3,0)</f>
        <v>nothing done</v>
      </c>
      <c r="N190" t="str">
        <f ca="1">OFFSET(Sheet2!P$4,(ROW(N191))*3,0)</f>
        <v>Nothing done</v>
      </c>
      <c r="O190" t="str">
        <f ca="1">OFFSET(Sheet2!Q$4,(ROW(O191))*3,0)</f>
        <v>NOTHING DONE</v>
      </c>
      <c r="P190">
        <f ca="1">OFFSET(Sheet2!R$4,(ROW(P191))*3,0)</f>
        <v>0</v>
      </c>
      <c r="Q190">
        <f ca="1">OFFSET(Sheet2!S$4,(ROW(Q191))*3,0)</f>
        <v>0</v>
      </c>
      <c r="R190">
        <f ca="1">OFFSET(Sheet2!T$4,(ROW(R191))*3,0)</f>
        <v>0</v>
      </c>
      <c r="S190">
        <f ca="1">OFFSET(Sheet2!U$2,(ROW(S191))*3,0)</f>
        <v>0</v>
      </c>
      <c r="T190">
        <f ca="1">OFFSET(Sheet2!V$2,(ROW(T191))*3,0)</f>
        <v>0</v>
      </c>
    </row>
    <row r="191" spans="1:20" x14ac:dyDescent="0.35">
      <c r="A191">
        <f ca="1">OFFSET(Sheet2!B$4,(ROW(A192))*3,0)</f>
        <v>43869</v>
      </c>
      <c r="B191">
        <f ca="1">OFFSET(Sheet2!C$4,(ROW(B192))*3,0)</f>
        <v>32</v>
      </c>
      <c r="C191" t="str">
        <f ca="1">OFFSET(Sheet2!D$4,(ROW(C192))*3,0)</f>
        <v>South</v>
      </c>
      <c r="D191" t="str">
        <f ca="1">OFFSET(Sheet2!F$4,(ROW(D192))*3,0)</f>
        <v>LUBEGA YUSUF</v>
      </c>
      <c r="E191" t="str">
        <f ca="1">OFFSET(Sheet2!G$4,(ROW(E192))*3,0)</f>
        <v>Control</v>
      </c>
      <c r="F191">
        <f ca="1">OFFSET(Sheet2!H$4,(ROW(F192))*3,0)</f>
        <v>0</v>
      </c>
      <c r="G191" t="str">
        <f ca="1">OFFSET(Sheet2!I$4,(ROW(G192))*3,0)</f>
        <v>WEEKLY</v>
      </c>
      <c r="H191">
        <f ca="1">OFFSET(Sheet2!J$4,(ROW(H192))*3,0)</f>
        <v>196</v>
      </c>
      <c r="I191" t="str">
        <f ca="1">OFFSET(Sheet2!K$4,(ROW(I192))*3,0)</f>
        <v>Actions</v>
      </c>
      <c r="J191" t="str">
        <f ca="1">OFFSET(Sheet2!L$4,(ROW(J192))*3,0)</f>
        <v>DONE</v>
      </c>
      <c r="K191" t="str">
        <f ca="1">OFFSET(Sheet2!M$4,(ROW(K192))*3,0)</f>
        <v>KEEP IT UP</v>
      </c>
      <c r="L191" t="str">
        <f ca="1">OFFSET(Sheet2!N$4,(ROW(L192))*3,0)</f>
        <v>DONE THE MAINTENANCE</v>
      </c>
      <c r="M191" t="str">
        <f ca="1">OFFSET(Sheet2!O$4,(ROW(M192))*3,0)</f>
        <v>MAINTAIN IT</v>
      </c>
      <c r="N191" t="str">
        <f ca="1">OFFSET(Sheet2!P$4,(ROW(N192))*3,0)</f>
        <v>KEEP IT UP</v>
      </c>
      <c r="O191" t="str">
        <f ca="1">OFFSET(Sheet2!Q$4,(ROW(O192))*3,0)</f>
        <v>DONE</v>
      </c>
      <c r="P191">
        <f ca="1">OFFSET(Sheet2!R$4,(ROW(P192))*3,0)</f>
        <v>0</v>
      </c>
      <c r="Q191">
        <f ca="1">OFFSET(Sheet2!S$4,(ROW(Q192))*3,0)</f>
        <v>0</v>
      </c>
      <c r="R191">
        <f ca="1">OFFSET(Sheet2!T$4,(ROW(R192))*3,0)</f>
        <v>0</v>
      </c>
      <c r="S191">
        <f ca="1">OFFSET(Sheet2!U$2,(ROW(S192))*3,0)</f>
        <v>0</v>
      </c>
      <c r="T191">
        <f ca="1">OFFSET(Sheet2!V$2,(ROW(T192))*3,0)</f>
        <v>0</v>
      </c>
    </row>
    <row r="192" spans="1:20" x14ac:dyDescent="0.35">
      <c r="A192">
        <f ca="1">OFFSET(Sheet2!B$4,(ROW(A193))*3,0)</f>
        <v>43876</v>
      </c>
      <c r="B192">
        <f ca="1">OFFSET(Sheet2!C$4,(ROW(B193))*3,0)</f>
        <v>32</v>
      </c>
      <c r="C192" t="str">
        <f ca="1">OFFSET(Sheet2!D$4,(ROW(C193))*3,0)</f>
        <v>South</v>
      </c>
      <c r="D192" t="str">
        <f ca="1">OFFSET(Sheet2!F$4,(ROW(D193))*3,0)</f>
        <v>LUBEGA YUSUF</v>
      </c>
      <c r="E192" t="str">
        <f ca="1">OFFSET(Sheet2!G$4,(ROW(E193))*3,0)</f>
        <v>H2Go</v>
      </c>
      <c r="F192">
        <f ca="1">OFFSET(Sheet2!H$4,(ROW(F193))*3,0)</f>
        <v>0</v>
      </c>
      <c r="G192" t="str">
        <f ca="1">OFFSET(Sheet2!I$4,(ROW(G193))*3,0)</f>
        <v>WEEKLY</v>
      </c>
      <c r="H192">
        <f ca="1">OFFSET(Sheet2!J$4,(ROW(H193))*3,0)</f>
        <v>142</v>
      </c>
      <c r="I192" t="str">
        <f ca="1">OFFSET(Sheet2!K$4,(ROW(I193))*3,0)</f>
        <v>Actions</v>
      </c>
      <c r="J192" t="str">
        <f ca="1">OFFSET(Sheet2!L$4,(ROW(J193))*3,0)</f>
        <v>CHANGED</v>
      </c>
      <c r="K192" t="str">
        <f ca="1">OFFSET(Sheet2!M$4,(ROW(K193))*3,0)</f>
        <v>CHECKED</v>
      </c>
      <c r="L192" t="str">
        <f ca="1">OFFSET(Sheet2!N$4,(ROW(L193))*3,0)</f>
        <v>CHECKED</v>
      </c>
      <c r="M192" t="str">
        <f ca="1">OFFSET(Sheet2!O$4,(ROW(M193))*3,0)</f>
        <v>CHECKED</v>
      </c>
      <c r="N192" t="str">
        <f ca="1">OFFSET(Sheet2!P$4,(ROW(N193))*3,0)</f>
        <v>CHECKED</v>
      </c>
      <c r="O192" t="str">
        <f ca="1">OFFSET(Sheet2!Q$4,(ROW(O193))*3,0)</f>
        <v>CHECKED</v>
      </c>
      <c r="P192">
        <f ca="1">OFFSET(Sheet2!R$4,(ROW(P193))*3,0)</f>
        <v>0</v>
      </c>
      <c r="Q192">
        <f ca="1">OFFSET(Sheet2!S$4,(ROW(Q193))*3,0)</f>
        <v>0</v>
      </c>
      <c r="R192">
        <f ca="1">OFFSET(Sheet2!T$4,(ROW(R193))*3,0)</f>
        <v>0</v>
      </c>
      <c r="S192">
        <f ca="1">OFFSET(Sheet2!U$2,(ROW(S193))*3,0)</f>
        <v>0</v>
      </c>
      <c r="T192">
        <f ca="1">OFFSET(Sheet2!V$2,(ROW(T193))*3,0)</f>
        <v>0</v>
      </c>
    </row>
    <row r="193" spans="1:20" x14ac:dyDescent="0.35">
      <c r="A193">
        <f ca="1">OFFSET(Sheet2!B$4,(ROW(A194))*3,0)</f>
        <v>43885</v>
      </c>
      <c r="B193">
        <f ca="1">OFFSET(Sheet2!C$4,(ROW(B194))*3,0)</f>
        <v>32</v>
      </c>
      <c r="C193" t="str">
        <f ca="1">OFFSET(Sheet2!D$4,(ROW(C194))*3,0)</f>
        <v>South</v>
      </c>
      <c r="D193" t="str">
        <f ca="1">OFFSET(Sheet2!F$4,(ROW(D194))*3,0)</f>
        <v>LUBEGA YUSUF</v>
      </c>
      <c r="E193" t="str">
        <f ca="1">OFFSET(Sheet2!G$4,(ROW(E194))*3,0)</f>
        <v>CONTROL</v>
      </c>
      <c r="F193">
        <f ca="1">OFFSET(Sheet2!H$4,(ROW(F194))*3,0)</f>
        <v>0</v>
      </c>
      <c r="G193" t="str">
        <f ca="1">OFFSET(Sheet2!I$4,(ROW(G194))*3,0)</f>
        <v>WEEKLY</v>
      </c>
      <c r="H193">
        <f ca="1">OFFSET(Sheet2!J$4,(ROW(H194))*3,0)</f>
        <v>154</v>
      </c>
      <c r="I193" t="str">
        <f ca="1">OFFSET(Sheet2!K$4,(ROW(I194))*3,0)</f>
        <v>Actions</v>
      </c>
      <c r="J193" t="str">
        <f ca="1">OFFSET(Sheet2!L$4,(ROW(J194))*3,0)</f>
        <v>Chagned</v>
      </c>
      <c r="K193" t="str">
        <f ca="1">OFFSET(Sheet2!M$4,(ROW(K194))*3,0)</f>
        <v>Nothing done</v>
      </c>
      <c r="L193" t="str">
        <f ca="1">OFFSET(Sheet2!N$4,(ROW(L194))*3,0)</f>
        <v>Nothing done</v>
      </c>
      <c r="M193" t="str">
        <f ca="1">OFFSET(Sheet2!O$4,(ROW(M194))*3,0)</f>
        <v>Cleaned Filter</v>
      </c>
      <c r="N193" t="str">
        <f ca="1">OFFSET(Sheet2!P$4,(ROW(N194))*3,0)</f>
        <v>Nothing done</v>
      </c>
      <c r="O193" t="str">
        <f ca="1">OFFSET(Sheet2!Q$4,(ROW(O194))*3,0)</f>
        <v>Nothing Done</v>
      </c>
      <c r="P193">
        <f ca="1">OFFSET(Sheet2!R$4,(ROW(P194))*3,0)</f>
        <v>0</v>
      </c>
      <c r="Q193">
        <f ca="1">OFFSET(Sheet2!S$4,(ROW(Q194))*3,0)</f>
        <v>0</v>
      </c>
      <c r="R193">
        <f ca="1">OFFSET(Sheet2!T$4,(ROW(R194))*3,0)</f>
        <v>0</v>
      </c>
      <c r="S193">
        <f ca="1">OFFSET(Sheet2!U$2,(ROW(S194))*3,0)</f>
        <v>0</v>
      </c>
      <c r="T193">
        <f ca="1">OFFSET(Sheet2!V$2,(ROW(T194))*3,0)</f>
        <v>0</v>
      </c>
    </row>
    <row r="194" spans="1:20" x14ac:dyDescent="0.35">
      <c r="A194">
        <f ca="1">OFFSET(Sheet2!B$4,(ROW(A195))*3,0)</f>
        <v>43892</v>
      </c>
      <c r="B194">
        <f ca="1">OFFSET(Sheet2!C$4,(ROW(B195))*3,0)</f>
        <v>32</v>
      </c>
      <c r="C194" t="str">
        <f ca="1">OFFSET(Sheet2!D$4,(ROW(C195))*3,0)</f>
        <v>South</v>
      </c>
      <c r="D194" t="str">
        <f ca="1">OFFSET(Sheet2!F$4,(ROW(D195))*3,0)</f>
        <v>LUBEGA YUSUF</v>
      </c>
      <c r="E194" t="str">
        <f ca="1">OFFSET(Sheet2!G$4,(ROW(E195))*3,0)</f>
        <v>CONTROL</v>
      </c>
      <c r="F194">
        <f ca="1">OFFSET(Sheet2!H$4,(ROW(F195))*3,0)</f>
        <v>0</v>
      </c>
      <c r="G194" t="str">
        <f ca="1">OFFSET(Sheet2!I$4,(ROW(G195))*3,0)</f>
        <v>WEEKLY</v>
      </c>
      <c r="H194">
        <f ca="1">OFFSET(Sheet2!J$4,(ROW(H195))*3,0)</f>
        <v>109</v>
      </c>
      <c r="I194" t="str">
        <f ca="1">OFFSET(Sheet2!K$4,(ROW(I195))*3,0)</f>
        <v>Actions</v>
      </c>
      <c r="J194" t="str">
        <f ca="1">OFFSET(Sheet2!L$4,(ROW(J195))*3,0)</f>
        <v>Chagned</v>
      </c>
      <c r="K194" t="str">
        <f ca="1">OFFSET(Sheet2!M$4,(ROW(K195))*3,0)</f>
        <v>Nothing done</v>
      </c>
      <c r="L194" t="str">
        <f ca="1">OFFSET(Sheet2!N$4,(ROW(L195))*3,0)</f>
        <v>Nothing done</v>
      </c>
      <c r="M194" t="str">
        <f ca="1">OFFSET(Sheet2!O$4,(ROW(M195))*3,0)</f>
        <v>Nothing done, despite recommendation</v>
      </c>
      <c r="N194" t="str">
        <f ca="1">OFFSET(Sheet2!P$4,(ROW(N195))*3,0)</f>
        <v>Nothing done, despite recommendation</v>
      </c>
      <c r="O194" t="str">
        <f ca="1">OFFSET(Sheet2!Q$4,(ROW(O195))*3,0)</f>
        <v>Nothing done, despite recommendation</v>
      </c>
      <c r="P194">
        <f ca="1">OFFSET(Sheet2!R$4,(ROW(P195))*3,0)</f>
        <v>0</v>
      </c>
      <c r="Q194">
        <f ca="1">OFFSET(Sheet2!S$4,(ROW(Q195))*3,0)</f>
        <v>0</v>
      </c>
      <c r="R194">
        <f ca="1">OFFSET(Sheet2!T$4,(ROW(R195))*3,0)</f>
        <v>0</v>
      </c>
      <c r="S194">
        <f ca="1">OFFSET(Sheet2!U$2,(ROW(S195))*3,0)</f>
        <v>0</v>
      </c>
      <c r="T194">
        <f ca="1">OFFSET(Sheet2!V$2,(ROW(T195))*3,0)</f>
        <v>0</v>
      </c>
    </row>
    <row r="195" spans="1:20" x14ac:dyDescent="0.35">
      <c r="A195">
        <f ca="1">OFFSET(Sheet2!B$4,(ROW(A196))*3,0)</f>
        <v>43899</v>
      </c>
      <c r="B195">
        <f ca="1">OFFSET(Sheet2!C$4,(ROW(B196))*3,0)</f>
        <v>32</v>
      </c>
      <c r="C195" t="str">
        <f ca="1">OFFSET(Sheet2!D$4,(ROW(C196))*3,0)</f>
        <v>South</v>
      </c>
      <c r="D195" t="str">
        <f ca="1">OFFSET(Sheet2!F$4,(ROW(D196))*3,0)</f>
        <v>LUBEGA YUSUF</v>
      </c>
      <c r="E195" t="str">
        <f ca="1">OFFSET(Sheet2!G$4,(ROW(E196))*3,0)</f>
        <v>CONTROL</v>
      </c>
      <c r="F195">
        <f ca="1">OFFSET(Sheet2!H$4,(ROW(F196))*3,0)</f>
        <v>0</v>
      </c>
      <c r="G195" t="str">
        <f ca="1">OFFSET(Sheet2!I$4,(ROW(G196))*3,0)</f>
        <v>WEEKLY</v>
      </c>
      <c r="H195">
        <f ca="1">OFFSET(Sheet2!J$4,(ROW(H196))*3,0)</f>
        <v>0</v>
      </c>
      <c r="I195" t="str">
        <f ca="1">OFFSET(Sheet2!K$4,(ROW(I196))*3,0)</f>
        <v>Actions</v>
      </c>
      <c r="J195" t="str">
        <f ca="1">OFFSET(Sheet2!L$4,(ROW(J196))*3,0)</f>
        <v>Chagned</v>
      </c>
      <c r="K195" t="str">
        <f ca="1">OFFSET(Sheet2!M$4,(ROW(K196))*3,0)</f>
        <v>Nothing done, despite recommendation</v>
      </c>
      <c r="L195" t="str">
        <f ca="1">OFFSET(Sheet2!N$4,(ROW(L196))*3,0)</f>
        <v>Nothing done, despite recommendation</v>
      </c>
      <c r="M195" t="str">
        <f ca="1">OFFSET(Sheet2!O$4,(ROW(M196))*3,0)</f>
        <v>Nothing done</v>
      </c>
      <c r="N195" t="str">
        <f ca="1">OFFSET(Sheet2!P$4,(ROW(N196))*3,0)</f>
        <v>Nothing done</v>
      </c>
      <c r="O195" t="str">
        <f ca="1">OFFSET(Sheet2!Q$4,(ROW(O196))*3,0)</f>
        <v>Nothing Done</v>
      </c>
      <c r="P195">
        <f ca="1">OFFSET(Sheet2!R$4,(ROW(P196))*3,0)</f>
        <v>0</v>
      </c>
      <c r="Q195">
        <f ca="1">OFFSET(Sheet2!S$4,(ROW(Q196))*3,0)</f>
        <v>0</v>
      </c>
      <c r="R195">
        <f ca="1">OFFSET(Sheet2!T$4,(ROW(R196))*3,0)</f>
        <v>0</v>
      </c>
      <c r="S195">
        <f ca="1">OFFSET(Sheet2!U$2,(ROW(S196))*3,0)</f>
        <v>0</v>
      </c>
      <c r="T195">
        <f ca="1">OFFSET(Sheet2!V$2,(ROW(T196))*3,0)</f>
        <v>0</v>
      </c>
    </row>
    <row r="196" spans="1:20" x14ac:dyDescent="0.35">
      <c r="A196">
        <f ca="1">OFFSET(Sheet2!B$4,(ROW(A197))*3,0)</f>
        <v>43848</v>
      </c>
      <c r="B196">
        <f ca="1">OFFSET(Sheet2!C$4,(ROW(B197))*3,0)</f>
        <v>33</v>
      </c>
      <c r="C196" t="str">
        <f ca="1">OFFSET(Sheet2!D$4,(ROW(C197))*3,0)</f>
        <v>South</v>
      </c>
      <c r="D196" t="str">
        <f ca="1">OFFSET(Sheet2!F$4,(ROW(D197))*3,0)</f>
        <v>WETONYI TOM</v>
      </c>
      <c r="E196" t="str">
        <f ca="1">OFFSET(Sheet2!G$4,(ROW(E197))*3,0)</f>
        <v>H2Go</v>
      </c>
      <c r="F196">
        <f ca="1">OFFSET(Sheet2!H$4,(ROW(F197))*3,0)</f>
        <v>0</v>
      </c>
      <c r="G196" t="str">
        <f ca="1">OFFSET(Sheet2!I$4,(ROW(G197))*3,0)</f>
        <v>Comprehensive</v>
      </c>
      <c r="H196">
        <f ca="1">OFFSET(Sheet2!J$4,(ROW(H197))*3,0)</f>
        <v>39</v>
      </c>
      <c r="I196" t="str">
        <f ca="1">OFFSET(Sheet2!K$4,(ROW(I197))*3,0)</f>
        <v>Actions</v>
      </c>
      <c r="J196" t="str">
        <f ca="1">OFFSET(Sheet2!L$4,(ROW(J197))*3,0)</f>
        <v>changed</v>
      </c>
      <c r="K196" t="str">
        <f ca="1">OFFSET(Sheet2!M$4,(ROW(K197))*3,0)</f>
        <v>done</v>
      </c>
      <c r="L196" t="str">
        <f ca="1">OFFSET(Sheet2!N$4,(ROW(L197))*3,0)</f>
        <v>keep it up</v>
      </c>
      <c r="M196" t="str">
        <f ca="1">OFFSET(Sheet2!O$4,(ROW(M197))*3,0)</f>
        <v>keep it on</v>
      </c>
      <c r="N196" t="str">
        <f ca="1">OFFSET(Sheet2!P$4,(ROW(N197))*3,0)</f>
        <v>keep it up</v>
      </c>
      <c r="O196" t="str">
        <f ca="1">OFFSET(Sheet2!Q$4,(ROW(O197))*3,0)</f>
        <v>keep it on</v>
      </c>
      <c r="P196" t="str">
        <f ca="1">OFFSET(Sheet2!R$4,(ROW(P197))*3,0)</f>
        <v>keep it up</v>
      </c>
      <c r="Q196" t="str">
        <f ca="1">OFFSET(Sheet2!S$4,(ROW(Q197))*3,0)</f>
        <v>keep it up</v>
      </c>
      <c r="R196" t="str">
        <f ca="1">OFFSET(Sheet2!T$4,(ROW(R197))*3,0)</f>
        <v>keep it on</v>
      </c>
      <c r="S196">
        <f ca="1">OFFSET(Sheet2!U$2,(ROW(S197))*3,0)</f>
        <v>0</v>
      </c>
      <c r="T196">
        <f ca="1">OFFSET(Sheet2!V$2,(ROW(T197))*3,0)</f>
        <v>0</v>
      </c>
    </row>
    <row r="197" spans="1:20" x14ac:dyDescent="0.35">
      <c r="A197">
        <f ca="1">OFFSET(Sheet2!B$4,(ROW(A198))*3,0)</f>
        <v>43855</v>
      </c>
      <c r="B197">
        <f ca="1">OFFSET(Sheet2!C$4,(ROW(B198))*3,0)</f>
        <v>33</v>
      </c>
      <c r="C197" t="str">
        <f ca="1">OFFSET(Sheet2!D$4,(ROW(C198))*3,0)</f>
        <v>South</v>
      </c>
      <c r="D197" t="str">
        <f ca="1">OFFSET(Sheet2!F$4,(ROW(D198))*3,0)</f>
        <v>WETONYI TOM</v>
      </c>
      <c r="E197" t="str">
        <f ca="1">OFFSET(Sheet2!G$4,(ROW(E198))*3,0)</f>
        <v>H2Go</v>
      </c>
      <c r="F197">
        <f ca="1">OFFSET(Sheet2!H$4,(ROW(F198))*3,0)</f>
        <v>0</v>
      </c>
      <c r="G197" t="str">
        <f ca="1">OFFSET(Sheet2!I$4,(ROW(G198))*3,0)</f>
        <v>WEEKLY</v>
      </c>
      <c r="H197">
        <f ca="1">OFFSET(Sheet2!J$4,(ROW(H198))*3,0)</f>
        <v>85</v>
      </c>
      <c r="I197" t="str">
        <f ca="1">OFFSET(Sheet2!K$4,(ROW(I198))*3,0)</f>
        <v>Actions</v>
      </c>
      <c r="J197" t="str">
        <f ca="1">OFFSET(Sheet2!L$4,(ROW(J198))*3,0)</f>
        <v>DONE</v>
      </c>
      <c r="K197" t="str">
        <f ca="1">OFFSET(Sheet2!M$4,(ROW(K198))*3,0)</f>
        <v>keep it up</v>
      </c>
      <c r="L197" t="str">
        <f ca="1">OFFSET(Sheet2!N$4,(ROW(L198))*3,0)</f>
        <v>DONE</v>
      </c>
      <c r="M197" t="str">
        <f ca="1">OFFSET(Sheet2!O$4,(ROW(M198))*3,0)</f>
        <v>KEEP IT UP</v>
      </c>
      <c r="N197" t="str">
        <f ca="1">OFFSET(Sheet2!P$4,(ROW(N198))*3,0)</f>
        <v>KEEP IT ON</v>
      </c>
      <c r="O197" t="str">
        <f ca="1">OFFSET(Sheet2!Q$4,(ROW(O198))*3,0)</f>
        <v>DONE</v>
      </c>
      <c r="P197">
        <f ca="1">OFFSET(Sheet2!R$4,(ROW(P198))*3,0)</f>
        <v>0</v>
      </c>
      <c r="Q197">
        <f ca="1">OFFSET(Sheet2!S$4,(ROW(Q198))*3,0)</f>
        <v>0</v>
      </c>
      <c r="R197">
        <f ca="1">OFFSET(Sheet2!T$4,(ROW(R198))*3,0)</f>
        <v>0</v>
      </c>
      <c r="S197">
        <f ca="1">OFFSET(Sheet2!U$2,(ROW(S198))*3,0)</f>
        <v>0</v>
      </c>
      <c r="T197">
        <f ca="1">OFFSET(Sheet2!V$2,(ROW(T198))*3,0)</f>
        <v>0</v>
      </c>
    </row>
    <row r="198" spans="1:20" x14ac:dyDescent="0.35">
      <c r="A198">
        <f ca="1">OFFSET(Sheet2!B$4,(ROW(A199))*3,0)</f>
        <v>43862</v>
      </c>
      <c r="B198">
        <f ca="1">OFFSET(Sheet2!C$4,(ROW(B199))*3,0)</f>
        <v>33</v>
      </c>
      <c r="C198" t="str">
        <f ca="1">OFFSET(Sheet2!D$4,(ROW(C199))*3,0)</f>
        <v>South</v>
      </c>
      <c r="D198" t="str">
        <f ca="1">OFFSET(Sheet2!F$4,(ROW(D199))*3,0)</f>
        <v>WETONYI TOM</v>
      </c>
      <c r="E198" t="str">
        <f ca="1">OFFSET(Sheet2!G$4,(ROW(E199))*3,0)</f>
        <v>H2GO</v>
      </c>
      <c r="F198">
        <f ca="1">OFFSET(Sheet2!H$4,(ROW(F199))*3,0)</f>
        <v>0</v>
      </c>
      <c r="G198" t="str">
        <f ca="1">OFFSET(Sheet2!I$4,(ROW(G199))*3,0)</f>
        <v>WEEKLY</v>
      </c>
      <c r="H198">
        <f ca="1">OFFSET(Sheet2!J$4,(ROW(H199))*3,0)</f>
        <v>71</v>
      </c>
      <c r="I198" t="str">
        <f ca="1">OFFSET(Sheet2!K$4,(ROW(I199))*3,0)</f>
        <v>Actions</v>
      </c>
      <c r="J198" t="str">
        <f ca="1">OFFSET(Sheet2!L$4,(ROW(J199))*3,0)</f>
        <v>DONE</v>
      </c>
      <c r="K198" t="str">
        <f ca="1">OFFSET(Sheet2!M$4,(ROW(K199))*3,0)</f>
        <v>GO ON</v>
      </c>
      <c r="L198" t="str">
        <f ca="1">OFFSET(Sheet2!N$4,(ROW(L199))*3,0)</f>
        <v>DONE</v>
      </c>
      <c r="M198" t="str">
        <f ca="1">OFFSET(Sheet2!O$4,(ROW(M199))*3,0)</f>
        <v>KEEP IT UP</v>
      </c>
      <c r="N198" t="str">
        <f ca="1">OFFSET(Sheet2!P$4,(ROW(N199))*3,0)</f>
        <v>KEEP IT ON</v>
      </c>
      <c r="O198" t="str">
        <f ca="1">OFFSET(Sheet2!Q$4,(ROW(O199))*3,0)</f>
        <v>DONE</v>
      </c>
      <c r="P198">
        <f ca="1">OFFSET(Sheet2!R$4,(ROW(P199))*3,0)</f>
        <v>0</v>
      </c>
      <c r="Q198">
        <f ca="1">OFFSET(Sheet2!S$4,(ROW(Q199))*3,0)</f>
        <v>0</v>
      </c>
      <c r="R198">
        <f ca="1">OFFSET(Sheet2!T$4,(ROW(R199))*3,0)</f>
        <v>0</v>
      </c>
      <c r="S198">
        <f ca="1">OFFSET(Sheet2!U$2,(ROW(S199))*3,0)</f>
        <v>0</v>
      </c>
      <c r="T198">
        <f ca="1">OFFSET(Sheet2!V$2,(ROW(T199))*3,0)</f>
        <v>0</v>
      </c>
    </row>
    <row r="199" spans="1:20" x14ac:dyDescent="0.35">
      <c r="A199">
        <f ca="1">OFFSET(Sheet2!B$4,(ROW(A200))*3,0)</f>
        <v>43869</v>
      </c>
      <c r="B199">
        <f ca="1">OFFSET(Sheet2!C$4,(ROW(B200))*3,0)</f>
        <v>33</v>
      </c>
      <c r="C199" t="str">
        <f ca="1">OFFSET(Sheet2!D$4,(ROW(C200))*3,0)</f>
        <v>South</v>
      </c>
      <c r="D199" t="str">
        <f ca="1">OFFSET(Sheet2!F$4,(ROW(D200))*3,0)</f>
        <v>WETONYI TOM</v>
      </c>
      <c r="E199" t="str">
        <f ca="1">OFFSET(Sheet2!G$4,(ROW(E200))*3,0)</f>
        <v>H2Go</v>
      </c>
      <c r="F199">
        <f ca="1">OFFSET(Sheet2!H$4,(ROW(F200))*3,0)</f>
        <v>0</v>
      </c>
      <c r="G199" t="str">
        <f ca="1">OFFSET(Sheet2!I$4,(ROW(G200))*3,0)</f>
        <v>WEEKLY</v>
      </c>
      <c r="H199">
        <f ca="1">OFFSET(Sheet2!J$4,(ROW(H200))*3,0)</f>
        <v>198</v>
      </c>
      <c r="I199" t="str">
        <f ca="1">OFFSET(Sheet2!K$4,(ROW(I200))*3,0)</f>
        <v>Actions</v>
      </c>
      <c r="J199" t="str">
        <f ca="1">OFFSET(Sheet2!L$4,(ROW(J200))*3,0)</f>
        <v>CHANGED</v>
      </c>
      <c r="K199" t="str">
        <f ca="1">OFFSET(Sheet2!M$4,(ROW(K200))*3,0)</f>
        <v>CHECKED</v>
      </c>
      <c r="L199" t="str">
        <f ca="1">OFFSET(Sheet2!N$4,(ROW(L200))*3,0)</f>
        <v>GOOD</v>
      </c>
      <c r="M199" t="str">
        <f ca="1">OFFSET(Sheet2!O$4,(ROW(M200))*3,0)</f>
        <v>GOOD</v>
      </c>
      <c r="N199" t="str">
        <f ca="1">OFFSET(Sheet2!P$4,(ROW(N200))*3,0)</f>
        <v>SERVICED</v>
      </c>
      <c r="O199" t="str">
        <f ca="1">OFFSET(Sheet2!Q$4,(ROW(O200))*3,0)</f>
        <v>SERVICED</v>
      </c>
      <c r="P199">
        <f ca="1">OFFSET(Sheet2!R$4,(ROW(P200))*3,0)</f>
        <v>0</v>
      </c>
      <c r="Q199">
        <f ca="1">OFFSET(Sheet2!S$4,(ROW(Q200))*3,0)</f>
        <v>0</v>
      </c>
      <c r="R199">
        <f ca="1">OFFSET(Sheet2!T$4,(ROW(R200))*3,0)</f>
        <v>0</v>
      </c>
      <c r="S199">
        <f ca="1">OFFSET(Sheet2!U$2,(ROW(S200))*3,0)</f>
        <v>0</v>
      </c>
      <c r="T199">
        <f ca="1">OFFSET(Sheet2!V$2,(ROW(T200))*3,0)</f>
        <v>0</v>
      </c>
    </row>
    <row r="200" spans="1:20" x14ac:dyDescent="0.35">
      <c r="A200">
        <f ca="1">OFFSET(Sheet2!B$4,(ROW(A201))*3,0)</f>
        <v>43885</v>
      </c>
      <c r="B200">
        <f ca="1">OFFSET(Sheet2!C$4,(ROW(B201))*3,0)</f>
        <v>33</v>
      </c>
      <c r="C200" t="str">
        <f ca="1">OFFSET(Sheet2!D$4,(ROW(C201))*3,0)</f>
        <v>South</v>
      </c>
      <c r="D200" t="str">
        <f ca="1">OFFSET(Sheet2!F$4,(ROW(D201))*3,0)</f>
        <v>WETONYI TOM</v>
      </c>
      <c r="E200" t="str">
        <f ca="1">OFFSET(Sheet2!G$4,(ROW(E201))*3,0)</f>
        <v>H2Go</v>
      </c>
      <c r="F200">
        <f ca="1">OFFSET(Sheet2!H$4,(ROW(F201))*3,0)</f>
        <v>0</v>
      </c>
      <c r="G200" t="str">
        <f ca="1">OFFSET(Sheet2!I$4,(ROW(G201))*3,0)</f>
        <v>WEEKLY</v>
      </c>
      <c r="H200">
        <f ca="1">OFFSET(Sheet2!J$4,(ROW(H201))*3,0)</f>
        <v>133</v>
      </c>
      <c r="I200" t="str">
        <f ca="1">OFFSET(Sheet2!K$4,(ROW(I201))*3,0)</f>
        <v>Actions</v>
      </c>
      <c r="J200" t="str">
        <f ca="1">OFFSET(Sheet2!L$4,(ROW(J201))*3,0)</f>
        <v>Chagned</v>
      </c>
      <c r="K200" t="str">
        <f ca="1">OFFSET(Sheet2!M$4,(ROW(K201))*3,0)</f>
        <v>Nothing done</v>
      </c>
      <c r="L200" t="str">
        <f ca="1">OFFSET(Sheet2!N$4,(ROW(L201))*3,0)</f>
        <v>Aligned/adjusted</v>
      </c>
      <c r="M200" t="str">
        <f ca="1">OFFSET(Sheet2!O$4,(ROW(M201))*3,0)</f>
        <v>Nothing done</v>
      </c>
      <c r="N200" t="str">
        <f ca="1">OFFSET(Sheet2!P$4,(ROW(N201))*3,0)</f>
        <v>Nothing done</v>
      </c>
      <c r="O200" t="str">
        <f ca="1">OFFSET(Sheet2!Q$4,(ROW(O201))*3,0)</f>
        <v>Nothing Done</v>
      </c>
      <c r="P200">
        <f ca="1">OFFSET(Sheet2!R$4,(ROW(P201))*3,0)</f>
        <v>0</v>
      </c>
      <c r="Q200">
        <f ca="1">OFFSET(Sheet2!S$4,(ROW(Q201))*3,0)</f>
        <v>0</v>
      </c>
      <c r="R200">
        <f ca="1">OFFSET(Sheet2!T$4,(ROW(R201))*3,0)</f>
        <v>0</v>
      </c>
      <c r="S200">
        <f ca="1">OFFSET(Sheet2!U$2,(ROW(S201))*3,0)</f>
        <v>0</v>
      </c>
      <c r="T200">
        <f ca="1">OFFSET(Sheet2!V$2,(ROW(T201))*3,0)</f>
        <v>0</v>
      </c>
    </row>
    <row r="201" spans="1:20" x14ac:dyDescent="0.35">
      <c r="A201">
        <f ca="1">OFFSET(Sheet2!B$4,(ROW(A202))*3,0)</f>
        <v>43876</v>
      </c>
      <c r="B201">
        <f ca="1">OFFSET(Sheet2!C$4,(ROW(B202))*3,0)</f>
        <v>33</v>
      </c>
      <c r="C201" t="str">
        <f ca="1">OFFSET(Sheet2!D$4,(ROW(C202))*3,0)</f>
        <v>South</v>
      </c>
      <c r="D201" t="str">
        <f ca="1">OFFSET(Sheet2!F$4,(ROW(D202))*3,0)</f>
        <v>WETONYI TOM</v>
      </c>
      <c r="E201" t="str">
        <f ca="1">OFFSET(Sheet2!G$4,(ROW(E202))*3,0)</f>
        <v>H2GO</v>
      </c>
      <c r="F201">
        <f ca="1">OFFSET(Sheet2!H$4,(ROW(F202))*3,0)</f>
        <v>0</v>
      </c>
      <c r="G201" t="str">
        <f ca="1">OFFSET(Sheet2!I$4,(ROW(G202))*3,0)</f>
        <v>WEEKLY</v>
      </c>
      <c r="H201">
        <f ca="1">OFFSET(Sheet2!J$4,(ROW(H202))*3,0)</f>
        <v>153</v>
      </c>
      <c r="I201" t="str">
        <f ca="1">OFFSET(Sheet2!K$4,(ROW(I202))*3,0)</f>
        <v>Actions</v>
      </c>
      <c r="J201" t="str">
        <f ca="1">OFFSET(Sheet2!L$4,(ROW(J202))*3,0)</f>
        <v>CHANGED</v>
      </c>
      <c r="K201" t="str">
        <f ca="1">OFFSET(Sheet2!M$4,(ROW(K202))*3,0)</f>
        <v>DONE</v>
      </c>
      <c r="L201" t="str">
        <f ca="1">OFFSET(Sheet2!N$4,(ROW(L202))*3,0)</f>
        <v>ADJUSTED</v>
      </c>
      <c r="M201" t="str">
        <f ca="1">OFFSET(Sheet2!O$4,(ROW(M202))*3,0)</f>
        <v>NOTHING DONE</v>
      </c>
      <c r="N201" t="str">
        <f ca="1">OFFSET(Sheet2!P$4,(ROW(N202))*3,0)</f>
        <v>NOTHING DONE</v>
      </c>
      <c r="O201" t="str">
        <f ca="1">OFFSET(Sheet2!Q$4,(ROW(O202))*3,0)</f>
        <v>NOTHING DONE</v>
      </c>
      <c r="P201">
        <f ca="1">OFFSET(Sheet2!R$4,(ROW(P202))*3,0)</f>
        <v>0</v>
      </c>
      <c r="Q201">
        <f ca="1">OFFSET(Sheet2!S$4,(ROW(Q202))*3,0)</f>
        <v>0</v>
      </c>
      <c r="R201">
        <f ca="1">OFFSET(Sheet2!T$4,(ROW(R202))*3,0)</f>
        <v>0</v>
      </c>
      <c r="S201">
        <f ca="1">OFFSET(Sheet2!U$2,(ROW(S202))*3,0)</f>
        <v>0</v>
      </c>
      <c r="T201">
        <f ca="1">OFFSET(Sheet2!V$2,(ROW(T202))*3,0)</f>
        <v>0</v>
      </c>
    </row>
    <row r="202" spans="1:20" x14ac:dyDescent="0.35">
      <c r="A202">
        <f ca="1">OFFSET(Sheet2!B$4,(ROW(A203))*3,0)</f>
        <v>43892</v>
      </c>
      <c r="B202">
        <f ca="1">OFFSET(Sheet2!C$4,(ROW(B203))*3,0)</f>
        <v>33</v>
      </c>
      <c r="C202" t="str">
        <f ca="1">OFFSET(Sheet2!D$4,(ROW(C203))*3,0)</f>
        <v>South</v>
      </c>
      <c r="D202" t="str">
        <f ca="1">OFFSET(Sheet2!F$4,(ROW(D203))*3,0)</f>
        <v>WETONYI TOM</v>
      </c>
      <c r="E202" t="str">
        <f ca="1">OFFSET(Sheet2!G$4,(ROW(E203))*3,0)</f>
        <v>H2GO</v>
      </c>
      <c r="F202">
        <f ca="1">OFFSET(Sheet2!H$4,(ROW(F203))*3,0)</f>
        <v>0</v>
      </c>
      <c r="G202" t="str">
        <f ca="1">OFFSET(Sheet2!I$4,(ROW(G203))*3,0)</f>
        <v>WEEKLY</v>
      </c>
      <c r="H202">
        <f ca="1">OFFSET(Sheet2!J$4,(ROW(H203))*3,0)</f>
        <v>135</v>
      </c>
      <c r="I202" t="str">
        <f ca="1">OFFSET(Sheet2!K$4,(ROW(I203))*3,0)</f>
        <v>Actions</v>
      </c>
      <c r="J202" t="str">
        <f ca="1">OFFSET(Sheet2!L$4,(ROW(J203))*3,0)</f>
        <v>Chagned</v>
      </c>
      <c r="K202" t="str">
        <f ca="1">OFFSET(Sheet2!M$4,(ROW(K203))*3,0)</f>
        <v>Carberator was cleaned</v>
      </c>
      <c r="L202" t="str">
        <f ca="1">OFFSET(Sheet2!N$4,(ROW(L203))*3,0)</f>
        <v>Aligned/adjusted</v>
      </c>
      <c r="M202" t="str">
        <f ca="1">OFFSET(Sheet2!O$4,(ROW(M203))*3,0)</f>
        <v>Cleaned Filter</v>
      </c>
      <c r="N202" t="str">
        <f ca="1">OFFSET(Sheet2!P$4,(ROW(N203))*3,0)</f>
        <v>Nothing done, despite recommendation</v>
      </c>
      <c r="O202" t="str">
        <f ca="1">OFFSET(Sheet2!Q$4,(ROW(O203))*3,0)</f>
        <v xml:space="preserve">Replaced Nut </v>
      </c>
      <c r="P202">
        <f ca="1">OFFSET(Sheet2!R$4,(ROW(P203))*3,0)</f>
        <v>0</v>
      </c>
      <c r="Q202">
        <f ca="1">OFFSET(Sheet2!S$4,(ROW(Q203))*3,0)</f>
        <v>0</v>
      </c>
      <c r="R202">
        <f ca="1">OFFSET(Sheet2!T$4,(ROW(R203))*3,0)</f>
        <v>0</v>
      </c>
      <c r="S202">
        <f ca="1">OFFSET(Sheet2!U$2,(ROW(S203))*3,0)</f>
        <v>0</v>
      </c>
      <c r="T202">
        <f ca="1">OFFSET(Sheet2!V$2,(ROW(T203))*3,0)</f>
        <v>0</v>
      </c>
    </row>
    <row r="203" spans="1:20" x14ac:dyDescent="0.35">
      <c r="A203">
        <f ca="1">OFFSET(Sheet2!B$4,(ROW(A204))*3,0)</f>
        <v>43899</v>
      </c>
      <c r="B203">
        <f ca="1">OFFSET(Sheet2!C$4,(ROW(B204))*3,0)</f>
        <v>33</v>
      </c>
      <c r="C203" t="str">
        <f ca="1">OFFSET(Sheet2!D$4,(ROW(C204))*3,0)</f>
        <v>South</v>
      </c>
      <c r="D203" t="str">
        <f ca="1">OFFSET(Sheet2!F$4,(ROW(D204))*3,0)</f>
        <v>WETONYI TOM</v>
      </c>
      <c r="E203" t="str">
        <f ca="1">OFFSET(Sheet2!G$4,(ROW(E204))*3,0)</f>
        <v>H2GO</v>
      </c>
      <c r="F203">
        <f ca="1">OFFSET(Sheet2!H$4,(ROW(F204))*3,0)</f>
        <v>0</v>
      </c>
      <c r="G203" t="str">
        <f ca="1">OFFSET(Sheet2!I$4,(ROW(G204))*3,0)</f>
        <v>WEEKLY</v>
      </c>
      <c r="H203">
        <f ca="1">OFFSET(Sheet2!J$4,(ROW(H204))*3,0)</f>
        <v>156</v>
      </c>
      <c r="I203" t="str">
        <f ca="1">OFFSET(Sheet2!K$4,(ROW(I204))*3,0)</f>
        <v>Actions</v>
      </c>
      <c r="J203" t="str">
        <f ca="1">OFFSET(Sheet2!L$4,(ROW(J204))*3,0)</f>
        <v>Chagned</v>
      </c>
      <c r="K203" t="str">
        <f ca="1">OFFSET(Sheet2!M$4,(ROW(K204))*3,0)</f>
        <v>Nothing done</v>
      </c>
      <c r="L203" t="str">
        <f ca="1">OFFSET(Sheet2!N$4,(ROW(L204))*3,0)</f>
        <v>Nothing done</v>
      </c>
      <c r="M203" t="str">
        <f ca="1">OFFSET(Sheet2!O$4,(ROW(M204))*3,0)</f>
        <v>Nothing done, despite recommendation</v>
      </c>
      <c r="N203" t="str">
        <f ca="1">OFFSET(Sheet2!P$4,(ROW(N204))*3,0)</f>
        <v>Nothing done</v>
      </c>
      <c r="O203" t="str">
        <f ca="1">OFFSET(Sheet2!Q$4,(ROW(O204))*3,0)</f>
        <v>Nothing Done</v>
      </c>
      <c r="P203">
        <f ca="1">OFFSET(Sheet2!R$4,(ROW(P204))*3,0)</f>
        <v>0</v>
      </c>
      <c r="Q203">
        <f ca="1">OFFSET(Sheet2!S$4,(ROW(Q204))*3,0)</f>
        <v>0</v>
      </c>
      <c r="R203">
        <f ca="1">OFFSET(Sheet2!T$4,(ROW(R204))*3,0)</f>
        <v>0</v>
      </c>
      <c r="S203">
        <f ca="1">OFFSET(Sheet2!U$2,(ROW(S204))*3,0)</f>
        <v>0</v>
      </c>
      <c r="T203">
        <f ca="1">OFFSET(Sheet2!V$2,(ROW(T204))*3,0)</f>
        <v>0</v>
      </c>
    </row>
    <row r="204" spans="1:20" x14ac:dyDescent="0.35">
      <c r="A204">
        <f ca="1">OFFSET(Sheet2!B$4,(ROW(A205))*3,0)</f>
        <v>43848</v>
      </c>
      <c r="B204">
        <f ca="1">OFFSET(Sheet2!C$4,(ROW(B205))*3,0)</f>
        <v>34</v>
      </c>
      <c r="C204" t="str">
        <f ca="1">OFFSET(Sheet2!D$4,(ROW(C205))*3,0)</f>
        <v>South</v>
      </c>
      <c r="D204" t="str">
        <f ca="1">OFFSET(Sheet2!F$4,(ROW(D205))*3,0)</f>
        <v>WAMIMBI RONALD</v>
      </c>
      <c r="E204" t="str">
        <f ca="1">OFFSET(Sheet2!G$4,(ROW(E205))*3,0)</f>
        <v>H2Go</v>
      </c>
      <c r="F204">
        <f ca="1">OFFSET(Sheet2!H$4,(ROW(F205))*3,0)</f>
        <v>0</v>
      </c>
      <c r="G204" t="str">
        <f ca="1">OFFSET(Sheet2!I$4,(ROW(G205))*3,0)</f>
        <v>Comprehensive</v>
      </c>
      <c r="H204">
        <f ca="1">OFFSET(Sheet2!J$4,(ROW(H205))*3,0)</f>
        <v>35</v>
      </c>
      <c r="I204" t="str">
        <f ca="1">OFFSET(Sheet2!K$4,(ROW(I205))*3,0)</f>
        <v>Actions</v>
      </c>
      <c r="J204" t="str">
        <f ca="1">OFFSET(Sheet2!L$4,(ROW(J205))*3,0)</f>
        <v>changed</v>
      </c>
      <c r="K204" t="str">
        <f ca="1">OFFSET(Sheet2!M$4,(ROW(K205))*3,0)</f>
        <v>Keep it up</v>
      </c>
      <c r="L204" t="str">
        <f ca="1">OFFSET(Sheet2!N$4,(ROW(L205))*3,0)</f>
        <v>done</v>
      </c>
      <c r="M204" t="str">
        <f ca="1">OFFSET(Sheet2!O$4,(ROW(M205))*3,0)</f>
        <v>keep it up</v>
      </c>
      <c r="N204" t="str">
        <f ca="1">OFFSET(Sheet2!P$4,(ROW(N205))*3,0)</f>
        <v>keep it on</v>
      </c>
      <c r="O204" t="str">
        <f ca="1">OFFSET(Sheet2!Q$4,(ROW(O205))*3,0)</f>
        <v>done</v>
      </c>
      <c r="P204" t="str">
        <f ca="1">OFFSET(Sheet2!R$4,(ROW(P205))*3,0)</f>
        <v>not done</v>
      </c>
      <c r="Q204" t="str">
        <f ca="1">OFFSET(Sheet2!S$4,(ROW(Q205))*3,0)</f>
        <v>not done</v>
      </c>
      <c r="R204" t="str">
        <f ca="1">OFFSET(Sheet2!T$4,(ROW(R205))*3,0)</f>
        <v>keep it up</v>
      </c>
      <c r="S204">
        <f ca="1">OFFSET(Sheet2!U$2,(ROW(S205))*3,0)</f>
        <v>0</v>
      </c>
      <c r="T204">
        <f ca="1">OFFSET(Sheet2!V$2,(ROW(T205))*3,0)</f>
        <v>0</v>
      </c>
    </row>
    <row r="205" spans="1:20" x14ac:dyDescent="0.35">
      <c r="A205">
        <f ca="1">OFFSET(Sheet2!B$4,(ROW(A206))*3,0)</f>
        <v>43855</v>
      </c>
      <c r="B205">
        <f ca="1">OFFSET(Sheet2!C$4,(ROW(B206))*3,0)</f>
        <v>34</v>
      </c>
      <c r="C205" t="str">
        <f ca="1">OFFSET(Sheet2!D$4,(ROW(C206))*3,0)</f>
        <v>South</v>
      </c>
      <c r="D205" t="str">
        <f ca="1">OFFSET(Sheet2!F$4,(ROW(D206))*3,0)</f>
        <v>WAMIMBI RONALD</v>
      </c>
      <c r="E205" t="str">
        <f ca="1">OFFSET(Sheet2!G$4,(ROW(E206))*3,0)</f>
        <v>H2Go</v>
      </c>
      <c r="F205">
        <f ca="1">OFFSET(Sheet2!H$4,(ROW(F206))*3,0)</f>
        <v>0</v>
      </c>
      <c r="G205" t="str">
        <f ca="1">OFFSET(Sheet2!I$4,(ROW(G206))*3,0)</f>
        <v>WEEKLY</v>
      </c>
      <c r="H205">
        <f ca="1">OFFSET(Sheet2!J$4,(ROW(H206))*3,0)</f>
        <v>78</v>
      </c>
      <c r="I205" t="str">
        <f ca="1">OFFSET(Sheet2!K$4,(ROW(I206))*3,0)</f>
        <v>Actions</v>
      </c>
      <c r="J205" t="str">
        <f ca="1">OFFSET(Sheet2!L$4,(ROW(J206))*3,0)</f>
        <v>done</v>
      </c>
      <c r="K205" t="str">
        <f ca="1">OFFSET(Sheet2!M$4,(ROW(K206))*3,0)</f>
        <v>keep it up</v>
      </c>
      <c r="L205" t="str">
        <f ca="1">OFFSET(Sheet2!N$4,(ROW(L206))*3,0)</f>
        <v>keep it up</v>
      </c>
      <c r="M205" t="str">
        <f ca="1">OFFSET(Sheet2!O$4,(ROW(M206))*3,0)</f>
        <v>keep it up</v>
      </c>
      <c r="N205" t="str">
        <f ca="1">OFFSET(Sheet2!P$4,(ROW(N206))*3,0)</f>
        <v>done</v>
      </c>
      <c r="O205" t="str">
        <f ca="1">OFFSET(Sheet2!Q$4,(ROW(O206))*3,0)</f>
        <v>done</v>
      </c>
      <c r="P205">
        <f ca="1">OFFSET(Sheet2!R$4,(ROW(P206))*3,0)</f>
        <v>0</v>
      </c>
      <c r="Q205">
        <f ca="1">OFFSET(Sheet2!S$4,(ROW(Q206))*3,0)</f>
        <v>0</v>
      </c>
      <c r="R205">
        <f ca="1">OFFSET(Sheet2!T$4,(ROW(R206))*3,0)</f>
        <v>0</v>
      </c>
      <c r="S205">
        <f ca="1">OFFSET(Sheet2!U$2,(ROW(S206))*3,0)</f>
        <v>0</v>
      </c>
      <c r="T205">
        <f ca="1">OFFSET(Sheet2!V$2,(ROW(T206))*3,0)</f>
        <v>0</v>
      </c>
    </row>
    <row r="206" spans="1:20" x14ac:dyDescent="0.35">
      <c r="A206">
        <f ca="1">OFFSET(Sheet2!B$4,(ROW(A207))*3,0)</f>
        <v>43862</v>
      </c>
      <c r="B206">
        <f ca="1">OFFSET(Sheet2!C$4,(ROW(B207))*3,0)</f>
        <v>34</v>
      </c>
      <c r="C206" t="str">
        <f ca="1">OFFSET(Sheet2!D$4,(ROW(C207))*3,0)</f>
        <v>South</v>
      </c>
      <c r="D206" t="str">
        <f ca="1">OFFSET(Sheet2!F$4,(ROW(D207))*3,0)</f>
        <v>WAMIMBI RONALD</v>
      </c>
      <c r="E206" t="str">
        <f ca="1">OFFSET(Sheet2!G$4,(ROW(E207))*3,0)</f>
        <v>H2GO</v>
      </c>
      <c r="F206">
        <f ca="1">OFFSET(Sheet2!H$4,(ROW(F207))*3,0)</f>
        <v>0</v>
      </c>
      <c r="G206" t="str">
        <f ca="1">OFFSET(Sheet2!I$4,(ROW(G207))*3,0)</f>
        <v>WEEKLY</v>
      </c>
      <c r="H206">
        <f ca="1">OFFSET(Sheet2!J$4,(ROW(H207))*3,0)</f>
        <v>84</v>
      </c>
      <c r="I206" t="str">
        <f ca="1">OFFSET(Sheet2!K$4,(ROW(I207))*3,0)</f>
        <v>Actions</v>
      </c>
      <c r="J206" t="str">
        <f ca="1">OFFSET(Sheet2!L$4,(ROW(J207))*3,0)</f>
        <v>DONE</v>
      </c>
      <c r="K206" t="str">
        <f ca="1">OFFSET(Sheet2!M$4,(ROW(K207))*3,0)</f>
        <v>KEEP IT ON</v>
      </c>
      <c r="L206" t="str">
        <f ca="1">OFFSET(Sheet2!N$4,(ROW(L207))*3,0)</f>
        <v>KEEP IT UP</v>
      </c>
      <c r="M206" t="str">
        <f ca="1">OFFSET(Sheet2!O$4,(ROW(M207))*3,0)</f>
        <v>KEEP IT UP</v>
      </c>
      <c r="N206" t="str">
        <f ca="1">OFFSET(Sheet2!P$4,(ROW(N207))*3,0)</f>
        <v>KEEP IT ON</v>
      </c>
      <c r="O206" t="str">
        <f ca="1">OFFSET(Sheet2!Q$4,(ROW(O207))*3,0)</f>
        <v>DONE</v>
      </c>
      <c r="P206">
        <f ca="1">OFFSET(Sheet2!R$4,(ROW(P207))*3,0)</f>
        <v>0</v>
      </c>
      <c r="Q206">
        <f ca="1">OFFSET(Sheet2!S$4,(ROW(Q207))*3,0)</f>
        <v>0</v>
      </c>
      <c r="R206">
        <f ca="1">OFFSET(Sheet2!T$4,(ROW(R207))*3,0)</f>
        <v>0</v>
      </c>
      <c r="S206">
        <f ca="1">OFFSET(Sheet2!U$2,(ROW(S207))*3,0)</f>
        <v>0</v>
      </c>
      <c r="T206">
        <f ca="1">OFFSET(Sheet2!V$2,(ROW(T207))*3,0)</f>
        <v>0</v>
      </c>
    </row>
    <row r="207" spans="1:20" x14ac:dyDescent="0.35">
      <c r="A207">
        <f ca="1">OFFSET(Sheet2!B$4,(ROW(A208))*3,0)</f>
        <v>43876</v>
      </c>
      <c r="B207">
        <f ca="1">OFFSET(Sheet2!C$4,(ROW(B208))*3,0)</f>
        <v>34</v>
      </c>
      <c r="C207" t="str">
        <f ca="1">OFFSET(Sheet2!D$4,(ROW(C208))*3,0)</f>
        <v>South</v>
      </c>
      <c r="D207" t="str">
        <f ca="1">OFFSET(Sheet2!F$4,(ROW(D208))*3,0)</f>
        <v>WAMIMBI RONALD</v>
      </c>
      <c r="E207" t="str">
        <f ca="1">OFFSET(Sheet2!G$4,(ROW(E208))*3,0)</f>
        <v>H2Go</v>
      </c>
      <c r="F207">
        <f ca="1">OFFSET(Sheet2!H$4,(ROW(F208))*3,0)</f>
        <v>0</v>
      </c>
      <c r="G207" t="str">
        <f ca="1">OFFSET(Sheet2!I$4,(ROW(G208))*3,0)</f>
        <v>WEEKLY</v>
      </c>
      <c r="H207">
        <f ca="1">OFFSET(Sheet2!J$4,(ROW(H208))*3,0)</f>
        <v>122</v>
      </c>
      <c r="I207" t="str">
        <f ca="1">OFFSET(Sheet2!K$4,(ROW(I208))*3,0)</f>
        <v>Actions</v>
      </c>
      <c r="J207" t="str">
        <f ca="1">OFFSET(Sheet2!L$4,(ROW(J208))*3,0)</f>
        <v>CHANGED</v>
      </c>
      <c r="K207" t="str">
        <f ca="1">OFFSET(Sheet2!M$4,(ROW(K208))*3,0)</f>
        <v>CHECKED</v>
      </c>
      <c r="L207" t="str">
        <f ca="1">OFFSET(Sheet2!N$4,(ROW(L208))*3,0)</f>
        <v>CHECKED</v>
      </c>
      <c r="M207" t="str">
        <f ca="1">OFFSET(Sheet2!O$4,(ROW(M208))*3,0)</f>
        <v>CHECKED</v>
      </c>
      <c r="N207" t="str">
        <f ca="1">OFFSET(Sheet2!P$4,(ROW(N208))*3,0)</f>
        <v>CHECKED</v>
      </c>
      <c r="O207" t="str">
        <f ca="1">OFFSET(Sheet2!Q$4,(ROW(O208))*3,0)</f>
        <v>CHECKED</v>
      </c>
      <c r="P207">
        <f ca="1">OFFSET(Sheet2!R$4,(ROW(P208))*3,0)</f>
        <v>0</v>
      </c>
      <c r="Q207">
        <f ca="1">OFFSET(Sheet2!S$4,(ROW(Q208))*3,0)</f>
        <v>0</v>
      </c>
      <c r="R207">
        <f ca="1">OFFSET(Sheet2!T$4,(ROW(R208))*3,0)</f>
        <v>0</v>
      </c>
      <c r="S207">
        <f ca="1">OFFSET(Sheet2!U$2,(ROW(S208))*3,0)</f>
        <v>0</v>
      </c>
      <c r="T207">
        <f ca="1">OFFSET(Sheet2!V$2,(ROW(T208))*3,0)</f>
        <v>0</v>
      </c>
    </row>
    <row r="208" spans="1:20" x14ac:dyDescent="0.35">
      <c r="A208">
        <f ca="1">OFFSET(Sheet2!B$4,(ROW(A209))*3,0)</f>
        <v>43885</v>
      </c>
      <c r="B208">
        <f ca="1">OFFSET(Sheet2!C$4,(ROW(B209))*3,0)</f>
        <v>34</v>
      </c>
      <c r="C208" t="str">
        <f ca="1">OFFSET(Sheet2!D$4,(ROW(C209))*3,0)</f>
        <v>South</v>
      </c>
      <c r="D208" t="str">
        <f ca="1">OFFSET(Sheet2!F$4,(ROW(D209))*3,0)</f>
        <v>WAMIMBI RONALD</v>
      </c>
      <c r="E208" t="str">
        <f ca="1">OFFSET(Sheet2!G$4,(ROW(E209))*3,0)</f>
        <v>H2Go</v>
      </c>
      <c r="F208">
        <f ca="1">OFFSET(Sheet2!H$4,(ROW(F209))*3,0)</f>
        <v>0</v>
      </c>
      <c r="G208" t="str">
        <f ca="1">OFFSET(Sheet2!I$4,(ROW(G209))*3,0)</f>
        <v>WEEKLY</v>
      </c>
      <c r="H208">
        <f ca="1">OFFSET(Sheet2!J$4,(ROW(H209))*3,0)</f>
        <v>144</v>
      </c>
      <c r="I208" t="str">
        <f ca="1">OFFSET(Sheet2!K$4,(ROW(I209))*3,0)</f>
        <v>Actions</v>
      </c>
      <c r="J208" t="str">
        <f ca="1">OFFSET(Sheet2!L$4,(ROW(J209))*3,0)</f>
        <v>Chagned</v>
      </c>
      <c r="K208" t="str">
        <f ca="1">OFFSET(Sheet2!M$4,(ROW(K209))*3,0)</f>
        <v>Nothing done</v>
      </c>
      <c r="L208" t="str">
        <f ca="1">OFFSET(Sheet2!N$4,(ROW(L209))*3,0)</f>
        <v>Nothing done</v>
      </c>
      <c r="M208" t="str">
        <f ca="1">OFFSET(Sheet2!O$4,(ROW(M209))*3,0)</f>
        <v>Nothing done</v>
      </c>
      <c r="N208" t="str">
        <f ca="1">OFFSET(Sheet2!P$4,(ROW(N209))*3,0)</f>
        <v>Nothing done</v>
      </c>
      <c r="O208" t="str">
        <f ca="1">OFFSET(Sheet2!Q$4,(ROW(O209))*3,0)</f>
        <v>Nothing Done</v>
      </c>
      <c r="P208">
        <f ca="1">OFFSET(Sheet2!R$4,(ROW(P209))*3,0)</f>
        <v>0</v>
      </c>
      <c r="Q208">
        <f ca="1">OFFSET(Sheet2!S$4,(ROW(Q209))*3,0)</f>
        <v>0</v>
      </c>
      <c r="R208">
        <f ca="1">OFFSET(Sheet2!T$4,(ROW(R209))*3,0)</f>
        <v>0</v>
      </c>
      <c r="S208">
        <f ca="1">OFFSET(Sheet2!U$2,(ROW(S209))*3,0)</f>
        <v>0</v>
      </c>
      <c r="T208">
        <f ca="1">OFFSET(Sheet2!V$2,(ROW(T209))*3,0)</f>
        <v>0</v>
      </c>
    </row>
    <row r="209" spans="1:20" x14ac:dyDescent="0.35">
      <c r="A209">
        <f ca="1">OFFSET(Sheet2!B$4,(ROW(A210))*3,0)</f>
        <v>43869</v>
      </c>
      <c r="B209">
        <f ca="1">OFFSET(Sheet2!C$4,(ROW(B210))*3,0)</f>
        <v>34</v>
      </c>
      <c r="C209" t="str">
        <f ca="1">OFFSET(Sheet2!D$4,(ROW(C210))*3,0)</f>
        <v>South</v>
      </c>
      <c r="D209" t="str">
        <f ca="1">OFFSET(Sheet2!F$4,(ROW(D210))*3,0)</f>
        <v>WAMIMBI RONALD</v>
      </c>
      <c r="E209" t="str">
        <f ca="1">OFFSET(Sheet2!G$4,(ROW(E210))*3,0)</f>
        <v>H2GO</v>
      </c>
      <c r="F209">
        <f ca="1">OFFSET(Sheet2!H$4,(ROW(F210))*3,0)</f>
        <v>0</v>
      </c>
      <c r="G209" t="str">
        <f ca="1">OFFSET(Sheet2!I$4,(ROW(G210))*3,0)</f>
        <v>WEEKLY</v>
      </c>
      <c r="H209">
        <f ca="1">OFFSET(Sheet2!J$4,(ROW(H210))*3,0)</f>
        <v>111</v>
      </c>
      <c r="I209" t="str">
        <f ca="1">OFFSET(Sheet2!K$4,(ROW(I210))*3,0)</f>
        <v>Actions</v>
      </c>
      <c r="J209" t="str">
        <f ca="1">OFFSET(Sheet2!L$4,(ROW(J210))*3,0)</f>
        <v>CHANGED</v>
      </c>
      <c r="K209" t="str">
        <f ca="1">OFFSET(Sheet2!M$4,(ROW(K210))*3,0)</f>
        <v>NOTHING DONE</v>
      </c>
      <c r="L209" t="str">
        <f ca="1">OFFSET(Sheet2!N$4,(ROW(L210))*3,0)</f>
        <v>DONE</v>
      </c>
      <c r="M209" t="str">
        <f ca="1">OFFSET(Sheet2!O$4,(ROW(M210))*3,0)</f>
        <v>NOTHING DONE</v>
      </c>
      <c r="N209" t="str">
        <f ca="1">OFFSET(Sheet2!P$4,(ROW(N210))*3,0)</f>
        <v>NO ACTION</v>
      </c>
      <c r="O209" t="str">
        <f ca="1">OFFSET(Sheet2!Q$4,(ROW(O210))*3,0)</f>
        <v>NOTHING DONE</v>
      </c>
      <c r="P209">
        <f ca="1">OFFSET(Sheet2!R$4,(ROW(P210))*3,0)</f>
        <v>0</v>
      </c>
      <c r="Q209">
        <f ca="1">OFFSET(Sheet2!S$4,(ROW(Q210))*3,0)</f>
        <v>0</v>
      </c>
      <c r="R209">
        <f ca="1">OFFSET(Sheet2!T$4,(ROW(R210))*3,0)</f>
        <v>0</v>
      </c>
      <c r="S209">
        <f ca="1">OFFSET(Sheet2!U$2,(ROW(S210))*3,0)</f>
        <v>0</v>
      </c>
      <c r="T209">
        <f ca="1">OFFSET(Sheet2!V$2,(ROW(T210))*3,0)</f>
        <v>0</v>
      </c>
    </row>
    <row r="210" spans="1:20" x14ac:dyDescent="0.35">
      <c r="A210">
        <f ca="1">OFFSET(Sheet2!B$4,(ROW(A211))*3,0)</f>
        <v>43892</v>
      </c>
      <c r="B210">
        <f ca="1">OFFSET(Sheet2!C$4,(ROW(B211))*3,0)</f>
        <v>34</v>
      </c>
      <c r="C210" t="str">
        <f ca="1">OFFSET(Sheet2!D$4,(ROW(C211))*3,0)</f>
        <v>South</v>
      </c>
      <c r="D210" t="str">
        <f ca="1">OFFSET(Sheet2!F$4,(ROW(D211))*3,0)</f>
        <v>WAMIMBI RONALD</v>
      </c>
      <c r="E210" t="str">
        <f ca="1">OFFSET(Sheet2!G$4,(ROW(E211))*3,0)</f>
        <v>H2GO</v>
      </c>
      <c r="F210">
        <f ca="1">OFFSET(Sheet2!H$4,(ROW(F211))*3,0)</f>
        <v>0</v>
      </c>
      <c r="G210" t="str">
        <f ca="1">OFFSET(Sheet2!I$4,(ROW(G211))*3,0)</f>
        <v>WEEKLY</v>
      </c>
      <c r="H210">
        <f ca="1">OFFSET(Sheet2!J$4,(ROW(H211))*3,0)</f>
        <v>138</v>
      </c>
      <c r="I210" t="str">
        <f ca="1">OFFSET(Sheet2!K$4,(ROW(I211))*3,0)</f>
        <v>Actions</v>
      </c>
      <c r="J210" t="str">
        <f ca="1">OFFSET(Sheet2!L$4,(ROW(J211))*3,0)</f>
        <v>Chagned</v>
      </c>
      <c r="K210" t="str">
        <f ca="1">OFFSET(Sheet2!M$4,(ROW(K211))*3,0)</f>
        <v>Carberator was cleaned</v>
      </c>
      <c r="L210" t="str">
        <f ca="1">OFFSET(Sheet2!N$4,(ROW(L211))*3,0)</f>
        <v>Aligned/adjusted</v>
      </c>
      <c r="M210" t="str">
        <f ca="1">OFFSET(Sheet2!O$4,(ROW(M211))*3,0)</f>
        <v>Nothing done, despite recommendation</v>
      </c>
      <c r="N210" t="str">
        <f ca="1">OFFSET(Sheet2!P$4,(ROW(N211))*3,0)</f>
        <v>Nothing done, despite recommendation</v>
      </c>
      <c r="O210" t="str">
        <f ca="1">OFFSET(Sheet2!Q$4,(ROW(O211))*3,0)</f>
        <v>Nothing done, despite recommendation</v>
      </c>
      <c r="P210">
        <f ca="1">OFFSET(Sheet2!R$4,(ROW(P211))*3,0)</f>
        <v>0</v>
      </c>
      <c r="Q210">
        <f ca="1">OFFSET(Sheet2!S$4,(ROW(Q211))*3,0)</f>
        <v>0</v>
      </c>
      <c r="R210">
        <f ca="1">OFFSET(Sheet2!T$4,(ROW(R211))*3,0)</f>
        <v>0</v>
      </c>
      <c r="S210">
        <f ca="1">OFFSET(Sheet2!U$2,(ROW(S211))*3,0)</f>
        <v>0</v>
      </c>
      <c r="T210">
        <f ca="1">OFFSET(Sheet2!V$2,(ROW(T211))*3,0)</f>
        <v>0</v>
      </c>
    </row>
    <row r="211" spans="1:20" x14ac:dyDescent="0.35">
      <c r="A211">
        <f ca="1">OFFSET(Sheet2!B$4,(ROW(A212))*3,0)</f>
        <v>43899</v>
      </c>
      <c r="B211">
        <f ca="1">OFFSET(Sheet2!C$4,(ROW(B212))*3,0)</f>
        <v>34</v>
      </c>
      <c r="C211" t="str">
        <f ca="1">OFFSET(Sheet2!D$4,(ROW(C212))*3,0)</f>
        <v>South</v>
      </c>
      <c r="D211" t="str">
        <f ca="1">OFFSET(Sheet2!F$4,(ROW(D212))*3,0)</f>
        <v>WAMIMBI RONALD</v>
      </c>
      <c r="E211" t="str">
        <f ca="1">OFFSET(Sheet2!G$4,(ROW(E212))*3,0)</f>
        <v>H2GO</v>
      </c>
      <c r="F211">
        <f ca="1">OFFSET(Sheet2!H$4,(ROW(F212))*3,0)</f>
        <v>0</v>
      </c>
      <c r="G211" t="str">
        <f ca="1">OFFSET(Sheet2!I$4,(ROW(G212))*3,0)</f>
        <v>WEEKLY</v>
      </c>
      <c r="H211">
        <f ca="1">OFFSET(Sheet2!J$4,(ROW(H212))*3,0)</f>
        <v>171</v>
      </c>
      <c r="I211" t="str">
        <f ca="1">OFFSET(Sheet2!K$4,(ROW(I212))*3,0)</f>
        <v>Actions</v>
      </c>
      <c r="J211" t="str">
        <f ca="1">OFFSET(Sheet2!L$4,(ROW(J212))*3,0)</f>
        <v>Chagned</v>
      </c>
      <c r="K211" t="str">
        <f ca="1">OFFSET(Sheet2!M$4,(ROW(K212))*3,0)</f>
        <v>Carberator was cleaned</v>
      </c>
      <c r="L211" t="str">
        <f ca="1">OFFSET(Sheet2!N$4,(ROW(L212))*3,0)</f>
        <v>Aligned/adjusted</v>
      </c>
      <c r="M211" t="str">
        <f ca="1">OFFSET(Sheet2!O$4,(ROW(M212))*3,0)</f>
        <v>Nothing done</v>
      </c>
      <c r="N211" t="str">
        <f ca="1">OFFSET(Sheet2!P$4,(ROW(N212))*3,0)</f>
        <v>Nothing done, despite recommendation</v>
      </c>
      <c r="O211" t="str">
        <f ca="1">OFFSET(Sheet2!Q$4,(ROW(O212))*3,0)</f>
        <v>Nothing Done</v>
      </c>
      <c r="P211">
        <f ca="1">OFFSET(Sheet2!R$4,(ROW(P212))*3,0)</f>
        <v>0</v>
      </c>
      <c r="Q211">
        <f ca="1">OFFSET(Sheet2!S$4,(ROW(Q212))*3,0)</f>
        <v>0</v>
      </c>
      <c r="R211">
        <f ca="1">OFFSET(Sheet2!T$4,(ROW(R212))*3,0)</f>
        <v>0</v>
      </c>
      <c r="S211">
        <f ca="1">OFFSET(Sheet2!U$2,(ROW(S212))*3,0)</f>
        <v>0</v>
      </c>
      <c r="T211">
        <f ca="1">OFFSET(Sheet2!V$2,(ROW(T212))*3,0)</f>
        <v>0</v>
      </c>
    </row>
    <row r="212" spans="1:20" x14ac:dyDescent="0.35">
      <c r="A212">
        <f ca="1">OFFSET(Sheet2!B$4,(ROW(A213))*3,0)</f>
        <v>43878</v>
      </c>
      <c r="B212" t="e">
        <f ca="1">OFFSET(Sheet2!C$4,(ROW(B213))*3,0)</f>
        <v>#N/A</v>
      </c>
      <c r="C212" t="str">
        <f ca="1">OFFSET(Sheet2!D$4,(ROW(C213))*3,0)</f>
        <v>North</v>
      </c>
      <c r="D212" t="str">
        <f ca="1">OFFSET(Sheet2!F$4,(ROW(D213))*3,0)</f>
        <v>NEED TO CHECK</v>
      </c>
      <c r="E212" t="str">
        <f ca="1">OFFSET(Sheet2!G$4,(ROW(E213))*3,0)</f>
        <v>Control</v>
      </c>
      <c r="F212">
        <f ca="1">OFFSET(Sheet2!H$4,(ROW(F213))*3,0)</f>
        <v>0</v>
      </c>
      <c r="G212" t="str">
        <f ca="1">OFFSET(Sheet2!I$4,(ROW(G213))*3,0)</f>
        <v>WEEKLY</v>
      </c>
      <c r="H212">
        <f ca="1">OFFSET(Sheet2!J$4,(ROW(H213))*3,0)</f>
        <v>225</v>
      </c>
      <c r="I212" t="str">
        <f ca="1">OFFSET(Sheet2!K$4,(ROW(I213))*3,0)</f>
        <v>Actions</v>
      </c>
      <c r="J212" t="str">
        <f ca="1">OFFSET(Sheet2!L$4,(ROW(J213))*3,0)</f>
        <v>Chagned</v>
      </c>
      <c r="K212" t="str">
        <f ca="1">OFFSET(Sheet2!M$4,(ROW(K213))*3,0)</f>
        <v>Nothing done</v>
      </c>
      <c r="L212" t="str">
        <f ca="1">OFFSET(Sheet2!N$4,(ROW(L213))*3,0)</f>
        <v>Nothing done</v>
      </c>
      <c r="M212" t="str">
        <f ca="1">OFFSET(Sheet2!O$4,(ROW(M213))*3,0)</f>
        <v>Nothing done</v>
      </c>
      <c r="N212" t="str">
        <f ca="1">OFFSET(Sheet2!P$4,(ROW(N213))*3,0)</f>
        <v>Nothing done</v>
      </c>
      <c r="O212" t="str">
        <f ca="1">OFFSET(Sheet2!Q$4,(ROW(O213))*3,0)</f>
        <v>Nothing Done</v>
      </c>
      <c r="P212">
        <f ca="1">OFFSET(Sheet2!R$4,(ROW(P213))*3,0)</f>
        <v>0</v>
      </c>
      <c r="Q212">
        <f ca="1">OFFSET(Sheet2!S$4,(ROW(Q213))*3,0)</f>
        <v>0</v>
      </c>
      <c r="R212">
        <f ca="1">OFFSET(Sheet2!T$4,(ROW(R213))*3,0)</f>
        <v>0</v>
      </c>
      <c r="S212">
        <f ca="1">OFFSET(Sheet2!U$2,(ROW(S213))*3,0)</f>
        <v>0</v>
      </c>
      <c r="T212">
        <f ca="1">OFFSET(Sheet2!V$2,(ROW(T213))*3,0)</f>
        <v>0</v>
      </c>
    </row>
    <row r="213" spans="1:20" x14ac:dyDescent="0.35">
      <c r="A213">
        <f ca="1">OFFSET(Sheet2!B$4,(ROW(A214))*3,0)</f>
        <v>43855</v>
      </c>
      <c r="B213" t="e">
        <f ca="1">OFFSET(Sheet2!C$4,(ROW(B214))*3,0)</f>
        <v>#N/A</v>
      </c>
      <c r="C213" t="str">
        <f ca="1">OFFSET(Sheet2!D$4,(ROW(C214))*3,0)</f>
        <v>South</v>
      </c>
      <c r="D213" t="str">
        <f ca="1">OFFSET(Sheet2!F$4,(ROW(D214))*3,0)</f>
        <v>MAGOMU LATIFU</v>
      </c>
      <c r="E213" t="str">
        <f ca="1">OFFSET(Sheet2!G$4,(ROW(E214))*3,0)</f>
        <v>H2Go</v>
      </c>
      <c r="F213">
        <f ca="1">OFFSET(Sheet2!H$4,(ROW(F214))*3,0)</f>
        <v>0</v>
      </c>
      <c r="G213" t="str">
        <f ca="1">OFFSET(Sheet2!I$4,(ROW(G214))*3,0)</f>
        <v>WEEKLY</v>
      </c>
      <c r="H213">
        <f ca="1">OFFSET(Sheet2!J$4,(ROW(H214))*3,0)</f>
        <v>73</v>
      </c>
      <c r="I213" t="str">
        <f ca="1">OFFSET(Sheet2!K$4,(ROW(I214))*3,0)</f>
        <v>Actions</v>
      </c>
      <c r="J213" t="str">
        <f ca="1">OFFSET(Sheet2!L$4,(ROW(J214))*3,0)</f>
        <v>CHANGED</v>
      </c>
      <c r="K213" t="str">
        <f ca="1">OFFSET(Sheet2!M$4,(ROW(K214))*3,0)</f>
        <v>NOTHING DONE</v>
      </c>
      <c r="L213" t="str">
        <f ca="1">OFFSET(Sheet2!N$4,(ROW(L214))*3,0)</f>
        <v>Nothing done</v>
      </c>
      <c r="M213" t="str">
        <f ca="1">OFFSET(Sheet2!O$4,(ROW(M214))*3,0)</f>
        <v>nothing done</v>
      </c>
      <c r="N213" t="str">
        <f ca="1">OFFSET(Sheet2!P$4,(ROW(N214))*3,0)</f>
        <v>Nothing done</v>
      </c>
      <c r="O213" t="str">
        <f ca="1">OFFSET(Sheet2!Q$4,(ROW(O214))*3,0)</f>
        <v>NOTHING DONE</v>
      </c>
      <c r="P213">
        <f ca="1">OFFSET(Sheet2!R$4,(ROW(P214))*3,0)</f>
        <v>0</v>
      </c>
      <c r="Q213">
        <f ca="1">OFFSET(Sheet2!S$4,(ROW(Q214))*3,0)</f>
        <v>0</v>
      </c>
      <c r="R213">
        <f ca="1">OFFSET(Sheet2!T$4,(ROW(R214))*3,0)</f>
        <v>0</v>
      </c>
      <c r="S213">
        <f ca="1">OFFSET(Sheet2!U$2,(ROW(S214))*3,0)</f>
        <v>0</v>
      </c>
      <c r="T213">
        <f ca="1">OFFSET(Sheet2!V$2,(ROW(T214))*3,0)</f>
        <v>0</v>
      </c>
    </row>
    <row r="214" spans="1:20" x14ac:dyDescent="0.35">
      <c r="A214">
        <f ca="1">OFFSET(Sheet2!B$4,(ROW(A215))*3,0)</f>
        <v>43862</v>
      </c>
      <c r="B214" t="e">
        <f ca="1">OFFSET(Sheet2!C$4,(ROW(B215))*3,0)</f>
        <v>#N/A</v>
      </c>
      <c r="C214" t="str">
        <f ca="1">OFFSET(Sheet2!D$4,(ROW(C215))*3,0)</f>
        <v>South</v>
      </c>
      <c r="D214" t="str">
        <f ca="1">OFFSET(Sheet2!F$4,(ROW(D215))*3,0)</f>
        <v>MAGOMU LATIFU</v>
      </c>
      <c r="E214" t="str">
        <f ca="1">OFFSET(Sheet2!G$4,(ROW(E215))*3,0)</f>
        <v>H2Go</v>
      </c>
      <c r="F214">
        <f ca="1">OFFSET(Sheet2!H$4,(ROW(F215))*3,0)</f>
        <v>0</v>
      </c>
      <c r="G214" t="str">
        <f ca="1">OFFSET(Sheet2!I$4,(ROW(G215))*3,0)</f>
        <v>WEEKLY</v>
      </c>
      <c r="H214">
        <f ca="1">OFFSET(Sheet2!J$4,(ROW(H215))*3,0)</f>
        <v>194</v>
      </c>
      <c r="I214" t="str">
        <f ca="1">OFFSET(Sheet2!K$4,(ROW(I215))*3,0)</f>
        <v>Actions</v>
      </c>
      <c r="J214" t="str">
        <f ca="1">OFFSET(Sheet2!L$4,(ROW(J215))*3,0)</f>
        <v>CHANGE WEEKLY</v>
      </c>
      <c r="K214" t="str">
        <f ca="1">OFFSET(Sheet2!M$4,(ROW(K215))*3,0)</f>
        <v>KEEP IT MAINTAINED</v>
      </c>
      <c r="L214" t="str">
        <f ca="1">OFFSET(Sheet2!N$4,(ROW(L215))*3,0)</f>
        <v>KEEP IT MAINTAINED</v>
      </c>
      <c r="M214" t="str">
        <f ca="1">OFFSET(Sheet2!O$4,(ROW(M215))*3,0)</f>
        <v>KEEP SERVICING WEEKLY</v>
      </c>
      <c r="N214" t="str">
        <f ca="1">OFFSET(Sheet2!P$4,(ROW(N215))*3,0)</f>
        <v>Keep it clean</v>
      </c>
      <c r="O214" t="str">
        <f ca="1">OFFSET(Sheet2!Q$4,(ROW(O215))*3,0)</f>
        <v>Keep it checked</v>
      </c>
      <c r="P214">
        <f ca="1">OFFSET(Sheet2!R$4,(ROW(P215))*3,0)</f>
        <v>0</v>
      </c>
      <c r="Q214">
        <f ca="1">OFFSET(Sheet2!S$4,(ROW(Q215))*3,0)</f>
        <v>0</v>
      </c>
      <c r="R214">
        <f ca="1">OFFSET(Sheet2!T$4,(ROW(R215))*3,0)</f>
        <v>0</v>
      </c>
      <c r="S214">
        <f ca="1">OFFSET(Sheet2!U$2,(ROW(S215))*3,0)</f>
        <v>0</v>
      </c>
      <c r="T214">
        <f ca="1">OFFSET(Sheet2!V$2,(ROW(T215))*3,0)</f>
        <v>0</v>
      </c>
    </row>
    <row r="215" spans="1:20" x14ac:dyDescent="0.35">
      <c r="A215">
        <f ca="1">OFFSET(Sheet2!B$4,(ROW(A216))*3,0)</f>
        <v>43876</v>
      </c>
      <c r="B215" t="e">
        <f ca="1">OFFSET(Sheet2!C$4,(ROW(B216))*3,0)</f>
        <v>#N/A</v>
      </c>
      <c r="C215" t="str">
        <f ca="1">OFFSET(Sheet2!D$4,(ROW(C216))*3,0)</f>
        <v>South</v>
      </c>
      <c r="D215" t="str">
        <f ca="1">OFFSET(Sheet2!F$4,(ROW(D216))*3,0)</f>
        <v>MAGOMU LATIFU</v>
      </c>
      <c r="E215" t="str">
        <f ca="1">OFFSET(Sheet2!G$4,(ROW(E216))*3,0)</f>
        <v>H2Go</v>
      </c>
      <c r="F215">
        <f ca="1">OFFSET(Sheet2!H$4,(ROW(F216))*3,0)</f>
        <v>0</v>
      </c>
      <c r="G215" t="str">
        <f ca="1">OFFSET(Sheet2!I$4,(ROW(G216))*3,0)</f>
        <v>WEEKLY</v>
      </c>
      <c r="H215">
        <f ca="1">OFFSET(Sheet2!J$4,(ROW(H216))*3,0)</f>
        <v>148</v>
      </c>
      <c r="I215" t="str">
        <f ca="1">OFFSET(Sheet2!K$4,(ROW(I216))*3,0)</f>
        <v>Actions</v>
      </c>
      <c r="J215" t="str">
        <f ca="1">OFFSET(Sheet2!L$4,(ROW(J216))*3,0)</f>
        <v>CHANGED</v>
      </c>
      <c r="K215" t="str">
        <f ca="1">OFFSET(Sheet2!M$4,(ROW(K216))*3,0)</f>
        <v>NOTHING DONE</v>
      </c>
      <c r="L215" t="str">
        <f ca="1">OFFSET(Sheet2!N$4,(ROW(L216))*3,0)</f>
        <v>Nothing done</v>
      </c>
      <c r="M215" t="str">
        <f ca="1">OFFSET(Sheet2!O$4,(ROW(M216))*3,0)</f>
        <v>Nothing done</v>
      </c>
      <c r="N215" t="str">
        <f ca="1">OFFSET(Sheet2!P$4,(ROW(N216))*3,0)</f>
        <v>NOTHING DONE</v>
      </c>
      <c r="O215" t="str">
        <f ca="1">OFFSET(Sheet2!Q$4,(ROW(O216))*3,0)</f>
        <v>NOTHING DONE</v>
      </c>
      <c r="P215">
        <f ca="1">OFFSET(Sheet2!R$4,(ROW(P216))*3,0)</f>
        <v>0</v>
      </c>
      <c r="Q215">
        <f ca="1">OFFSET(Sheet2!S$4,(ROW(Q216))*3,0)</f>
        <v>0</v>
      </c>
      <c r="R215">
        <f ca="1">OFFSET(Sheet2!T$4,(ROW(R216))*3,0)</f>
        <v>0</v>
      </c>
      <c r="S215">
        <f ca="1">OFFSET(Sheet2!U$2,(ROW(S216))*3,0)</f>
        <v>0</v>
      </c>
      <c r="T215">
        <f ca="1">OFFSET(Sheet2!V$2,(ROW(T216))*3,0)</f>
        <v>0</v>
      </c>
    </row>
    <row r="216" spans="1:20" x14ac:dyDescent="0.35">
      <c r="A216">
        <f ca="1">OFFSET(Sheet2!B$4,(ROW(A217))*3,0)</f>
        <v>43885</v>
      </c>
      <c r="B216" t="e">
        <f ca="1">OFFSET(Sheet2!C$4,(ROW(B217))*3,0)</f>
        <v>#N/A</v>
      </c>
      <c r="C216" t="str">
        <f ca="1">OFFSET(Sheet2!D$4,(ROW(C217))*3,0)</f>
        <v>South</v>
      </c>
      <c r="D216" t="str">
        <f ca="1">OFFSET(Sheet2!F$4,(ROW(D217))*3,0)</f>
        <v>MAGOMU LATIFU</v>
      </c>
      <c r="E216" t="str">
        <f ca="1">OFFSET(Sheet2!G$4,(ROW(E217))*3,0)</f>
        <v>CONTROL</v>
      </c>
      <c r="F216">
        <f ca="1">OFFSET(Sheet2!H$4,(ROW(F217))*3,0)</f>
        <v>0</v>
      </c>
      <c r="G216" t="str">
        <f ca="1">OFFSET(Sheet2!I$4,(ROW(G217))*3,0)</f>
        <v>WEEKLY</v>
      </c>
      <c r="H216">
        <f ca="1">OFFSET(Sheet2!J$4,(ROW(H217))*3,0)</f>
        <v>131</v>
      </c>
      <c r="I216" t="str">
        <f ca="1">OFFSET(Sheet2!K$4,(ROW(I217))*3,0)</f>
        <v>Actions</v>
      </c>
      <c r="J216" t="str">
        <f ca="1">OFFSET(Sheet2!L$4,(ROW(J217))*3,0)</f>
        <v>Chagned</v>
      </c>
      <c r="K216" t="str">
        <f ca="1">OFFSET(Sheet2!M$4,(ROW(K217))*3,0)</f>
        <v>Nothing done</v>
      </c>
      <c r="L216" t="str">
        <f ca="1">OFFSET(Sheet2!N$4,(ROW(L217))*3,0)</f>
        <v>Aligned/adjusted</v>
      </c>
      <c r="M216" t="str">
        <f ca="1">OFFSET(Sheet2!O$4,(ROW(M217))*3,0)</f>
        <v>Cleaned Filter</v>
      </c>
      <c r="N216" t="str">
        <f ca="1">OFFSET(Sheet2!P$4,(ROW(N217))*3,0)</f>
        <v>Nothing done</v>
      </c>
      <c r="O216" t="str">
        <f ca="1">OFFSET(Sheet2!Q$4,(ROW(O217))*3,0)</f>
        <v>Nothing Done</v>
      </c>
      <c r="P216">
        <f ca="1">OFFSET(Sheet2!R$4,(ROW(P217))*3,0)</f>
        <v>0</v>
      </c>
      <c r="Q216">
        <f ca="1">OFFSET(Sheet2!S$4,(ROW(Q217))*3,0)</f>
        <v>0</v>
      </c>
      <c r="R216">
        <f ca="1">OFFSET(Sheet2!T$4,(ROW(R217))*3,0)</f>
        <v>0</v>
      </c>
      <c r="S216">
        <f ca="1">OFFSET(Sheet2!U$2,(ROW(S217))*3,0)</f>
        <v>0</v>
      </c>
      <c r="T216">
        <f ca="1">OFFSET(Sheet2!V$2,(ROW(T217))*3,0)</f>
        <v>0</v>
      </c>
    </row>
    <row r="217" spans="1:20" x14ac:dyDescent="0.35">
      <c r="A217">
        <f ca="1">OFFSET(Sheet2!B$4,(ROW(A218))*3,0)</f>
        <v>43892</v>
      </c>
      <c r="B217" t="e">
        <f ca="1">OFFSET(Sheet2!C$4,(ROW(B218))*3,0)</f>
        <v>#N/A</v>
      </c>
      <c r="C217" t="str">
        <f ca="1">OFFSET(Sheet2!D$4,(ROW(C218))*3,0)</f>
        <v>South</v>
      </c>
      <c r="D217" t="str">
        <f ca="1">OFFSET(Sheet2!F$4,(ROW(D218))*3,0)</f>
        <v>NAGOMU LATIF</v>
      </c>
      <c r="E217" t="str">
        <f ca="1">OFFSET(Sheet2!G$4,(ROW(E218))*3,0)</f>
        <v>CONTROL</v>
      </c>
      <c r="F217">
        <f ca="1">OFFSET(Sheet2!H$4,(ROW(F218))*3,0)</f>
        <v>0</v>
      </c>
      <c r="G217" t="str">
        <f ca="1">OFFSET(Sheet2!I$4,(ROW(G218))*3,0)</f>
        <v>WEEKLY</v>
      </c>
      <c r="H217">
        <f ca="1">OFFSET(Sheet2!J$4,(ROW(H218))*3,0)</f>
        <v>130</v>
      </c>
      <c r="I217" t="str">
        <f ca="1">OFFSET(Sheet2!K$4,(ROW(I218))*3,0)</f>
        <v>Actions</v>
      </c>
      <c r="J217" t="str">
        <f ca="1">OFFSET(Sheet2!L$4,(ROW(J218))*3,0)</f>
        <v>Chagned</v>
      </c>
      <c r="K217" t="str">
        <f ca="1">OFFSET(Sheet2!M$4,(ROW(K218))*3,0)</f>
        <v>Carberator was cleaned</v>
      </c>
      <c r="L217" t="str">
        <f ca="1">OFFSET(Sheet2!N$4,(ROW(L218))*3,0)</f>
        <v>Nothing done</v>
      </c>
      <c r="M217" t="str">
        <f ca="1">OFFSET(Sheet2!O$4,(ROW(M218))*3,0)</f>
        <v>Nothing done</v>
      </c>
      <c r="N217" t="str">
        <f ca="1">OFFSET(Sheet2!P$4,(ROW(N218))*3,0)</f>
        <v>Nothing done</v>
      </c>
      <c r="O217" t="str">
        <f ca="1">OFFSET(Sheet2!Q$4,(ROW(O218))*3,0)</f>
        <v>Nothing done, despite recommendation</v>
      </c>
      <c r="P217">
        <f ca="1">OFFSET(Sheet2!R$4,(ROW(P218))*3,0)</f>
        <v>0</v>
      </c>
      <c r="Q217">
        <f ca="1">OFFSET(Sheet2!S$4,(ROW(Q218))*3,0)</f>
        <v>0</v>
      </c>
      <c r="R217">
        <f ca="1">OFFSET(Sheet2!T$4,(ROW(R218))*3,0)</f>
        <v>0</v>
      </c>
      <c r="S217">
        <f ca="1">OFFSET(Sheet2!U$2,(ROW(S218))*3,0)</f>
        <v>0</v>
      </c>
      <c r="T217">
        <f ca="1">OFFSET(Sheet2!V$2,(ROW(T218))*3,0)</f>
        <v>0</v>
      </c>
    </row>
    <row r="218" spans="1:20" x14ac:dyDescent="0.35">
      <c r="A218">
        <f ca="1">OFFSET(Sheet2!B$4,(ROW(A219))*3,0)</f>
        <v>43898</v>
      </c>
      <c r="B218">
        <f ca="1">OFFSET(Sheet2!C$4,(ROW(B219))*3,0)</f>
        <v>0</v>
      </c>
      <c r="C218" t="str">
        <f ca="1">OFFSET(Sheet2!D$4,(ROW(C219))*3,0)</f>
        <v>North</v>
      </c>
      <c r="D218" t="str">
        <f ca="1">OFFSET(Sheet2!F$4,(ROW(D219))*3,0)</f>
        <v>Makona Lameka</v>
      </c>
      <c r="E218" t="str">
        <f ca="1">OFFSET(Sheet2!G$4,(ROW(E219))*3,0)</f>
        <v>Control</v>
      </c>
      <c r="F218">
        <f ca="1">OFFSET(Sheet2!H$4,(ROW(F219))*3,0)</f>
        <v>0</v>
      </c>
      <c r="G218" t="str">
        <f ca="1">OFFSET(Sheet2!I$4,(ROW(G219))*3,0)</f>
        <v>Comprehensive @new</v>
      </c>
      <c r="H218">
        <f ca="1">OFFSET(Sheet2!J$4,(ROW(H219))*3,0)</f>
        <v>252</v>
      </c>
      <c r="I218" t="str">
        <f ca="1">OFFSET(Sheet2!K$4,(ROW(I219))*3,0)</f>
        <v>Actions</v>
      </c>
      <c r="J218" t="str">
        <f ca="1">OFFSET(Sheet2!L$4,(ROW(J219))*3,0)</f>
        <v>Chagned</v>
      </c>
      <c r="K218" t="str">
        <f ca="1">OFFSET(Sheet2!M$4,(ROW(K219))*3,0)</f>
        <v>Carberator was cleaned</v>
      </c>
      <c r="L218" t="str">
        <f ca="1">OFFSET(Sheet2!N$4,(ROW(L219))*3,0)</f>
        <v>Aligned/adjusted</v>
      </c>
      <c r="M218" t="str">
        <f ca="1">OFFSET(Sheet2!O$4,(ROW(M219))*3,0)</f>
        <v>Cleaned Filter</v>
      </c>
      <c r="N218" t="str">
        <f ca="1">OFFSET(Sheet2!P$4,(ROW(N219))*3,0)</f>
        <v>Nothing done</v>
      </c>
      <c r="O218" t="str">
        <f ca="1">OFFSET(Sheet2!Q$4,(ROW(O219))*3,0)</f>
        <v>Nothing Done</v>
      </c>
      <c r="P218">
        <f ca="1">OFFSET(Sheet2!R$4,(ROW(P219))*3,0)</f>
        <v>0</v>
      </c>
      <c r="Q218">
        <f ca="1">OFFSET(Sheet2!S$4,(ROW(Q219))*3,0)</f>
        <v>0</v>
      </c>
      <c r="R218">
        <f ca="1">OFFSET(Sheet2!T$4,(ROW(R219))*3,0)</f>
        <v>0</v>
      </c>
      <c r="S218">
        <f ca="1">OFFSET(Sheet2!U$2,(ROW(S219))*3,0)</f>
        <v>0</v>
      </c>
      <c r="T218">
        <f ca="1">OFFSET(Sheet2!V$2,(ROW(T219))*3,0)</f>
        <v>0</v>
      </c>
    </row>
    <row r="219" spans="1:20" x14ac:dyDescent="0.35">
      <c r="A219">
        <f ca="1">OFFSET(Sheet2!B$4,(ROW(A220))*3,0)</f>
        <v>43898</v>
      </c>
      <c r="B219">
        <f ca="1">OFFSET(Sheet2!C$4,(ROW(B220))*3,0)</f>
        <v>0</v>
      </c>
      <c r="C219" t="str">
        <f ca="1">OFFSET(Sheet2!D$4,(ROW(C220))*3,0)</f>
        <v>North</v>
      </c>
      <c r="D219" t="str">
        <f ca="1">OFFSET(Sheet2!F$4,(ROW(D220))*3,0)</f>
        <v>Mwambu Denis</v>
      </c>
      <c r="E219" t="str">
        <f ca="1">OFFSET(Sheet2!G$4,(ROW(E220))*3,0)</f>
        <v>Control</v>
      </c>
      <c r="F219">
        <f ca="1">OFFSET(Sheet2!H$4,(ROW(F220))*3,0)</f>
        <v>0</v>
      </c>
      <c r="G219" t="str">
        <f ca="1">OFFSET(Sheet2!I$4,(ROW(G220))*3,0)</f>
        <v>Comprehensive @new</v>
      </c>
      <c r="H219">
        <f ca="1">OFFSET(Sheet2!J$4,(ROW(H220))*3,0)</f>
        <v>242</v>
      </c>
      <c r="I219" t="str">
        <f ca="1">OFFSET(Sheet2!K$4,(ROW(I220))*3,0)</f>
        <v>Actions</v>
      </c>
      <c r="J219" t="str">
        <f ca="1">OFFSET(Sheet2!L$4,(ROW(J220))*3,0)</f>
        <v>Chagned</v>
      </c>
      <c r="K219" t="str">
        <f ca="1">OFFSET(Sheet2!M$4,(ROW(K220))*3,0)</f>
        <v>Carberator was cleaned</v>
      </c>
      <c r="L219" t="str">
        <f ca="1">OFFSET(Sheet2!N$4,(ROW(L220))*3,0)</f>
        <v>Nothing done</v>
      </c>
      <c r="M219" t="str">
        <f ca="1">OFFSET(Sheet2!O$4,(ROW(M220))*3,0)</f>
        <v>Cleaned Filter</v>
      </c>
      <c r="N219" t="str">
        <f ca="1">OFFSET(Sheet2!P$4,(ROW(N220))*3,0)</f>
        <v>Nothing done</v>
      </c>
      <c r="O219" t="str">
        <f ca="1">OFFSET(Sheet2!Q$4,(ROW(O220))*3,0)</f>
        <v>Nothing Done</v>
      </c>
      <c r="P219">
        <f ca="1">OFFSET(Sheet2!R$4,(ROW(P220))*3,0)</f>
        <v>0</v>
      </c>
      <c r="Q219">
        <f ca="1">OFFSET(Sheet2!S$4,(ROW(Q220))*3,0)</f>
        <v>0</v>
      </c>
      <c r="R219">
        <f ca="1">OFFSET(Sheet2!T$4,(ROW(R220))*3,0)</f>
        <v>0</v>
      </c>
      <c r="S219">
        <f ca="1">OFFSET(Sheet2!U$2,(ROW(S220))*3,0)</f>
        <v>0</v>
      </c>
      <c r="T219">
        <f ca="1">OFFSET(Sheet2!V$2,(ROW(T220))*3,0)</f>
        <v>0</v>
      </c>
    </row>
    <row r="220" spans="1:20" x14ac:dyDescent="0.35">
      <c r="A220">
        <f ca="1">OFFSET(Sheet2!B$4,(ROW(A221))*3,0)</f>
        <v>43898</v>
      </c>
      <c r="B220">
        <f ca="1">OFFSET(Sheet2!C$4,(ROW(B221))*3,0)</f>
        <v>0</v>
      </c>
      <c r="C220" t="str">
        <f ca="1">OFFSET(Sheet2!D$4,(ROW(C221))*3,0)</f>
        <v>North</v>
      </c>
      <c r="D220" t="str">
        <f ca="1">OFFSET(Sheet2!F$4,(ROW(D221))*3,0)</f>
        <v>Nabwambi micheal</v>
      </c>
      <c r="E220" t="str">
        <f ca="1">OFFSET(Sheet2!G$4,(ROW(E221))*3,0)</f>
        <v>Control</v>
      </c>
      <c r="F220">
        <f ca="1">OFFSET(Sheet2!H$4,(ROW(F221))*3,0)</f>
        <v>0</v>
      </c>
      <c r="G220" t="str">
        <f ca="1">OFFSET(Sheet2!I$4,(ROW(G221))*3,0)</f>
        <v>WEEKLY</v>
      </c>
      <c r="H220">
        <f ca="1">OFFSET(Sheet2!J$4,(ROW(H221))*3,0)</f>
        <v>248</v>
      </c>
      <c r="I220" t="str">
        <f ca="1">OFFSET(Sheet2!K$4,(ROW(I221))*3,0)</f>
        <v>Actions</v>
      </c>
      <c r="J220" t="str">
        <f ca="1">OFFSET(Sheet2!L$4,(ROW(J221))*3,0)</f>
        <v>Chagned</v>
      </c>
      <c r="K220" t="str">
        <f ca="1">OFFSET(Sheet2!M$4,(ROW(K221))*3,0)</f>
        <v>Carberator was cleaned</v>
      </c>
      <c r="L220" t="str">
        <f ca="1">OFFSET(Sheet2!N$4,(ROW(L221))*3,0)</f>
        <v>Nothing done</v>
      </c>
      <c r="M220" t="str">
        <f ca="1">OFFSET(Sheet2!O$4,(ROW(M221))*3,0)</f>
        <v>Cleaned Filter</v>
      </c>
      <c r="N220" t="str">
        <f ca="1">OFFSET(Sheet2!P$4,(ROW(N221))*3,0)</f>
        <v>Nothing done</v>
      </c>
      <c r="O220" t="str">
        <f ca="1">OFFSET(Sheet2!Q$4,(ROW(O221))*3,0)</f>
        <v>Nothing Done</v>
      </c>
      <c r="P220">
        <f ca="1">OFFSET(Sheet2!R$4,(ROW(P221))*3,0)</f>
        <v>0</v>
      </c>
      <c r="Q220">
        <f ca="1">OFFSET(Sheet2!S$4,(ROW(Q221))*3,0)</f>
        <v>0</v>
      </c>
      <c r="R220">
        <f ca="1">OFFSET(Sheet2!T$4,(ROW(R221))*3,0)</f>
        <v>0</v>
      </c>
      <c r="S220">
        <f ca="1">OFFSET(Sheet2!U$2,(ROW(S221))*3,0)</f>
        <v>0</v>
      </c>
      <c r="T220">
        <f ca="1">OFFSET(Sheet2!V$2,(ROW(T221))*3,0)</f>
        <v>0</v>
      </c>
    </row>
    <row r="221" spans="1:20" x14ac:dyDescent="0.35">
      <c r="A221">
        <f ca="1">OFFSET(Sheet2!B$4,(ROW(A222))*3,0)</f>
        <v>43899</v>
      </c>
      <c r="B221">
        <f ca="1">OFFSET(Sheet2!C$4,(ROW(B222))*3,0)</f>
        <v>0</v>
      </c>
      <c r="C221" t="str">
        <f ca="1">OFFSET(Sheet2!D$4,(ROW(C222))*3,0)</f>
        <v>North</v>
      </c>
      <c r="D221" t="str">
        <f ca="1">OFFSET(Sheet2!F$4,(ROW(D222))*3,0)</f>
        <v>Wakamweli Agrey</v>
      </c>
      <c r="E221" t="str">
        <f ca="1">OFFSET(Sheet2!G$4,(ROW(E222))*3,0)</f>
        <v>H2Go</v>
      </c>
      <c r="F221">
        <f ca="1">OFFSET(Sheet2!H$4,(ROW(F222))*3,0)</f>
        <v>0</v>
      </c>
      <c r="G221" t="str">
        <f ca="1">OFFSET(Sheet2!I$4,(ROW(G222))*3,0)</f>
        <v>Comprehensive @new</v>
      </c>
      <c r="H221">
        <f ca="1">OFFSET(Sheet2!J$4,(ROW(H222))*3,0)</f>
        <v>271</v>
      </c>
      <c r="I221" t="str">
        <f ca="1">OFFSET(Sheet2!K$4,(ROW(I222))*3,0)</f>
        <v>Actions</v>
      </c>
      <c r="J221" t="str">
        <f ca="1">OFFSET(Sheet2!L$4,(ROW(J222))*3,0)</f>
        <v>Chagned</v>
      </c>
      <c r="K221" t="str">
        <f ca="1">OFFSET(Sheet2!M$4,(ROW(K222))*3,0)</f>
        <v>Nothing done</v>
      </c>
      <c r="L221" t="str">
        <f ca="1">OFFSET(Sheet2!N$4,(ROW(L222))*3,0)</f>
        <v>Aligned/adjusted</v>
      </c>
      <c r="M221" t="str">
        <f ca="1">OFFSET(Sheet2!O$4,(ROW(M222))*3,0)</f>
        <v>Nothing done</v>
      </c>
      <c r="N221" t="str">
        <f ca="1">OFFSET(Sheet2!P$4,(ROW(N222))*3,0)</f>
        <v>Nothing done, despite recommendation</v>
      </c>
      <c r="O221" t="str">
        <f ca="1">OFFSET(Sheet2!Q$4,(ROW(O222))*3,0)</f>
        <v>Nothing Done</v>
      </c>
      <c r="P221">
        <f ca="1">OFFSET(Sheet2!R$4,(ROW(P222))*3,0)</f>
        <v>0</v>
      </c>
      <c r="Q221">
        <f ca="1">OFFSET(Sheet2!S$4,(ROW(Q222))*3,0)</f>
        <v>0</v>
      </c>
      <c r="R221">
        <f ca="1">OFFSET(Sheet2!T$4,(ROW(R222))*3,0)</f>
        <v>0</v>
      </c>
      <c r="S221">
        <f ca="1">OFFSET(Sheet2!U$2,(ROW(S222))*3,0)</f>
        <v>0</v>
      </c>
      <c r="T221">
        <f ca="1">OFFSET(Sheet2!V$2,(ROW(T222))*3,0)</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E43"/>
  <sheetViews>
    <sheetView workbookViewId="0">
      <selection activeCell="K19" sqref="K19"/>
    </sheetView>
  </sheetViews>
  <sheetFormatPr defaultRowHeight="14.5" x14ac:dyDescent="0.35"/>
  <cols>
    <col min="1" max="1" width="19.54296875" bestFit="1" customWidth="1"/>
    <col min="2" max="2" width="15.54296875" bestFit="1" customWidth="1"/>
    <col min="3" max="3" width="6.81640625" bestFit="1" customWidth="1"/>
    <col min="4" max="4" width="10.7265625" bestFit="1" customWidth="1"/>
  </cols>
  <sheetData>
    <row r="3" spans="1:5" x14ac:dyDescent="0.35">
      <c r="A3" s="4" t="s">
        <v>570</v>
      </c>
      <c r="B3" s="4" t="s">
        <v>571</v>
      </c>
    </row>
    <row r="4" spans="1:5" x14ac:dyDescent="0.35">
      <c r="A4" s="4" t="s">
        <v>568</v>
      </c>
      <c r="B4" t="s">
        <v>6</v>
      </c>
      <c r="C4" t="s">
        <v>217</v>
      </c>
      <c r="D4" t="s">
        <v>569</v>
      </c>
    </row>
    <row r="5" spans="1:5" x14ac:dyDescent="0.35">
      <c r="A5" s="5" t="s">
        <v>9</v>
      </c>
      <c r="B5" s="3">
        <v>42</v>
      </c>
      <c r="C5" s="3">
        <v>87</v>
      </c>
      <c r="D5" s="3">
        <v>129</v>
      </c>
    </row>
    <row r="6" spans="1:5" x14ac:dyDescent="0.35">
      <c r="A6" s="6" t="s">
        <v>34</v>
      </c>
      <c r="B6" s="3">
        <v>12</v>
      </c>
      <c r="C6" s="3">
        <v>30</v>
      </c>
      <c r="D6" s="3">
        <v>42</v>
      </c>
      <c r="E6">
        <f>GETPIVOTDATA("Service Type",$A$3,"Branch","North","Group","Control","Service Type","Comprehensive")/3</f>
        <v>4</v>
      </c>
    </row>
    <row r="7" spans="1:5" x14ac:dyDescent="0.35">
      <c r="A7" s="7">
        <v>11</v>
      </c>
      <c r="B7" s="3">
        <v>3</v>
      </c>
      <c r="C7" s="3">
        <v>9</v>
      </c>
      <c r="D7" s="3">
        <v>12</v>
      </c>
      <c r="E7">
        <f>GETPIVOTDATA("Service Type",$A$3,"Branch","North","Group","H2Go","Service Type","Comprehensive")/3</f>
        <v>10</v>
      </c>
    </row>
    <row r="8" spans="1:5" x14ac:dyDescent="0.35">
      <c r="A8" s="7">
        <v>12</v>
      </c>
      <c r="B8" s="3">
        <v>3</v>
      </c>
      <c r="C8" s="3">
        <v>6</v>
      </c>
      <c r="D8" s="3">
        <v>9</v>
      </c>
    </row>
    <row r="9" spans="1:5" x14ac:dyDescent="0.35">
      <c r="A9" s="7">
        <v>13</v>
      </c>
      <c r="B9" s="3">
        <v>3</v>
      </c>
      <c r="C9" s="3">
        <v>9</v>
      </c>
      <c r="D9" s="3">
        <v>12</v>
      </c>
    </row>
    <row r="10" spans="1:5" x14ac:dyDescent="0.35">
      <c r="A10" s="7">
        <v>14</v>
      </c>
      <c r="B10" s="3">
        <v>3</v>
      </c>
      <c r="C10" s="3">
        <v>6</v>
      </c>
      <c r="D10" s="3">
        <v>9</v>
      </c>
    </row>
    <row r="11" spans="1:5" x14ac:dyDescent="0.35">
      <c r="A11" s="6" t="s">
        <v>75</v>
      </c>
      <c r="B11" s="3">
        <v>30</v>
      </c>
      <c r="C11" s="3">
        <v>57</v>
      </c>
      <c r="D11" s="3">
        <v>87</v>
      </c>
    </row>
    <row r="12" spans="1:5" x14ac:dyDescent="0.35">
      <c r="A12" s="7">
        <v>1</v>
      </c>
      <c r="B12" s="3"/>
      <c r="C12" s="3">
        <v>6</v>
      </c>
      <c r="D12" s="3">
        <v>6</v>
      </c>
    </row>
    <row r="13" spans="1:5" x14ac:dyDescent="0.35">
      <c r="A13" s="7">
        <v>2</v>
      </c>
      <c r="B13" s="3">
        <v>3</v>
      </c>
      <c r="C13" s="3">
        <v>9</v>
      </c>
      <c r="D13" s="3">
        <v>12</v>
      </c>
    </row>
    <row r="14" spans="1:5" x14ac:dyDescent="0.35">
      <c r="A14" s="7">
        <v>3</v>
      </c>
      <c r="B14" s="3">
        <v>3</v>
      </c>
      <c r="C14" s="3">
        <v>9</v>
      </c>
      <c r="D14" s="3">
        <v>12</v>
      </c>
    </row>
    <row r="15" spans="1:5" x14ac:dyDescent="0.35">
      <c r="A15" s="7">
        <v>4</v>
      </c>
      <c r="B15" s="3">
        <v>3</v>
      </c>
      <c r="C15" s="3">
        <v>9</v>
      </c>
      <c r="D15" s="3">
        <v>12</v>
      </c>
    </row>
    <row r="16" spans="1:5" x14ac:dyDescent="0.35">
      <c r="A16" s="7">
        <v>5</v>
      </c>
      <c r="B16" s="3">
        <v>3</v>
      </c>
      <c r="C16" s="3"/>
      <c r="D16" s="3">
        <v>3</v>
      </c>
    </row>
    <row r="17" spans="1:4" x14ac:dyDescent="0.35">
      <c r="A17" s="7">
        <v>6</v>
      </c>
      <c r="B17" s="3">
        <v>3</v>
      </c>
      <c r="C17" s="3">
        <v>3</v>
      </c>
      <c r="D17" s="3">
        <v>6</v>
      </c>
    </row>
    <row r="18" spans="1:4" x14ac:dyDescent="0.35">
      <c r="A18" s="7">
        <v>7</v>
      </c>
      <c r="B18" s="3">
        <v>3</v>
      </c>
      <c r="C18" s="3"/>
      <c r="D18" s="3">
        <v>3</v>
      </c>
    </row>
    <row r="19" spans="1:4" x14ac:dyDescent="0.35">
      <c r="A19" s="7">
        <v>8</v>
      </c>
      <c r="B19" s="3">
        <v>3</v>
      </c>
      <c r="C19" s="3"/>
      <c r="D19" s="3">
        <v>3</v>
      </c>
    </row>
    <row r="20" spans="1:4" x14ac:dyDescent="0.35">
      <c r="A20" s="7">
        <v>15</v>
      </c>
      <c r="B20" s="3">
        <v>3</v>
      </c>
      <c r="C20" s="3">
        <v>3</v>
      </c>
      <c r="D20" s="3">
        <v>6</v>
      </c>
    </row>
    <row r="21" spans="1:4" x14ac:dyDescent="0.35">
      <c r="A21" s="7">
        <v>24</v>
      </c>
      <c r="B21" s="3">
        <v>3</v>
      </c>
      <c r="C21" s="3">
        <v>3</v>
      </c>
      <c r="D21" s="3">
        <v>6</v>
      </c>
    </row>
    <row r="22" spans="1:4" x14ac:dyDescent="0.35">
      <c r="A22" s="7">
        <v>25</v>
      </c>
      <c r="B22" s="3">
        <v>3</v>
      </c>
      <c r="C22" s="3"/>
      <c r="D22" s="3">
        <v>3</v>
      </c>
    </row>
    <row r="23" spans="1:4" x14ac:dyDescent="0.35">
      <c r="A23" s="7">
        <v>26</v>
      </c>
      <c r="B23" s="3"/>
      <c r="C23" s="3">
        <v>6</v>
      </c>
      <c r="D23" s="3">
        <v>6</v>
      </c>
    </row>
    <row r="24" spans="1:4" x14ac:dyDescent="0.35">
      <c r="A24" s="7">
        <v>27</v>
      </c>
      <c r="B24" s="3"/>
      <c r="C24" s="3">
        <v>9</v>
      </c>
      <c r="D24" s="3">
        <v>9</v>
      </c>
    </row>
    <row r="25" spans="1:4" x14ac:dyDescent="0.35">
      <c r="A25" s="5" t="s">
        <v>52</v>
      </c>
      <c r="B25" s="3">
        <v>45</v>
      </c>
      <c r="C25" s="3">
        <v>87</v>
      </c>
      <c r="D25" s="3">
        <v>132</v>
      </c>
    </row>
    <row r="26" spans="1:4" x14ac:dyDescent="0.35">
      <c r="A26" s="6" t="s">
        <v>34</v>
      </c>
      <c r="B26" s="3">
        <v>15</v>
      </c>
      <c r="C26" s="3">
        <v>9</v>
      </c>
      <c r="D26" s="3">
        <v>24</v>
      </c>
    </row>
    <row r="27" spans="1:4" x14ac:dyDescent="0.35">
      <c r="A27" s="7">
        <v>28</v>
      </c>
      <c r="B27" s="3">
        <v>3</v>
      </c>
      <c r="C27" s="3"/>
      <c r="D27" s="3">
        <v>3</v>
      </c>
    </row>
    <row r="28" spans="1:4" x14ac:dyDescent="0.35">
      <c r="A28" s="7">
        <v>29</v>
      </c>
      <c r="B28" s="3">
        <v>3</v>
      </c>
      <c r="C28" s="3"/>
      <c r="D28" s="3">
        <v>3</v>
      </c>
    </row>
    <row r="29" spans="1:4" x14ac:dyDescent="0.35">
      <c r="A29" s="7">
        <v>30</v>
      </c>
      <c r="B29" s="3">
        <v>3</v>
      </c>
      <c r="C29" s="3">
        <v>6</v>
      </c>
      <c r="D29" s="3">
        <v>9</v>
      </c>
    </row>
    <row r="30" spans="1:4" x14ac:dyDescent="0.35">
      <c r="A30" s="7">
        <v>31</v>
      </c>
      <c r="B30" s="3">
        <v>3</v>
      </c>
      <c r="C30" s="3"/>
      <c r="D30" s="3">
        <v>3</v>
      </c>
    </row>
    <row r="31" spans="1:4" x14ac:dyDescent="0.35">
      <c r="A31" s="7">
        <v>32</v>
      </c>
      <c r="B31" s="3">
        <v>3</v>
      </c>
      <c r="C31" s="3">
        <v>3</v>
      </c>
      <c r="D31" s="3">
        <v>6</v>
      </c>
    </row>
    <row r="32" spans="1:4" x14ac:dyDescent="0.35">
      <c r="A32" s="6" t="s">
        <v>75</v>
      </c>
      <c r="B32" s="3">
        <v>30</v>
      </c>
      <c r="C32" s="3">
        <v>78</v>
      </c>
      <c r="D32" s="3">
        <v>108</v>
      </c>
    </row>
    <row r="33" spans="1:4" x14ac:dyDescent="0.35">
      <c r="A33" s="7">
        <v>16</v>
      </c>
      <c r="B33" s="3">
        <v>3</v>
      </c>
      <c r="C33" s="3">
        <v>9</v>
      </c>
      <c r="D33" s="3">
        <v>12</v>
      </c>
    </row>
    <row r="34" spans="1:4" x14ac:dyDescent="0.35">
      <c r="A34" s="7">
        <v>17</v>
      </c>
      <c r="B34" s="3">
        <v>3</v>
      </c>
      <c r="C34" s="3">
        <v>9</v>
      </c>
      <c r="D34" s="3">
        <v>12</v>
      </c>
    </row>
    <row r="35" spans="1:4" x14ac:dyDescent="0.35">
      <c r="A35" s="7">
        <v>18</v>
      </c>
      <c r="B35" s="3">
        <v>3</v>
      </c>
      <c r="C35" s="3">
        <v>6</v>
      </c>
      <c r="D35" s="3">
        <v>9</v>
      </c>
    </row>
    <row r="36" spans="1:4" x14ac:dyDescent="0.35">
      <c r="A36" s="7">
        <v>19</v>
      </c>
      <c r="B36" s="3">
        <v>3</v>
      </c>
      <c r="C36" s="3">
        <v>9</v>
      </c>
      <c r="D36" s="3">
        <v>12</v>
      </c>
    </row>
    <row r="37" spans="1:4" x14ac:dyDescent="0.35">
      <c r="A37" s="7">
        <v>20</v>
      </c>
      <c r="B37" s="3">
        <v>3</v>
      </c>
      <c r="C37" s="3">
        <v>9</v>
      </c>
      <c r="D37" s="3">
        <v>12</v>
      </c>
    </row>
    <row r="38" spans="1:4" x14ac:dyDescent="0.35">
      <c r="A38" s="7">
        <v>21</v>
      </c>
      <c r="B38" s="3">
        <v>3</v>
      </c>
      <c r="C38" s="3">
        <v>9</v>
      </c>
      <c r="D38" s="3">
        <v>12</v>
      </c>
    </row>
    <row r="39" spans="1:4" x14ac:dyDescent="0.35">
      <c r="A39" s="7">
        <v>22</v>
      </c>
      <c r="B39" s="3">
        <v>3</v>
      </c>
      <c r="C39" s="3">
        <v>9</v>
      </c>
      <c r="D39" s="3">
        <v>12</v>
      </c>
    </row>
    <row r="40" spans="1:4" x14ac:dyDescent="0.35">
      <c r="A40" s="7">
        <v>23</v>
      </c>
      <c r="B40" s="3">
        <v>3</v>
      </c>
      <c r="C40" s="3">
        <v>6</v>
      </c>
      <c r="D40" s="3">
        <v>9</v>
      </c>
    </row>
    <row r="41" spans="1:4" x14ac:dyDescent="0.35">
      <c r="A41" s="7">
        <v>33</v>
      </c>
      <c r="B41" s="3">
        <v>3</v>
      </c>
      <c r="C41" s="3">
        <v>6</v>
      </c>
      <c r="D41" s="3">
        <v>9</v>
      </c>
    </row>
    <row r="42" spans="1:4" x14ac:dyDescent="0.35">
      <c r="A42" s="7">
        <v>34</v>
      </c>
      <c r="B42" s="3">
        <v>3</v>
      </c>
      <c r="C42" s="3">
        <v>6</v>
      </c>
      <c r="D42" s="3">
        <v>9</v>
      </c>
    </row>
    <row r="43" spans="1:4" x14ac:dyDescent="0.35">
      <c r="A43" s="5" t="s">
        <v>569</v>
      </c>
      <c r="B43" s="3">
        <v>87</v>
      </c>
      <c r="C43" s="3">
        <v>174</v>
      </c>
      <c r="D43" s="3">
        <v>261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Motorcycles</vt:lpstr>
      <vt:lpstr>Sheet2</vt:lpstr>
      <vt:lpstr>Dictionary</vt:lpstr>
      <vt:lpstr>Observation</vt:lpstr>
      <vt:lpstr>Recomendation</vt:lpstr>
      <vt:lpstr>Action</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Michael Barbour</cp:lastModifiedBy>
  <dcterms:created xsi:type="dcterms:W3CDTF">2020-01-13T11:19:37Z</dcterms:created>
  <dcterms:modified xsi:type="dcterms:W3CDTF">2020-03-27T15:47:29Z</dcterms:modified>
</cp:coreProperties>
</file>